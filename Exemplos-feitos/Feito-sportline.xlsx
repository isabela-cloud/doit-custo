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EstaPastaDeTrabalho"/>
  <mc:AlternateContent xmlns:mc="http://schemas.openxmlformats.org/markup-compatibility/2006">
    <mc:Choice Requires="x15">
      <x15ac:absPath xmlns:x15ac="http://schemas.microsoft.com/office/spreadsheetml/2010/11/ac" url="/Users/IsaSoares/Downloads/"/>
    </mc:Choice>
  </mc:AlternateContent>
  <xr:revisionPtr revIDLastSave="0" documentId="8_{479D6E63-E6A0-C646-8CC5-F119D957EFE8}" xr6:coauthVersionLast="47" xr6:coauthVersionMax="47" xr10:uidLastSave="{00000000-0000-0000-0000-000000000000}"/>
  <bookViews>
    <workbookView xWindow="0" yWindow="680" windowWidth="34200" windowHeight="19660" activeTab="2" xr2:uid="{00000000-000D-0000-FFFF-FFFF00000000}"/>
  </bookViews>
  <sheets>
    <sheet name="TABELA SPOLINE" sheetId="5" r:id="rId1"/>
    <sheet name="Formulas" sheetId="6" r:id="rId2"/>
    <sheet name="Atualizados (551)" sheetId="9" r:id="rId3"/>
    <sheet name="Não foram atualizados (729)" sheetId="7" r:id="rId4"/>
    <sheet name="Precisam ser criados (714)" sheetId="8" r:id="rId5"/>
  </sheets>
  <definedNames>
    <definedName name="_xlnm._FilterDatabase" localSheetId="1" hidden="1">Formulas!$A$1:$J$1280</definedName>
    <definedName name="_xlnm._FilterDatabase" localSheetId="0" hidden="1">'TABELA SPOLINE'!$A$1:$Q$1264</definedName>
    <definedName name="_xlnm.Print_Area" localSheetId="0">'TABELA SPOLINE'!$A$1:$K$1257</definedName>
    <definedName name="_xlnm.Print_Titles" localSheetId="0">'TABELA SPOLINE'!$1:$1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70" i="6" l="1"/>
  <c r="G1269" i="6"/>
  <c r="G1268" i="6"/>
  <c r="G1267" i="6"/>
  <c r="G1266" i="6"/>
  <c r="G1265" i="6"/>
  <c r="G1264" i="6"/>
  <c r="G1263" i="6"/>
  <c r="G1262" i="6"/>
  <c r="G1261" i="6"/>
  <c r="G1260" i="6"/>
  <c r="G1259" i="6"/>
  <c r="G1258" i="6"/>
  <c r="G1257" i="6"/>
  <c r="G1256" i="6"/>
  <c r="G1255" i="6"/>
  <c r="G1254" i="6"/>
  <c r="G1253" i="6"/>
  <c r="G1252" i="6"/>
  <c r="G1251" i="6"/>
  <c r="G1250" i="6"/>
  <c r="G1249" i="6"/>
  <c r="G1248" i="6"/>
  <c r="G1247" i="6"/>
  <c r="G1243" i="6"/>
  <c r="G1242" i="6"/>
  <c r="G1241" i="6"/>
  <c r="G1240" i="6"/>
  <c r="G1238" i="6"/>
  <c r="G1237" i="6"/>
  <c r="G1236" i="6"/>
  <c r="G1235" i="6"/>
  <c r="G1234" i="6"/>
  <c r="G1232" i="6"/>
  <c r="G1231" i="6"/>
  <c r="G1230" i="6"/>
  <c r="G1229" i="6"/>
  <c r="G1228" i="6"/>
  <c r="G1227" i="6"/>
  <c r="G1226" i="6"/>
  <c r="G1225" i="6"/>
  <c r="G1224" i="6"/>
  <c r="G1223" i="6"/>
  <c r="G1222" i="6"/>
  <c r="G1221" i="6"/>
  <c r="G1220" i="6"/>
  <c r="G1219" i="6"/>
  <c r="G1218" i="6"/>
  <c r="G1217" i="6"/>
  <c r="G1216" i="6"/>
  <c r="G1214" i="6"/>
  <c r="G1213" i="6"/>
  <c r="G1212" i="6"/>
  <c r="G1211" i="6"/>
  <c r="G1210" i="6"/>
  <c r="G1209" i="6"/>
  <c r="G1208" i="6"/>
  <c r="G1206" i="6"/>
  <c r="G1200" i="6"/>
  <c r="G1199" i="6"/>
  <c r="G1198" i="6"/>
  <c r="G1197" i="6"/>
  <c r="G1196" i="6"/>
  <c r="G1195" i="6"/>
  <c r="G1194" i="6"/>
  <c r="G1193" i="6"/>
  <c r="G1189" i="6"/>
  <c r="G1170" i="6"/>
  <c r="G1168" i="6"/>
  <c r="G1166" i="6"/>
  <c r="G1165" i="6"/>
  <c r="G1143" i="6"/>
  <c r="G1141" i="6"/>
  <c r="G1140" i="6"/>
  <c r="G1139" i="6"/>
  <c r="G1135" i="6"/>
  <c r="G1133" i="6"/>
  <c r="G1130" i="6"/>
  <c r="G1129" i="6"/>
  <c r="G1128" i="6"/>
  <c r="G1127" i="6"/>
  <c r="G1124" i="6"/>
  <c r="G1122" i="6"/>
  <c r="G1121" i="6"/>
  <c r="G1120" i="6"/>
  <c r="G1114" i="6"/>
  <c r="G1113" i="6"/>
  <c r="G1112" i="6"/>
  <c r="G1110" i="6"/>
  <c r="G1109" i="6"/>
  <c r="G1108" i="6"/>
  <c r="G1102" i="6"/>
  <c r="G1101" i="6"/>
  <c r="G1100" i="6"/>
  <c r="G1094" i="6"/>
  <c r="G1093" i="6"/>
  <c r="G1092" i="6"/>
  <c r="G1086" i="6"/>
  <c r="G1085" i="6"/>
  <c r="G1084" i="6"/>
  <c r="G1083" i="6"/>
  <c r="G1081" i="6"/>
  <c r="G1080" i="6"/>
  <c r="G1079" i="6"/>
  <c r="G1078" i="6"/>
  <c r="G1076" i="6"/>
  <c r="G1075" i="6"/>
  <c r="G1074" i="6"/>
  <c r="G1069" i="6"/>
  <c r="G1068" i="6"/>
  <c r="G1067" i="6"/>
  <c r="G1061" i="6"/>
  <c r="G1058" i="6"/>
  <c r="G1054" i="6"/>
  <c r="G1050" i="6"/>
  <c r="G1049" i="6"/>
  <c r="G1048" i="6"/>
  <c r="G1047" i="6"/>
  <c r="G1038" i="6"/>
  <c r="G1037" i="6"/>
  <c r="G1036" i="6"/>
  <c r="G1035" i="6"/>
  <c r="G1032" i="6"/>
  <c r="G1030" i="6"/>
  <c r="G1029" i="6"/>
  <c r="G1028" i="6"/>
  <c r="G1027" i="6"/>
  <c r="G1024" i="6"/>
  <c r="G1023" i="6"/>
  <c r="G1014" i="6"/>
  <c r="G1013" i="6"/>
  <c r="G1012" i="6"/>
  <c r="G1011" i="6"/>
  <c r="G1010" i="6"/>
  <c r="G1009" i="6"/>
  <c r="G1008" i="6"/>
  <c r="G1007" i="6"/>
  <c r="G1005" i="6"/>
  <c r="G1001" i="6"/>
  <c r="G1000" i="6"/>
  <c r="G999" i="6"/>
  <c r="G998" i="6"/>
  <c r="G986" i="6"/>
  <c r="G985" i="6"/>
  <c r="G984" i="6"/>
  <c r="G983" i="6"/>
  <c r="G982" i="6"/>
  <c r="G981" i="6"/>
  <c r="G980" i="6"/>
  <c r="G978" i="6"/>
  <c r="G977" i="6"/>
  <c r="G976" i="6"/>
  <c r="G975" i="6"/>
  <c r="G974" i="6"/>
  <c r="G973" i="6"/>
  <c r="G972" i="6"/>
  <c r="G971" i="6"/>
  <c r="G967" i="6"/>
  <c r="G962" i="6"/>
  <c r="G961" i="6"/>
  <c r="G960" i="6"/>
  <c r="G959" i="6"/>
  <c r="G958" i="6"/>
  <c r="G946" i="6"/>
  <c r="G945" i="6"/>
  <c r="G944" i="6"/>
  <c r="G943" i="6"/>
  <c r="G942" i="6"/>
  <c r="G941" i="6"/>
  <c r="G940" i="6"/>
  <c r="G939" i="6"/>
  <c r="G938" i="6"/>
  <c r="G937" i="6"/>
  <c r="G933" i="6"/>
  <c r="G932" i="6"/>
  <c r="G931" i="6"/>
  <c r="G929" i="6"/>
  <c r="G928" i="6"/>
  <c r="G927" i="6"/>
  <c r="G926" i="6"/>
  <c r="G925" i="6"/>
  <c r="G924" i="6"/>
  <c r="G923" i="6"/>
  <c r="G922" i="6"/>
  <c r="G917" i="6"/>
  <c r="G916" i="6"/>
  <c r="G915" i="6"/>
  <c r="G914" i="6"/>
  <c r="G913" i="6"/>
  <c r="G912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86" i="6"/>
  <c r="G885" i="6"/>
  <c r="G884" i="6"/>
  <c r="G883" i="6"/>
  <c r="G880" i="6"/>
  <c r="G872" i="6"/>
  <c r="G871" i="6"/>
  <c r="G870" i="6"/>
  <c r="G869" i="6"/>
  <c r="G868" i="6"/>
  <c r="G867" i="6"/>
  <c r="G866" i="6"/>
  <c r="G865" i="6"/>
  <c r="G856" i="6"/>
  <c r="G853" i="6"/>
  <c r="G851" i="6"/>
  <c r="G850" i="6"/>
  <c r="G848" i="6"/>
  <c r="G847" i="6"/>
  <c r="G846" i="6"/>
  <c r="G845" i="6"/>
  <c r="G844" i="6"/>
  <c r="G843" i="6"/>
  <c r="G842" i="6"/>
  <c r="G839" i="6"/>
  <c r="G832" i="6"/>
  <c r="G831" i="6"/>
  <c r="G830" i="6"/>
  <c r="G829" i="6"/>
  <c r="G828" i="6"/>
  <c r="G827" i="6"/>
  <c r="G826" i="6"/>
  <c r="G825" i="6"/>
  <c r="G824" i="6"/>
  <c r="G823" i="6"/>
  <c r="G814" i="6"/>
  <c r="G809" i="6"/>
  <c r="G802" i="6"/>
  <c r="G799" i="6"/>
  <c r="G797" i="6"/>
  <c r="G794" i="6"/>
  <c r="G791" i="6"/>
  <c r="G783" i="6"/>
  <c r="G780" i="6"/>
  <c r="G778" i="6"/>
  <c r="G757" i="6"/>
  <c r="G756" i="6"/>
  <c r="G751" i="6"/>
  <c r="G750" i="6"/>
  <c r="G748" i="6"/>
  <c r="G747" i="6"/>
  <c r="G745" i="6"/>
  <c r="G727" i="6"/>
  <c r="G724" i="6"/>
  <c r="G720" i="6"/>
  <c r="G719" i="6"/>
  <c r="G717" i="6"/>
  <c r="G715" i="6"/>
  <c r="G713" i="6"/>
  <c r="G712" i="6"/>
  <c r="G710" i="6"/>
  <c r="G708" i="6"/>
  <c r="G706" i="6"/>
  <c r="G697" i="6"/>
  <c r="G696" i="6"/>
  <c r="G695" i="6"/>
  <c r="G693" i="6"/>
  <c r="G691" i="6"/>
  <c r="G690" i="6"/>
  <c r="G689" i="6"/>
  <c r="G687" i="6"/>
  <c r="G673" i="6"/>
  <c r="G669" i="6"/>
  <c r="G668" i="6"/>
  <c r="G665" i="6"/>
  <c r="G662" i="6"/>
  <c r="G661" i="6"/>
  <c r="G658" i="6"/>
  <c r="G655" i="6"/>
  <c r="G654" i="6"/>
  <c r="G653" i="6"/>
  <c r="G650" i="6"/>
  <c r="G644" i="6"/>
  <c r="G642" i="6"/>
  <c r="G641" i="6"/>
  <c r="G640" i="6"/>
  <c r="G628" i="6"/>
  <c r="G625" i="6"/>
  <c r="G618" i="6"/>
  <c r="G617" i="6"/>
  <c r="G616" i="6"/>
  <c r="G613" i="6"/>
  <c r="G612" i="6"/>
  <c r="G607" i="6"/>
  <c r="G606" i="6"/>
  <c r="G603" i="6"/>
  <c r="G601" i="6"/>
  <c r="G600" i="6"/>
  <c r="G597" i="6"/>
  <c r="G596" i="6"/>
  <c r="G595" i="6"/>
  <c r="G594" i="6"/>
  <c r="G593" i="6"/>
  <c r="G589" i="6"/>
  <c r="G584" i="6"/>
  <c r="G577" i="6"/>
  <c r="G576" i="6"/>
  <c r="G575" i="6"/>
  <c r="G570" i="6"/>
  <c r="G569" i="6"/>
  <c r="G568" i="6"/>
  <c r="G567" i="6"/>
  <c r="G566" i="6"/>
  <c r="G565" i="6"/>
  <c r="G564" i="6"/>
  <c r="G563" i="6"/>
  <c r="G562" i="6"/>
  <c r="G561" i="6"/>
  <c r="G556" i="6"/>
  <c r="G553" i="6"/>
  <c r="G551" i="6"/>
  <c r="G550" i="6"/>
  <c r="G541" i="6"/>
  <c r="G540" i="6"/>
  <c r="G538" i="6"/>
  <c r="G535" i="6"/>
  <c r="G534" i="6"/>
  <c r="G532" i="6"/>
  <c r="G529" i="6"/>
  <c r="G527" i="6"/>
  <c r="G526" i="6"/>
  <c r="G523" i="6"/>
  <c r="G521" i="6"/>
  <c r="G519" i="6"/>
  <c r="G511" i="6"/>
  <c r="G510" i="6"/>
  <c r="G509" i="6"/>
  <c r="G508" i="6"/>
  <c r="G504" i="6"/>
  <c r="G503" i="6"/>
  <c r="G502" i="6"/>
  <c r="G501" i="6"/>
  <c r="G500" i="6"/>
  <c r="G499" i="6"/>
  <c r="G497" i="6"/>
  <c r="G496" i="6"/>
  <c r="G490" i="6"/>
  <c r="G489" i="6"/>
  <c r="G488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5" i="6"/>
  <c r="G464" i="6"/>
  <c r="G460" i="6"/>
  <c r="G459" i="6"/>
  <c r="G458" i="6"/>
  <c r="G457" i="6"/>
  <c r="G454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4" i="6"/>
  <c r="G433" i="6"/>
  <c r="G432" i="6"/>
  <c r="G430" i="6"/>
  <c r="G429" i="6"/>
  <c r="G424" i="6"/>
  <c r="G423" i="6"/>
  <c r="G422" i="6"/>
  <c r="G421" i="6"/>
  <c r="G419" i="6"/>
  <c r="G418" i="6"/>
  <c r="G416" i="6"/>
  <c r="G415" i="6"/>
  <c r="G414" i="6"/>
  <c r="G411" i="6"/>
  <c r="G409" i="6"/>
  <c r="G406" i="6"/>
  <c r="G405" i="6"/>
  <c r="G403" i="6"/>
  <c r="G401" i="6"/>
  <c r="G400" i="6"/>
  <c r="G399" i="6"/>
  <c r="G398" i="6"/>
  <c r="G394" i="6"/>
  <c r="G392" i="6"/>
  <c r="G391" i="6"/>
  <c r="G390" i="6"/>
  <c r="G387" i="6"/>
  <c r="G386" i="6"/>
  <c r="G384" i="6"/>
  <c r="G383" i="6"/>
  <c r="G382" i="6"/>
  <c r="G376" i="6"/>
  <c r="G374" i="6"/>
  <c r="G373" i="6"/>
  <c r="G372" i="6"/>
  <c r="G370" i="6"/>
  <c r="G359" i="6"/>
  <c r="G358" i="6"/>
  <c r="G357" i="6"/>
  <c r="G356" i="6"/>
  <c r="G352" i="6"/>
  <c r="G351" i="6"/>
  <c r="G349" i="6"/>
  <c r="G348" i="6"/>
  <c r="G347" i="6"/>
  <c r="G344" i="6"/>
  <c r="G331" i="6"/>
  <c r="G330" i="6"/>
  <c r="G329" i="6"/>
  <c r="G328" i="6"/>
  <c r="G325" i="6"/>
  <c r="G324" i="6"/>
  <c r="G323" i="6"/>
  <c r="G322" i="6"/>
  <c r="G320" i="6"/>
  <c r="G319" i="6"/>
  <c r="G318" i="6"/>
  <c r="G317" i="6"/>
  <c r="G316" i="6"/>
  <c r="G315" i="6"/>
  <c r="G314" i="6"/>
  <c r="G312" i="6"/>
  <c r="G309" i="6"/>
  <c r="G307" i="6"/>
  <c r="G306" i="6"/>
  <c r="G305" i="6"/>
  <c r="G294" i="6"/>
  <c r="G293" i="6"/>
  <c r="G292" i="6"/>
  <c r="G291" i="6"/>
  <c r="G289" i="6"/>
  <c r="G288" i="6"/>
  <c r="G286" i="6"/>
  <c r="G285" i="6"/>
  <c r="G284" i="6"/>
  <c r="G283" i="6"/>
  <c r="G281" i="6"/>
  <c r="G280" i="6"/>
  <c r="G278" i="6"/>
  <c r="G277" i="6"/>
  <c r="G274" i="6"/>
  <c r="G272" i="6"/>
  <c r="G271" i="6"/>
  <c r="G270" i="6"/>
  <c r="G269" i="6"/>
  <c r="G268" i="6"/>
  <c r="G260" i="6"/>
  <c r="G259" i="6"/>
  <c r="G258" i="6"/>
  <c r="G255" i="6"/>
  <c r="G231" i="6"/>
  <c r="G226" i="6"/>
  <c r="G224" i="6"/>
  <c r="G218" i="6"/>
  <c r="G216" i="6"/>
  <c r="G212" i="6"/>
  <c r="G211" i="6"/>
  <c r="G208" i="6"/>
  <c r="G207" i="6"/>
  <c r="G206" i="6"/>
  <c r="G159" i="6"/>
  <c r="G157" i="6"/>
  <c r="G156" i="6"/>
  <c r="G153" i="6"/>
  <c r="G152" i="6"/>
  <c r="G151" i="6"/>
  <c r="G150" i="6"/>
  <c r="G146" i="6"/>
  <c r="G145" i="6"/>
  <c r="G144" i="6"/>
  <c r="G143" i="6"/>
  <c r="G134" i="6"/>
  <c r="G133" i="6"/>
  <c r="G132" i="6"/>
  <c r="G130" i="6"/>
  <c r="G129" i="6"/>
  <c r="G128" i="6"/>
  <c r="G127" i="6"/>
  <c r="G126" i="6"/>
  <c r="G125" i="6"/>
  <c r="G124" i="6"/>
  <c r="G123" i="6"/>
  <c r="G122" i="6"/>
  <c r="G121" i="6"/>
  <c r="G119" i="6"/>
  <c r="G108" i="6"/>
  <c r="G107" i="6"/>
  <c r="G104" i="6"/>
  <c r="G103" i="6"/>
  <c r="G102" i="6"/>
  <c r="G101" i="6"/>
  <c r="G100" i="6"/>
  <c r="G99" i="6"/>
  <c r="G98" i="6"/>
  <c r="G95" i="6"/>
  <c r="G93" i="6"/>
  <c r="G91" i="6"/>
  <c r="G89" i="6"/>
  <c r="G56" i="6"/>
  <c r="G55" i="6"/>
  <c r="G54" i="6"/>
  <c r="G25" i="6"/>
  <c r="G22" i="6"/>
  <c r="G16" i="6"/>
  <c r="G15" i="6"/>
  <c r="G14" i="6"/>
  <c r="G13" i="6"/>
  <c r="G12" i="6"/>
  <c r="G10" i="6"/>
  <c r="G9" i="6"/>
  <c r="G8" i="6"/>
  <c r="G7" i="6"/>
  <c r="G5" i="6"/>
  <c r="G4" i="6"/>
  <c r="G3" i="6"/>
  <c r="F1270" i="6"/>
  <c r="F1269" i="6"/>
  <c r="F1268" i="6"/>
  <c r="F1267" i="6"/>
  <c r="F1266" i="6"/>
  <c r="F1265" i="6"/>
  <c r="F1264" i="6"/>
  <c r="F1263" i="6"/>
  <c r="F1262" i="6"/>
  <c r="F1261" i="6"/>
  <c r="F1260" i="6"/>
  <c r="F1259" i="6"/>
  <c r="F1258" i="6"/>
  <c r="F1257" i="6"/>
  <c r="F1256" i="6"/>
  <c r="F1255" i="6"/>
  <c r="F1254" i="6"/>
  <c r="F1253" i="6"/>
  <c r="F1252" i="6"/>
  <c r="F1251" i="6"/>
  <c r="F1250" i="6"/>
  <c r="F1249" i="6"/>
  <c r="F1248" i="6"/>
  <c r="F1247" i="6"/>
  <c r="F1243" i="6"/>
  <c r="F1242" i="6"/>
  <c r="F1241" i="6"/>
  <c r="F1240" i="6"/>
  <c r="F1238" i="6"/>
  <c r="F1237" i="6"/>
  <c r="F1236" i="6"/>
  <c r="F1235" i="6"/>
  <c r="F1234" i="6"/>
  <c r="F1232" i="6"/>
  <c r="F1231" i="6"/>
  <c r="F1230" i="6"/>
  <c r="F1229" i="6"/>
  <c r="F1228" i="6"/>
  <c r="F1227" i="6"/>
  <c r="F1226" i="6"/>
  <c r="F1225" i="6"/>
  <c r="F1224" i="6"/>
  <c r="F1223" i="6"/>
  <c r="F1222" i="6"/>
  <c r="F1221" i="6"/>
  <c r="F1220" i="6"/>
  <c r="F1219" i="6"/>
  <c r="F1218" i="6"/>
  <c r="F1217" i="6"/>
  <c r="F1216" i="6"/>
  <c r="F1214" i="6"/>
  <c r="F1213" i="6"/>
  <c r="F1212" i="6"/>
  <c r="F1211" i="6"/>
  <c r="F1210" i="6"/>
  <c r="F1209" i="6"/>
  <c r="F1208" i="6"/>
  <c r="F1206" i="6"/>
  <c r="F1200" i="6"/>
  <c r="F1199" i="6"/>
  <c r="F1198" i="6"/>
  <c r="F1197" i="6"/>
  <c r="F1196" i="6"/>
  <c r="F1195" i="6"/>
  <c r="F1194" i="6"/>
  <c r="F1193" i="6"/>
  <c r="F1189" i="6"/>
  <c r="F1170" i="6"/>
  <c r="F1168" i="6"/>
  <c r="F1166" i="6"/>
  <c r="F1165" i="6"/>
  <c r="F1143" i="6"/>
  <c r="F1141" i="6"/>
  <c r="F1140" i="6"/>
  <c r="F1139" i="6"/>
  <c r="F1135" i="6"/>
  <c r="F1133" i="6"/>
  <c r="F1130" i="6"/>
  <c r="F1129" i="6"/>
  <c r="F1128" i="6"/>
  <c r="F1127" i="6"/>
  <c r="F1124" i="6"/>
  <c r="F1122" i="6"/>
  <c r="F1121" i="6"/>
  <c r="F1120" i="6"/>
  <c r="F1114" i="6"/>
  <c r="F1113" i="6"/>
  <c r="F1112" i="6"/>
  <c r="F1110" i="6"/>
  <c r="F1109" i="6"/>
  <c r="F1108" i="6"/>
  <c r="F1102" i="6"/>
  <c r="F1101" i="6"/>
  <c r="F1100" i="6"/>
  <c r="F1094" i="6"/>
  <c r="F1093" i="6"/>
  <c r="F1092" i="6"/>
  <c r="F1086" i="6"/>
  <c r="F1085" i="6"/>
  <c r="F1084" i="6"/>
  <c r="F1083" i="6"/>
  <c r="F1081" i="6"/>
  <c r="F1080" i="6"/>
  <c r="F1079" i="6"/>
  <c r="F1078" i="6"/>
  <c r="F1076" i="6"/>
  <c r="F1075" i="6"/>
  <c r="F1074" i="6"/>
  <c r="F1069" i="6"/>
  <c r="F1068" i="6"/>
  <c r="F1067" i="6"/>
  <c r="F1061" i="6"/>
  <c r="F1058" i="6"/>
  <c r="F1054" i="6"/>
  <c r="F1050" i="6"/>
  <c r="F1049" i="6"/>
  <c r="F1048" i="6"/>
  <c r="F1047" i="6"/>
  <c r="F1038" i="6"/>
  <c r="F1037" i="6"/>
  <c r="F1036" i="6"/>
  <c r="F1035" i="6"/>
  <c r="F1032" i="6"/>
  <c r="F1030" i="6"/>
  <c r="F1029" i="6"/>
  <c r="F1028" i="6"/>
  <c r="F1027" i="6"/>
  <c r="F1024" i="6"/>
  <c r="F1023" i="6"/>
  <c r="F1014" i="6"/>
  <c r="F1013" i="6"/>
  <c r="F1012" i="6"/>
  <c r="F1011" i="6"/>
  <c r="F1010" i="6"/>
  <c r="F1009" i="6"/>
  <c r="F1008" i="6"/>
  <c r="F1007" i="6"/>
  <c r="F1005" i="6"/>
  <c r="F1001" i="6"/>
  <c r="F1000" i="6"/>
  <c r="F999" i="6"/>
  <c r="F998" i="6"/>
  <c r="F986" i="6"/>
  <c r="F985" i="6"/>
  <c r="F984" i="6"/>
  <c r="F983" i="6"/>
  <c r="F982" i="6"/>
  <c r="F981" i="6"/>
  <c r="F980" i="6"/>
  <c r="F978" i="6"/>
  <c r="F977" i="6"/>
  <c r="F976" i="6"/>
  <c r="F975" i="6"/>
  <c r="F974" i="6"/>
  <c r="F973" i="6"/>
  <c r="F972" i="6"/>
  <c r="F971" i="6"/>
  <c r="F967" i="6"/>
  <c r="F962" i="6"/>
  <c r="F961" i="6"/>
  <c r="F960" i="6"/>
  <c r="F959" i="6"/>
  <c r="F958" i="6"/>
  <c r="F946" i="6"/>
  <c r="F945" i="6"/>
  <c r="F944" i="6"/>
  <c r="F943" i="6"/>
  <c r="F942" i="6"/>
  <c r="F941" i="6"/>
  <c r="F940" i="6"/>
  <c r="F939" i="6"/>
  <c r="F938" i="6"/>
  <c r="F937" i="6"/>
  <c r="F933" i="6"/>
  <c r="F932" i="6"/>
  <c r="F931" i="6"/>
  <c r="F929" i="6"/>
  <c r="F928" i="6"/>
  <c r="F927" i="6"/>
  <c r="F926" i="6"/>
  <c r="F925" i="6"/>
  <c r="F924" i="6"/>
  <c r="F923" i="6"/>
  <c r="F922" i="6"/>
  <c r="F917" i="6"/>
  <c r="F916" i="6"/>
  <c r="F915" i="6"/>
  <c r="F914" i="6"/>
  <c r="F913" i="6"/>
  <c r="F912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86" i="6"/>
  <c r="F885" i="6"/>
  <c r="F884" i="6"/>
  <c r="F883" i="6"/>
  <c r="F880" i="6"/>
  <c r="F872" i="6"/>
  <c r="F871" i="6"/>
  <c r="F870" i="6"/>
  <c r="F869" i="6"/>
  <c r="F868" i="6"/>
  <c r="F867" i="6"/>
  <c r="F866" i="6"/>
  <c r="F865" i="6"/>
  <c r="F856" i="6"/>
  <c r="F853" i="6"/>
  <c r="F851" i="6"/>
  <c r="F850" i="6"/>
  <c r="F848" i="6"/>
  <c r="F847" i="6"/>
  <c r="F846" i="6"/>
  <c r="F845" i="6"/>
  <c r="F844" i="6"/>
  <c r="F843" i="6"/>
  <c r="F842" i="6"/>
  <c r="F839" i="6"/>
  <c r="F832" i="6"/>
  <c r="F831" i="6"/>
  <c r="F830" i="6"/>
  <c r="F829" i="6"/>
  <c r="F828" i="6"/>
  <c r="F827" i="6"/>
  <c r="F826" i="6"/>
  <c r="F825" i="6"/>
  <c r="F824" i="6"/>
  <c r="F823" i="6"/>
  <c r="F814" i="6"/>
  <c r="F809" i="6"/>
  <c r="F802" i="6"/>
  <c r="F799" i="6"/>
  <c r="F797" i="6"/>
  <c r="F794" i="6"/>
  <c r="F791" i="6"/>
  <c r="F783" i="6"/>
  <c r="F780" i="6"/>
  <c r="F778" i="6"/>
  <c r="F757" i="6"/>
  <c r="F756" i="6"/>
  <c r="F751" i="6"/>
  <c r="F750" i="6"/>
  <c r="F748" i="6"/>
  <c r="F747" i="6"/>
  <c r="F745" i="6"/>
  <c r="F727" i="6"/>
  <c r="F724" i="6"/>
  <c r="F720" i="6"/>
  <c r="F719" i="6"/>
  <c r="F717" i="6"/>
  <c r="F715" i="6"/>
  <c r="F713" i="6"/>
  <c r="F712" i="6"/>
  <c r="F710" i="6"/>
  <c r="F708" i="6"/>
  <c r="F706" i="6"/>
  <c r="F697" i="6"/>
  <c r="F696" i="6"/>
  <c r="F695" i="6"/>
  <c r="F693" i="6"/>
  <c r="F691" i="6"/>
  <c r="F690" i="6"/>
  <c r="F689" i="6"/>
  <c r="F687" i="6"/>
  <c r="F673" i="6"/>
  <c r="F669" i="6"/>
  <c r="F668" i="6"/>
  <c r="F665" i="6"/>
  <c r="F662" i="6"/>
  <c r="F661" i="6"/>
  <c r="F658" i="6"/>
  <c r="F655" i="6"/>
  <c r="F654" i="6"/>
  <c r="F653" i="6"/>
  <c r="F650" i="6"/>
  <c r="F644" i="6"/>
  <c r="F642" i="6"/>
  <c r="F641" i="6"/>
  <c r="F640" i="6"/>
  <c r="F628" i="6"/>
  <c r="F625" i="6"/>
  <c r="F618" i="6"/>
  <c r="F617" i="6"/>
  <c r="F616" i="6"/>
  <c r="F613" i="6"/>
  <c r="F612" i="6"/>
  <c r="F607" i="6"/>
  <c r="F606" i="6"/>
  <c r="F603" i="6"/>
  <c r="F601" i="6"/>
  <c r="F600" i="6"/>
  <c r="F597" i="6"/>
  <c r="F596" i="6"/>
  <c r="F595" i="6"/>
  <c r="F594" i="6"/>
  <c r="F593" i="6"/>
  <c r="F589" i="6"/>
  <c r="F584" i="6"/>
  <c r="F577" i="6"/>
  <c r="F576" i="6"/>
  <c r="F575" i="6"/>
  <c r="F570" i="6"/>
  <c r="F569" i="6"/>
  <c r="F568" i="6"/>
  <c r="F567" i="6"/>
  <c r="F566" i="6"/>
  <c r="F565" i="6"/>
  <c r="F564" i="6"/>
  <c r="F563" i="6"/>
  <c r="F562" i="6"/>
  <c r="F561" i="6"/>
  <c r="F556" i="6"/>
  <c r="F553" i="6"/>
  <c r="F551" i="6"/>
  <c r="F550" i="6"/>
  <c r="F541" i="6"/>
  <c r="F540" i="6"/>
  <c r="F538" i="6"/>
  <c r="F535" i="6"/>
  <c r="F534" i="6"/>
  <c r="F532" i="6"/>
  <c r="F529" i="6"/>
  <c r="F527" i="6"/>
  <c r="F526" i="6"/>
  <c r="F523" i="6"/>
  <c r="F521" i="6"/>
  <c r="F519" i="6"/>
  <c r="F511" i="6"/>
  <c r="F510" i="6"/>
  <c r="F509" i="6"/>
  <c r="F508" i="6"/>
  <c r="F504" i="6"/>
  <c r="F503" i="6"/>
  <c r="F502" i="6"/>
  <c r="F501" i="6"/>
  <c r="F500" i="6"/>
  <c r="F499" i="6"/>
  <c r="F497" i="6"/>
  <c r="F496" i="6"/>
  <c r="F490" i="6"/>
  <c r="F489" i="6"/>
  <c r="F488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5" i="6"/>
  <c r="F464" i="6"/>
  <c r="F460" i="6"/>
  <c r="F459" i="6"/>
  <c r="F458" i="6"/>
  <c r="F457" i="6"/>
  <c r="F454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4" i="6"/>
  <c r="F433" i="6"/>
  <c r="F432" i="6"/>
  <c r="F430" i="6"/>
  <c r="F429" i="6"/>
  <c r="F424" i="6"/>
  <c r="F423" i="6"/>
  <c r="F422" i="6"/>
  <c r="F421" i="6"/>
  <c r="F419" i="6"/>
  <c r="F418" i="6"/>
  <c r="F416" i="6"/>
  <c r="F415" i="6"/>
  <c r="F414" i="6"/>
  <c r="F411" i="6"/>
  <c r="F409" i="6"/>
  <c r="F406" i="6"/>
  <c r="F405" i="6"/>
  <c r="F403" i="6"/>
  <c r="F401" i="6"/>
  <c r="F400" i="6"/>
  <c r="F399" i="6"/>
  <c r="F398" i="6"/>
  <c r="F394" i="6"/>
  <c r="F392" i="6"/>
  <c r="F391" i="6"/>
  <c r="F390" i="6"/>
  <c r="F387" i="6"/>
  <c r="F386" i="6"/>
  <c r="F384" i="6"/>
  <c r="F383" i="6"/>
  <c r="F382" i="6"/>
  <c r="F376" i="6"/>
  <c r="F374" i="6"/>
  <c r="F373" i="6"/>
  <c r="F372" i="6"/>
  <c r="F370" i="6"/>
  <c r="F359" i="6"/>
  <c r="F358" i="6"/>
  <c r="F357" i="6"/>
  <c r="F356" i="6"/>
  <c r="F352" i="6"/>
  <c r="F351" i="6"/>
  <c r="F349" i="6"/>
  <c r="F348" i="6"/>
  <c r="F347" i="6"/>
  <c r="F344" i="6"/>
  <c r="F331" i="6"/>
  <c r="F330" i="6"/>
  <c r="F329" i="6"/>
  <c r="F328" i="6"/>
  <c r="F325" i="6"/>
  <c r="F324" i="6"/>
  <c r="F323" i="6"/>
  <c r="F322" i="6"/>
  <c r="F320" i="6"/>
  <c r="F319" i="6"/>
  <c r="F318" i="6"/>
  <c r="F317" i="6"/>
  <c r="F316" i="6"/>
  <c r="F315" i="6"/>
  <c r="F314" i="6"/>
  <c r="F312" i="6"/>
  <c r="F309" i="6"/>
  <c r="F307" i="6"/>
  <c r="F306" i="6"/>
  <c r="F305" i="6"/>
  <c r="F294" i="6"/>
  <c r="F293" i="6"/>
  <c r="F292" i="6"/>
  <c r="F291" i="6"/>
  <c r="F289" i="6"/>
  <c r="F288" i="6"/>
  <c r="F286" i="6"/>
  <c r="F285" i="6"/>
  <c r="F284" i="6"/>
  <c r="F283" i="6"/>
  <c r="F281" i="6"/>
  <c r="F280" i="6"/>
  <c r="F278" i="6"/>
  <c r="F277" i="6"/>
  <c r="F274" i="6"/>
  <c r="F272" i="6"/>
  <c r="F271" i="6"/>
  <c r="F270" i="6"/>
  <c r="F269" i="6"/>
  <c r="F268" i="6"/>
  <c r="F260" i="6"/>
  <c r="F259" i="6"/>
  <c r="F258" i="6"/>
  <c r="F255" i="6"/>
  <c r="F231" i="6"/>
  <c r="F226" i="6"/>
  <c r="F224" i="6"/>
  <c r="F218" i="6"/>
  <c r="F216" i="6"/>
  <c r="F212" i="6"/>
  <c r="F211" i="6"/>
  <c r="F208" i="6"/>
  <c r="F207" i="6"/>
  <c r="F206" i="6"/>
  <c r="F159" i="6"/>
  <c r="F157" i="6"/>
  <c r="F156" i="6"/>
  <c r="F153" i="6"/>
  <c r="F152" i="6"/>
  <c r="F151" i="6"/>
  <c r="F150" i="6"/>
  <c r="F146" i="6"/>
  <c r="F145" i="6"/>
  <c r="F144" i="6"/>
  <c r="F143" i="6"/>
  <c r="F134" i="6"/>
  <c r="F133" i="6"/>
  <c r="F132" i="6"/>
  <c r="F130" i="6"/>
  <c r="F129" i="6"/>
  <c r="F128" i="6"/>
  <c r="F127" i="6"/>
  <c r="F126" i="6"/>
  <c r="F125" i="6"/>
  <c r="F124" i="6"/>
  <c r="F123" i="6"/>
  <c r="F122" i="6"/>
  <c r="F121" i="6"/>
  <c r="F119" i="6"/>
  <c r="F108" i="6"/>
  <c r="F107" i="6"/>
  <c r="F104" i="6"/>
  <c r="F103" i="6"/>
  <c r="F102" i="6"/>
  <c r="F101" i="6"/>
  <c r="F100" i="6"/>
  <c r="F99" i="6"/>
  <c r="F98" i="6"/>
  <c r="F95" i="6"/>
  <c r="F93" i="6"/>
  <c r="F91" i="6"/>
  <c r="F89" i="6"/>
  <c r="F56" i="6"/>
  <c r="F55" i="6"/>
  <c r="F54" i="6"/>
  <c r="F25" i="6"/>
  <c r="F22" i="6"/>
  <c r="F16" i="6"/>
  <c r="F15" i="6"/>
  <c r="F14" i="6"/>
  <c r="F13" i="6"/>
  <c r="F12" i="6"/>
  <c r="F10" i="6"/>
  <c r="F9" i="6"/>
  <c r="F8" i="6"/>
  <c r="F7" i="6"/>
  <c r="F5" i="6"/>
  <c r="F4" i="6"/>
  <c r="F3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3" i="6"/>
  <c r="E1242" i="6"/>
  <c r="E1241" i="6"/>
  <c r="E1240" i="6"/>
  <c r="E1238" i="6"/>
  <c r="E1237" i="6"/>
  <c r="E1236" i="6"/>
  <c r="E1235" i="6"/>
  <c r="E1234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4" i="6"/>
  <c r="E1213" i="6"/>
  <c r="E1212" i="6"/>
  <c r="E1211" i="6"/>
  <c r="E1210" i="6"/>
  <c r="E1209" i="6"/>
  <c r="E1208" i="6"/>
  <c r="E1206" i="6"/>
  <c r="E1200" i="6"/>
  <c r="E1199" i="6"/>
  <c r="E1198" i="6"/>
  <c r="E1197" i="6"/>
  <c r="E1196" i="6"/>
  <c r="E1195" i="6"/>
  <c r="E1194" i="6"/>
  <c r="E1193" i="6"/>
  <c r="E1189" i="6"/>
  <c r="E1170" i="6"/>
  <c r="E1168" i="6"/>
  <c r="E1166" i="6"/>
  <c r="E1165" i="6"/>
  <c r="E1143" i="6"/>
  <c r="E1141" i="6"/>
  <c r="E1140" i="6"/>
  <c r="E1139" i="6"/>
  <c r="E1135" i="6"/>
  <c r="E1133" i="6"/>
  <c r="E1130" i="6"/>
  <c r="E1129" i="6"/>
  <c r="E1128" i="6"/>
  <c r="E1127" i="6"/>
  <c r="E1124" i="6"/>
  <c r="E1122" i="6"/>
  <c r="E1121" i="6"/>
  <c r="E1120" i="6"/>
  <c r="E1114" i="6"/>
  <c r="E1113" i="6"/>
  <c r="E1112" i="6"/>
  <c r="E1110" i="6"/>
  <c r="E1109" i="6"/>
  <c r="E1108" i="6"/>
  <c r="E1102" i="6"/>
  <c r="E1101" i="6"/>
  <c r="E1100" i="6"/>
  <c r="E1094" i="6"/>
  <c r="E1093" i="6"/>
  <c r="E1092" i="6"/>
  <c r="E1086" i="6"/>
  <c r="E1085" i="6"/>
  <c r="E1084" i="6"/>
  <c r="E1083" i="6"/>
  <c r="E1081" i="6"/>
  <c r="E1080" i="6"/>
  <c r="E1079" i="6"/>
  <c r="E1078" i="6"/>
  <c r="E1076" i="6"/>
  <c r="E1075" i="6"/>
  <c r="E1074" i="6"/>
  <c r="E1069" i="6"/>
  <c r="E1068" i="6"/>
  <c r="E1067" i="6"/>
  <c r="E1061" i="6"/>
  <c r="E1058" i="6"/>
  <c r="E1054" i="6"/>
  <c r="E1050" i="6"/>
  <c r="E1049" i="6"/>
  <c r="E1048" i="6"/>
  <c r="E1047" i="6"/>
  <c r="E1038" i="6"/>
  <c r="E1037" i="6"/>
  <c r="E1036" i="6"/>
  <c r="E1035" i="6"/>
  <c r="E1032" i="6"/>
  <c r="E1030" i="6"/>
  <c r="E1029" i="6"/>
  <c r="E1028" i="6"/>
  <c r="E1027" i="6"/>
  <c r="E1024" i="6"/>
  <c r="E1023" i="6"/>
  <c r="E1014" i="6"/>
  <c r="E1013" i="6"/>
  <c r="E1012" i="6"/>
  <c r="E1011" i="6"/>
  <c r="E1010" i="6"/>
  <c r="E1009" i="6"/>
  <c r="E1008" i="6"/>
  <c r="E1007" i="6"/>
  <c r="E1005" i="6"/>
  <c r="E1001" i="6"/>
  <c r="E1000" i="6"/>
  <c r="E999" i="6"/>
  <c r="E998" i="6"/>
  <c r="E986" i="6"/>
  <c r="E985" i="6"/>
  <c r="E984" i="6"/>
  <c r="E983" i="6"/>
  <c r="E982" i="6"/>
  <c r="E981" i="6"/>
  <c r="E980" i="6"/>
  <c r="E978" i="6"/>
  <c r="E977" i="6"/>
  <c r="E976" i="6"/>
  <c r="E975" i="6"/>
  <c r="E974" i="6"/>
  <c r="E973" i="6"/>
  <c r="E972" i="6"/>
  <c r="E971" i="6"/>
  <c r="E967" i="6"/>
  <c r="E962" i="6"/>
  <c r="E961" i="6"/>
  <c r="E960" i="6"/>
  <c r="E959" i="6"/>
  <c r="E958" i="6"/>
  <c r="E946" i="6"/>
  <c r="E945" i="6"/>
  <c r="E944" i="6"/>
  <c r="E943" i="6"/>
  <c r="E942" i="6"/>
  <c r="E941" i="6"/>
  <c r="E940" i="6"/>
  <c r="E939" i="6"/>
  <c r="E938" i="6"/>
  <c r="E937" i="6"/>
  <c r="E933" i="6"/>
  <c r="E932" i="6"/>
  <c r="E931" i="6"/>
  <c r="E929" i="6"/>
  <c r="E928" i="6"/>
  <c r="E927" i="6"/>
  <c r="E926" i="6"/>
  <c r="E925" i="6"/>
  <c r="E924" i="6"/>
  <c r="E923" i="6"/>
  <c r="E922" i="6"/>
  <c r="E917" i="6"/>
  <c r="E916" i="6"/>
  <c r="E915" i="6"/>
  <c r="E914" i="6"/>
  <c r="E913" i="6"/>
  <c r="E912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86" i="6"/>
  <c r="E885" i="6"/>
  <c r="E884" i="6"/>
  <c r="E883" i="6"/>
  <c r="E880" i="6"/>
  <c r="E872" i="6"/>
  <c r="E871" i="6"/>
  <c r="E870" i="6"/>
  <c r="E869" i="6"/>
  <c r="E868" i="6"/>
  <c r="E867" i="6"/>
  <c r="E866" i="6"/>
  <c r="E865" i="6"/>
  <c r="E856" i="6"/>
  <c r="E853" i="6"/>
  <c r="E851" i="6"/>
  <c r="E850" i="6"/>
  <c r="E848" i="6"/>
  <c r="E847" i="6"/>
  <c r="E846" i="6"/>
  <c r="E845" i="6"/>
  <c r="E844" i="6"/>
  <c r="E843" i="6"/>
  <c r="E842" i="6"/>
  <c r="E839" i="6"/>
  <c r="E832" i="6"/>
  <c r="E831" i="6"/>
  <c r="E830" i="6"/>
  <c r="E829" i="6"/>
  <c r="E828" i="6"/>
  <c r="E827" i="6"/>
  <c r="E826" i="6"/>
  <c r="E825" i="6"/>
  <c r="E824" i="6"/>
  <c r="E823" i="6"/>
  <c r="E814" i="6"/>
  <c r="E809" i="6"/>
  <c r="E802" i="6"/>
  <c r="E799" i="6"/>
  <c r="E797" i="6"/>
  <c r="E794" i="6"/>
  <c r="E791" i="6"/>
  <c r="E783" i="6"/>
  <c r="E780" i="6"/>
  <c r="E778" i="6"/>
  <c r="E757" i="6"/>
  <c r="E756" i="6"/>
  <c r="E751" i="6"/>
  <c r="E750" i="6"/>
  <c r="E748" i="6"/>
  <c r="E747" i="6"/>
  <c r="E745" i="6"/>
  <c r="E727" i="6"/>
  <c r="E724" i="6"/>
  <c r="E720" i="6"/>
  <c r="E719" i="6"/>
  <c r="E717" i="6"/>
  <c r="E715" i="6"/>
  <c r="E713" i="6"/>
  <c r="E712" i="6"/>
  <c r="E710" i="6"/>
  <c r="E708" i="6"/>
  <c r="E706" i="6"/>
  <c r="E697" i="6"/>
  <c r="E696" i="6"/>
  <c r="E695" i="6"/>
  <c r="E693" i="6"/>
  <c r="E691" i="6"/>
  <c r="E690" i="6"/>
  <c r="E689" i="6"/>
  <c r="E687" i="6"/>
  <c r="E673" i="6"/>
  <c r="E669" i="6"/>
  <c r="E668" i="6"/>
  <c r="E665" i="6"/>
  <c r="E662" i="6"/>
  <c r="E661" i="6"/>
  <c r="E658" i="6"/>
  <c r="E655" i="6"/>
  <c r="E654" i="6"/>
  <c r="E653" i="6"/>
  <c r="E650" i="6"/>
  <c r="E644" i="6"/>
  <c r="E642" i="6"/>
  <c r="E641" i="6"/>
  <c r="E640" i="6"/>
  <c r="E628" i="6"/>
  <c r="E625" i="6"/>
  <c r="E618" i="6"/>
  <c r="E617" i="6"/>
  <c r="E616" i="6"/>
  <c r="E613" i="6"/>
  <c r="E612" i="6"/>
  <c r="E607" i="6"/>
  <c r="E606" i="6"/>
  <c r="E603" i="6"/>
  <c r="E601" i="6"/>
  <c r="E600" i="6"/>
  <c r="E597" i="6"/>
  <c r="E596" i="6"/>
  <c r="E595" i="6"/>
  <c r="E594" i="6"/>
  <c r="E593" i="6"/>
  <c r="E589" i="6"/>
  <c r="E584" i="6"/>
  <c r="E577" i="6"/>
  <c r="E576" i="6"/>
  <c r="E575" i="6"/>
  <c r="E570" i="6"/>
  <c r="E569" i="6"/>
  <c r="E568" i="6"/>
  <c r="E567" i="6"/>
  <c r="E566" i="6"/>
  <c r="E565" i="6"/>
  <c r="E564" i="6"/>
  <c r="E563" i="6"/>
  <c r="E562" i="6"/>
  <c r="E561" i="6"/>
  <c r="E556" i="6"/>
  <c r="E553" i="6"/>
  <c r="E551" i="6"/>
  <c r="E550" i="6"/>
  <c r="E541" i="6"/>
  <c r="E540" i="6"/>
  <c r="E538" i="6"/>
  <c r="E535" i="6"/>
  <c r="E534" i="6"/>
  <c r="E532" i="6"/>
  <c r="E529" i="6"/>
  <c r="E527" i="6"/>
  <c r="E526" i="6"/>
  <c r="E523" i="6"/>
  <c r="E521" i="6"/>
  <c r="E519" i="6"/>
  <c r="E511" i="6"/>
  <c r="E510" i="6"/>
  <c r="E509" i="6"/>
  <c r="E508" i="6"/>
  <c r="E504" i="6"/>
  <c r="E503" i="6"/>
  <c r="E502" i="6"/>
  <c r="E501" i="6"/>
  <c r="E500" i="6"/>
  <c r="E499" i="6"/>
  <c r="E497" i="6"/>
  <c r="E496" i="6"/>
  <c r="E490" i="6"/>
  <c r="E489" i="6"/>
  <c r="E488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5" i="6"/>
  <c r="E464" i="6"/>
  <c r="E460" i="6"/>
  <c r="E459" i="6"/>
  <c r="E458" i="6"/>
  <c r="E457" i="6"/>
  <c r="E454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4" i="6"/>
  <c r="E433" i="6"/>
  <c r="E432" i="6"/>
  <c r="E430" i="6"/>
  <c r="E429" i="6"/>
  <c r="E424" i="6"/>
  <c r="E423" i="6"/>
  <c r="E422" i="6"/>
  <c r="E421" i="6"/>
  <c r="E419" i="6"/>
  <c r="E418" i="6"/>
  <c r="E416" i="6"/>
  <c r="E415" i="6"/>
  <c r="E414" i="6"/>
  <c r="E411" i="6"/>
  <c r="E409" i="6"/>
  <c r="E406" i="6"/>
  <c r="E405" i="6"/>
  <c r="E403" i="6"/>
  <c r="E401" i="6"/>
  <c r="E400" i="6"/>
  <c r="E399" i="6"/>
  <c r="E398" i="6"/>
  <c r="E394" i="6"/>
  <c r="E392" i="6"/>
  <c r="E391" i="6"/>
  <c r="E390" i="6"/>
  <c r="E387" i="6"/>
  <c r="E386" i="6"/>
  <c r="E384" i="6"/>
  <c r="E383" i="6"/>
  <c r="E382" i="6"/>
  <c r="E376" i="6"/>
  <c r="E374" i="6"/>
  <c r="E373" i="6"/>
  <c r="E372" i="6"/>
  <c r="E370" i="6"/>
  <c r="E359" i="6"/>
  <c r="E358" i="6"/>
  <c r="E357" i="6"/>
  <c r="E356" i="6"/>
  <c r="E352" i="6"/>
  <c r="E351" i="6"/>
  <c r="E349" i="6"/>
  <c r="E348" i="6"/>
  <c r="E347" i="6"/>
  <c r="E344" i="6"/>
  <c r="E331" i="6"/>
  <c r="E330" i="6"/>
  <c r="E329" i="6"/>
  <c r="E328" i="6"/>
  <c r="E325" i="6"/>
  <c r="E324" i="6"/>
  <c r="E323" i="6"/>
  <c r="E322" i="6"/>
  <c r="E320" i="6"/>
  <c r="E319" i="6"/>
  <c r="E318" i="6"/>
  <c r="E317" i="6"/>
  <c r="E316" i="6"/>
  <c r="E315" i="6"/>
  <c r="E314" i="6"/>
  <c r="E312" i="6"/>
  <c r="E309" i="6"/>
  <c r="E307" i="6"/>
  <c r="E306" i="6"/>
  <c r="E305" i="6"/>
  <c r="E294" i="6"/>
  <c r="E293" i="6"/>
  <c r="E292" i="6"/>
  <c r="E291" i="6"/>
  <c r="E289" i="6"/>
  <c r="E288" i="6"/>
  <c r="E286" i="6"/>
  <c r="E285" i="6"/>
  <c r="E284" i="6"/>
  <c r="E283" i="6"/>
  <c r="E281" i="6"/>
  <c r="E280" i="6"/>
  <c r="E278" i="6"/>
  <c r="E277" i="6"/>
  <c r="E274" i="6"/>
  <c r="E272" i="6"/>
  <c r="E271" i="6"/>
  <c r="E270" i="6"/>
  <c r="E269" i="6"/>
  <c r="E268" i="6"/>
  <c r="E260" i="6"/>
  <c r="E259" i="6"/>
  <c r="E258" i="6"/>
  <c r="E255" i="6"/>
  <c r="E231" i="6"/>
  <c r="E226" i="6"/>
  <c r="E224" i="6"/>
  <c r="E218" i="6"/>
  <c r="E216" i="6"/>
  <c r="E212" i="6"/>
  <c r="E211" i="6"/>
  <c r="E208" i="6"/>
  <c r="E207" i="6"/>
  <c r="E206" i="6"/>
  <c r="E159" i="6"/>
  <c r="E157" i="6"/>
  <c r="E156" i="6"/>
  <c r="E153" i="6"/>
  <c r="E152" i="6"/>
  <c r="E151" i="6"/>
  <c r="E150" i="6"/>
  <c r="E146" i="6"/>
  <c r="E145" i="6"/>
  <c r="E144" i="6"/>
  <c r="E143" i="6"/>
  <c r="E134" i="6"/>
  <c r="E133" i="6"/>
  <c r="E132" i="6"/>
  <c r="E130" i="6"/>
  <c r="E129" i="6"/>
  <c r="E128" i="6"/>
  <c r="E127" i="6"/>
  <c r="E126" i="6"/>
  <c r="E125" i="6"/>
  <c r="E124" i="6"/>
  <c r="E123" i="6"/>
  <c r="E122" i="6"/>
  <c r="E121" i="6"/>
  <c r="E119" i="6"/>
  <c r="E108" i="6"/>
  <c r="E107" i="6"/>
  <c r="E104" i="6"/>
  <c r="E103" i="6"/>
  <c r="E102" i="6"/>
  <c r="E101" i="6"/>
  <c r="E100" i="6"/>
  <c r="E99" i="6"/>
  <c r="E98" i="6"/>
  <c r="E95" i="6"/>
  <c r="E93" i="6"/>
  <c r="E91" i="6"/>
  <c r="E89" i="6"/>
  <c r="E56" i="6"/>
  <c r="E55" i="6"/>
  <c r="E54" i="6"/>
  <c r="E25" i="6"/>
  <c r="E22" i="6"/>
  <c r="E16" i="6"/>
  <c r="E15" i="6"/>
  <c r="E14" i="6"/>
  <c r="E13" i="6"/>
  <c r="E12" i="6"/>
  <c r="E10" i="6"/>
  <c r="E9" i="6"/>
  <c r="E8" i="6"/>
  <c r="E7" i="6"/>
  <c r="E5" i="6"/>
  <c r="E4" i="6"/>
  <c r="E3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3" i="6"/>
  <c r="D1242" i="6"/>
  <c r="D1241" i="6"/>
  <c r="D1240" i="6"/>
  <c r="D1238" i="6"/>
  <c r="D1237" i="6"/>
  <c r="D1236" i="6"/>
  <c r="D1235" i="6"/>
  <c r="D1234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4" i="6"/>
  <c r="D1213" i="6"/>
  <c r="D1212" i="6"/>
  <c r="D1211" i="6"/>
  <c r="D1210" i="6"/>
  <c r="D1209" i="6"/>
  <c r="D1208" i="6"/>
  <c r="D1206" i="6"/>
  <c r="D1200" i="6"/>
  <c r="D1199" i="6"/>
  <c r="D1198" i="6"/>
  <c r="D1197" i="6"/>
  <c r="D1196" i="6"/>
  <c r="D1195" i="6"/>
  <c r="D1194" i="6"/>
  <c r="D1193" i="6"/>
  <c r="D1189" i="6"/>
  <c r="D1170" i="6"/>
  <c r="D1168" i="6"/>
  <c r="D1166" i="6"/>
  <c r="D1165" i="6"/>
  <c r="D1143" i="6"/>
  <c r="D1141" i="6"/>
  <c r="D1140" i="6"/>
  <c r="D1139" i="6"/>
  <c r="D1135" i="6"/>
  <c r="D1133" i="6"/>
  <c r="D1130" i="6"/>
  <c r="D1129" i="6"/>
  <c r="D1128" i="6"/>
  <c r="D1127" i="6"/>
  <c r="D1124" i="6"/>
  <c r="D1122" i="6"/>
  <c r="D1121" i="6"/>
  <c r="D1120" i="6"/>
  <c r="D1114" i="6"/>
  <c r="D1113" i="6"/>
  <c r="D1112" i="6"/>
  <c r="D1110" i="6"/>
  <c r="D1109" i="6"/>
  <c r="D1108" i="6"/>
  <c r="D1102" i="6"/>
  <c r="D1101" i="6"/>
  <c r="D1100" i="6"/>
  <c r="D1094" i="6"/>
  <c r="D1093" i="6"/>
  <c r="D1092" i="6"/>
  <c r="D1086" i="6"/>
  <c r="D1085" i="6"/>
  <c r="D1084" i="6"/>
  <c r="D1083" i="6"/>
  <c r="D1081" i="6"/>
  <c r="D1080" i="6"/>
  <c r="D1079" i="6"/>
  <c r="D1078" i="6"/>
  <c r="D1076" i="6"/>
  <c r="D1075" i="6"/>
  <c r="D1074" i="6"/>
  <c r="D1069" i="6"/>
  <c r="D1068" i="6"/>
  <c r="D1067" i="6"/>
  <c r="D1061" i="6"/>
  <c r="D1058" i="6"/>
  <c r="D1054" i="6"/>
  <c r="D1050" i="6"/>
  <c r="D1049" i="6"/>
  <c r="D1048" i="6"/>
  <c r="D1047" i="6"/>
  <c r="D1038" i="6"/>
  <c r="D1037" i="6"/>
  <c r="D1036" i="6"/>
  <c r="D1035" i="6"/>
  <c r="D1032" i="6"/>
  <c r="D1030" i="6"/>
  <c r="D1029" i="6"/>
  <c r="D1028" i="6"/>
  <c r="D1027" i="6"/>
  <c r="D1024" i="6"/>
  <c r="D1023" i="6"/>
  <c r="D1014" i="6"/>
  <c r="D1013" i="6"/>
  <c r="D1012" i="6"/>
  <c r="D1011" i="6"/>
  <c r="D1010" i="6"/>
  <c r="D1009" i="6"/>
  <c r="D1008" i="6"/>
  <c r="D1007" i="6"/>
  <c r="D1005" i="6"/>
  <c r="D1001" i="6"/>
  <c r="D1000" i="6"/>
  <c r="D999" i="6"/>
  <c r="D998" i="6"/>
  <c r="D986" i="6"/>
  <c r="D985" i="6"/>
  <c r="D984" i="6"/>
  <c r="D983" i="6"/>
  <c r="D982" i="6"/>
  <c r="D981" i="6"/>
  <c r="D980" i="6"/>
  <c r="D978" i="6"/>
  <c r="D977" i="6"/>
  <c r="D976" i="6"/>
  <c r="D975" i="6"/>
  <c r="D974" i="6"/>
  <c r="D973" i="6"/>
  <c r="D972" i="6"/>
  <c r="D971" i="6"/>
  <c r="D967" i="6"/>
  <c r="D962" i="6"/>
  <c r="D961" i="6"/>
  <c r="D960" i="6"/>
  <c r="D959" i="6"/>
  <c r="D958" i="6"/>
  <c r="D946" i="6"/>
  <c r="D945" i="6"/>
  <c r="D944" i="6"/>
  <c r="D943" i="6"/>
  <c r="D942" i="6"/>
  <c r="D941" i="6"/>
  <c r="D940" i="6"/>
  <c r="D939" i="6"/>
  <c r="D938" i="6"/>
  <c r="D937" i="6"/>
  <c r="D933" i="6"/>
  <c r="D932" i="6"/>
  <c r="D931" i="6"/>
  <c r="D929" i="6"/>
  <c r="D928" i="6"/>
  <c r="D927" i="6"/>
  <c r="D926" i="6"/>
  <c r="D925" i="6"/>
  <c r="D924" i="6"/>
  <c r="D923" i="6"/>
  <c r="D922" i="6"/>
  <c r="D917" i="6"/>
  <c r="D916" i="6"/>
  <c r="D915" i="6"/>
  <c r="D914" i="6"/>
  <c r="D913" i="6"/>
  <c r="D912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86" i="6"/>
  <c r="D885" i="6"/>
  <c r="D884" i="6"/>
  <c r="D883" i="6"/>
  <c r="D880" i="6"/>
  <c r="D872" i="6"/>
  <c r="D871" i="6"/>
  <c r="D870" i="6"/>
  <c r="D869" i="6"/>
  <c r="D868" i="6"/>
  <c r="D867" i="6"/>
  <c r="D866" i="6"/>
  <c r="D865" i="6"/>
  <c r="D856" i="6"/>
  <c r="D853" i="6"/>
  <c r="D851" i="6"/>
  <c r="D850" i="6"/>
  <c r="D848" i="6"/>
  <c r="D847" i="6"/>
  <c r="D846" i="6"/>
  <c r="D845" i="6"/>
  <c r="D844" i="6"/>
  <c r="D843" i="6"/>
  <c r="D842" i="6"/>
  <c r="D839" i="6"/>
  <c r="D832" i="6"/>
  <c r="D831" i="6"/>
  <c r="D830" i="6"/>
  <c r="D829" i="6"/>
  <c r="D828" i="6"/>
  <c r="D827" i="6"/>
  <c r="D826" i="6"/>
  <c r="D825" i="6"/>
  <c r="D824" i="6"/>
  <c r="D823" i="6"/>
  <c r="D814" i="6"/>
  <c r="D809" i="6"/>
  <c r="D802" i="6"/>
  <c r="D799" i="6"/>
  <c r="D797" i="6"/>
  <c r="D794" i="6"/>
  <c r="D791" i="6"/>
  <c r="D783" i="6"/>
  <c r="D780" i="6"/>
  <c r="D778" i="6"/>
  <c r="D757" i="6"/>
  <c r="D756" i="6"/>
  <c r="D751" i="6"/>
  <c r="D750" i="6"/>
  <c r="D748" i="6"/>
  <c r="D747" i="6"/>
  <c r="D745" i="6"/>
  <c r="D727" i="6"/>
  <c r="D724" i="6"/>
  <c r="D720" i="6"/>
  <c r="D719" i="6"/>
  <c r="D717" i="6"/>
  <c r="D715" i="6"/>
  <c r="D713" i="6"/>
  <c r="D712" i="6"/>
  <c r="D710" i="6"/>
  <c r="D708" i="6"/>
  <c r="D706" i="6"/>
  <c r="D697" i="6"/>
  <c r="D696" i="6"/>
  <c r="D695" i="6"/>
  <c r="D693" i="6"/>
  <c r="D691" i="6"/>
  <c r="D690" i="6"/>
  <c r="D689" i="6"/>
  <c r="D687" i="6"/>
  <c r="D673" i="6"/>
  <c r="D669" i="6"/>
  <c r="D668" i="6"/>
  <c r="D665" i="6"/>
  <c r="D662" i="6"/>
  <c r="D661" i="6"/>
  <c r="D658" i="6"/>
  <c r="D655" i="6"/>
  <c r="D654" i="6"/>
  <c r="D653" i="6"/>
  <c r="D650" i="6"/>
  <c r="D644" i="6"/>
  <c r="D642" i="6"/>
  <c r="D641" i="6"/>
  <c r="D640" i="6"/>
  <c r="D628" i="6"/>
  <c r="D625" i="6"/>
  <c r="D618" i="6"/>
  <c r="D617" i="6"/>
  <c r="D616" i="6"/>
  <c r="D613" i="6"/>
  <c r="D612" i="6"/>
  <c r="D607" i="6"/>
  <c r="D606" i="6"/>
  <c r="D603" i="6"/>
  <c r="D601" i="6"/>
  <c r="D600" i="6"/>
  <c r="D597" i="6"/>
  <c r="D596" i="6"/>
  <c r="D595" i="6"/>
  <c r="D594" i="6"/>
  <c r="D593" i="6"/>
  <c r="D589" i="6"/>
  <c r="D584" i="6"/>
  <c r="D577" i="6"/>
  <c r="D576" i="6"/>
  <c r="D575" i="6"/>
  <c r="D570" i="6"/>
  <c r="D569" i="6"/>
  <c r="D568" i="6"/>
  <c r="D567" i="6"/>
  <c r="D566" i="6"/>
  <c r="D565" i="6"/>
  <c r="D564" i="6"/>
  <c r="D563" i="6"/>
  <c r="D562" i="6"/>
  <c r="D561" i="6"/>
  <c r="D556" i="6"/>
  <c r="D553" i="6"/>
  <c r="D551" i="6"/>
  <c r="D550" i="6"/>
  <c r="D541" i="6"/>
  <c r="D540" i="6"/>
  <c r="D538" i="6"/>
  <c r="D535" i="6"/>
  <c r="D534" i="6"/>
  <c r="D532" i="6"/>
  <c r="D529" i="6"/>
  <c r="D527" i="6"/>
  <c r="D526" i="6"/>
  <c r="D523" i="6"/>
  <c r="D521" i="6"/>
  <c r="D519" i="6"/>
  <c r="D511" i="6"/>
  <c r="D510" i="6"/>
  <c r="D509" i="6"/>
  <c r="D508" i="6"/>
  <c r="D504" i="6"/>
  <c r="D503" i="6"/>
  <c r="D502" i="6"/>
  <c r="D501" i="6"/>
  <c r="D500" i="6"/>
  <c r="D499" i="6"/>
  <c r="D497" i="6"/>
  <c r="D496" i="6"/>
  <c r="D490" i="6"/>
  <c r="D489" i="6"/>
  <c r="D488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5" i="6"/>
  <c r="D464" i="6"/>
  <c r="D460" i="6"/>
  <c r="D459" i="6"/>
  <c r="D458" i="6"/>
  <c r="D457" i="6"/>
  <c r="D454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4" i="6"/>
  <c r="D433" i="6"/>
  <c r="D432" i="6"/>
  <c r="D430" i="6"/>
  <c r="D429" i="6"/>
  <c r="D424" i="6"/>
  <c r="D423" i="6"/>
  <c r="D422" i="6"/>
  <c r="D421" i="6"/>
  <c r="D419" i="6"/>
  <c r="D418" i="6"/>
  <c r="D416" i="6"/>
  <c r="D415" i="6"/>
  <c r="D414" i="6"/>
  <c r="D411" i="6"/>
  <c r="D409" i="6"/>
  <c r="D406" i="6"/>
  <c r="D405" i="6"/>
  <c r="D403" i="6"/>
  <c r="D401" i="6"/>
  <c r="D400" i="6"/>
  <c r="D399" i="6"/>
  <c r="D398" i="6"/>
  <c r="D394" i="6"/>
  <c r="D392" i="6"/>
  <c r="D391" i="6"/>
  <c r="D390" i="6"/>
  <c r="D387" i="6"/>
  <c r="D386" i="6"/>
  <c r="D384" i="6"/>
  <c r="D383" i="6"/>
  <c r="D382" i="6"/>
  <c r="D376" i="6"/>
  <c r="D374" i="6"/>
  <c r="D373" i="6"/>
  <c r="D372" i="6"/>
  <c r="D370" i="6"/>
  <c r="D359" i="6"/>
  <c r="D358" i="6"/>
  <c r="D357" i="6"/>
  <c r="D356" i="6"/>
  <c r="D352" i="6"/>
  <c r="D351" i="6"/>
  <c r="D349" i="6"/>
  <c r="D348" i="6"/>
  <c r="D347" i="6"/>
  <c r="D344" i="6"/>
  <c r="D331" i="6"/>
  <c r="D330" i="6"/>
  <c r="D329" i="6"/>
  <c r="D328" i="6"/>
  <c r="D325" i="6"/>
  <c r="D324" i="6"/>
  <c r="D323" i="6"/>
  <c r="D322" i="6"/>
  <c r="D320" i="6"/>
  <c r="D319" i="6"/>
  <c r="D318" i="6"/>
  <c r="D317" i="6"/>
  <c r="D316" i="6"/>
  <c r="D315" i="6"/>
  <c r="D314" i="6"/>
  <c r="D312" i="6"/>
  <c r="D309" i="6"/>
  <c r="D307" i="6"/>
  <c r="D306" i="6"/>
  <c r="D305" i="6"/>
  <c r="D294" i="6"/>
  <c r="D293" i="6"/>
  <c r="D292" i="6"/>
  <c r="D291" i="6"/>
  <c r="D289" i="6"/>
  <c r="D288" i="6"/>
  <c r="D286" i="6"/>
  <c r="D285" i="6"/>
  <c r="D284" i="6"/>
  <c r="D283" i="6"/>
  <c r="D281" i="6"/>
  <c r="D280" i="6"/>
  <c r="D278" i="6"/>
  <c r="D277" i="6"/>
  <c r="D274" i="6"/>
  <c r="D272" i="6"/>
  <c r="D271" i="6"/>
  <c r="D270" i="6"/>
  <c r="D269" i="6"/>
  <c r="D268" i="6"/>
  <c r="D260" i="6"/>
  <c r="D259" i="6"/>
  <c r="D258" i="6"/>
  <c r="D255" i="6"/>
  <c r="D231" i="6"/>
  <c r="D226" i="6"/>
  <c r="D224" i="6"/>
  <c r="D218" i="6"/>
  <c r="D216" i="6"/>
  <c r="D212" i="6"/>
  <c r="D211" i="6"/>
  <c r="D208" i="6"/>
  <c r="D207" i="6"/>
  <c r="D206" i="6"/>
  <c r="D159" i="6"/>
  <c r="D157" i="6"/>
  <c r="D156" i="6"/>
  <c r="D153" i="6"/>
  <c r="D152" i="6"/>
  <c r="D151" i="6"/>
  <c r="D150" i="6"/>
  <c r="D146" i="6"/>
  <c r="D145" i="6"/>
  <c r="D144" i="6"/>
  <c r="D143" i="6"/>
  <c r="D134" i="6"/>
  <c r="D133" i="6"/>
  <c r="D132" i="6"/>
  <c r="D130" i="6"/>
  <c r="D129" i="6"/>
  <c r="D128" i="6"/>
  <c r="D127" i="6"/>
  <c r="D126" i="6"/>
  <c r="D125" i="6"/>
  <c r="D124" i="6"/>
  <c r="D123" i="6"/>
  <c r="D122" i="6"/>
  <c r="D121" i="6"/>
  <c r="D119" i="6"/>
  <c r="D108" i="6"/>
  <c r="D107" i="6"/>
  <c r="D104" i="6"/>
  <c r="D103" i="6"/>
  <c r="D102" i="6"/>
  <c r="D101" i="6"/>
  <c r="D100" i="6"/>
  <c r="D99" i="6"/>
  <c r="D98" i="6"/>
  <c r="D95" i="6"/>
  <c r="D93" i="6"/>
  <c r="D91" i="6"/>
  <c r="D89" i="6"/>
  <c r="D56" i="6"/>
  <c r="D55" i="6"/>
  <c r="D54" i="6"/>
  <c r="D25" i="6"/>
  <c r="D22" i="6"/>
  <c r="D16" i="6"/>
  <c r="D15" i="6"/>
  <c r="D14" i="6"/>
  <c r="D13" i="6"/>
  <c r="D12" i="6"/>
  <c r="D10" i="6"/>
  <c r="D9" i="6"/>
  <c r="D8" i="6"/>
  <c r="D7" i="6"/>
  <c r="D5" i="6"/>
  <c r="D4" i="6"/>
  <c r="D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2" i="6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2" i="5"/>
  <c r="C38" i="6"/>
  <c r="C638" i="6"/>
  <c r="C785" i="6"/>
  <c r="C786" i="6"/>
  <c r="C39" i="6"/>
  <c r="C40" i="6"/>
  <c r="C41" i="6"/>
  <c r="C42" i="6"/>
  <c r="C43" i="6"/>
  <c r="C44" i="6"/>
  <c r="C672" i="6"/>
  <c r="C135" i="6"/>
  <c r="C676" i="6"/>
  <c r="C136" i="6"/>
  <c r="C137" i="6"/>
  <c r="C138" i="6"/>
  <c r="C677" i="6"/>
  <c r="C139" i="6"/>
  <c r="C140" i="6"/>
  <c r="C141" i="6"/>
  <c r="C3" i="6"/>
  <c r="C4" i="6"/>
  <c r="C5" i="6"/>
  <c r="C6" i="6"/>
  <c r="C7" i="6"/>
  <c r="C799" i="6"/>
  <c r="C800" i="6"/>
  <c r="C8" i="6"/>
  <c r="C9" i="6"/>
  <c r="C10" i="6"/>
  <c r="C11" i="6"/>
  <c r="C12" i="6"/>
  <c r="C1069" i="6"/>
  <c r="C1188" i="6"/>
  <c r="C13" i="6"/>
  <c r="C14" i="6"/>
  <c r="C15" i="6"/>
  <c r="C615" i="6"/>
  <c r="C16" i="6"/>
  <c r="C814" i="6"/>
  <c r="C1205" i="6"/>
  <c r="C212" i="6"/>
  <c r="C214" i="6"/>
  <c r="C216" i="6"/>
  <c r="C643" i="6"/>
  <c r="C213" i="6"/>
  <c r="C215" i="6"/>
  <c r="C217" i="6"/>
  <c r="C1181" i="6"/>
  <c r="C1182" i="6"/>
  <c r="C218" i="6"/>
  <c r="C220" i="6"/>
  <c r="C222" i="6"/>
  <c r="C224" i="6"/>
  <c r="C219" i="6"/>
  <c r="C221" i="6"/>
  <c r="C223" i="6"/>
  <c r="C1183" i="6"/>
  <c r="C225" i="6"/>
  <c r="C226" i="6"/>
  <c r="C229" i="6"/>
  <c r="C231" i="6"/>
  <c r="C1184" i="6"/>
  <c r="C1185" i="6"/>
  <c r="C227" i="6"/>
  <c r="C228" i="6"/>
  <c r="C230" i="6"/>
  <c r="C232" i="6"/>
  <c r="C437" i="6"/>
  <c r="C438" i="6"/>
  <c r="C439" i="6"/>
  <c r="C966" i="6"/>
  <c r="C541" i="6"/>
  <c r="C617" i="6"/>
  <c r="C1166" i="6"/>
  <c r="C1167" i="6"/>
  <c r="C534" i="6"/>
  <c r="C539" i="6"/>
  <c r="C569" i="6"/>
  <c r="C540" i="6"/>
  <c r="C1168" i="6"/>
  <c r="C1169" i="6"/>
  <c r="C589" i="6"/>
  <c r="C467" i="6"/>
  <c r="C468" i="6"/>
  <c r="C655" i="6"/>
  <c r="C469" i="6"/>
  <c r="C625" i="6"/>
  <c r="C1139" i="6"/>
  <c r="C471" i="6"/>
  <c r="C472" i="6"/>
  <c r="C616" i="6"/>
  <c r="C470" i="6"/>
  <c r="C473" i="6"/>
  <c r="C644" i="6"/>
  <c r="C474" i="6"/>
  <c r="C475" i="6"/>
  <c r="C477" i="6"/>
  <c r="C478" i="6"/>
  <c r="C476" i="6"/>
  <c r="C1140" i="6"/>
  <c r="C479" i="6"/>
  <c r="C480" i="6"/>
  <c r="C538" i="6"/>
  <c r="C481" i="6"/>
  <c r="C1165" i="6"/>
  <c r="C482" i="6"/>
  <c r="C17" i="6"/>
  <c r="C18" i="6"/>
  <c r="C19" i="6"/>
  <c r="C20" i="6"/>
  <c r="C806" i="6"/>
  <c r="C21" i="6"/>
  <c r="C798" i="6"/>
  <c r="C1191" i="6"/>
  <c r="C22" i="6"/>
  <c r="C23" i="6"/>
  <c r="C24" i="6"/>
  <c r="C805" i="6"/>
  <c r="C25" i="6"/>
  <c r="C1189" i="6"/>
  <c r="C1190" i="6"/>
  <c r="C27" i="6"/>
  <c r="C28" i="6"/>
  <c r="C29" i="6"/>
  <c r="C30" i="6"/>
  <c r="C33" i="6"/>
  <c r="C35" i="6"/>
  <c r="C36" i="6"/>
  <c r="C652" i="6"/>
  <c r="C45" i="6"/>
  <c r="C46" i="6"/>
  <c r="C777" i="6"/>
  <c r="C813" i="6"/>
  <c r="C1192" i="6"/>
  <c r="C47" i="6"/>
  <c r="C49" i="6"/>
  <c r="C50" i="6"/>
  <c r="C48" i="6"/>
  <c r="C624" i="6"/>
  <c r="C646" i="6"/>
  <c r="C89" i="6"/>
  <c r="C90" i="6"/>
  <c r="C91" i="6"/>
  <c r="C92" i="6"/>
  <c r="C93" i="6"/>
  <c r="C94" i="6"/>
  <c r="C95" i="6"/>
  <c r="C551" i="6"/>
  <c r="C98" i="6"/>
  <c r="C673" i="6"/>
  <c r="C99" i="6"/>
  <c r="C100" i="6"/>
  <c r="C675" i="6"/>
  <c r="C585" i="6"/>
  <c r="C623" i="6"/>
  <c r="C101" i="6"/>
  <c r="C102" i="6"/>
  <c r="C103" i="6"/>
  <c r="C628" i="6"/>
  <c r="C674" i="6"/>
  <c r="C1059" i="6"/>
  <c r="C1132" i="6"/>
  <c r="C104" i="6"/>
  <c r="C106" i="6"/>
  <c r="C108" i="6"/>
  <c r="C1179" i="6"/>
  <c r="C105" i="6"/>
  <c r="C107" i="6"/>
  <c r="C570" i="6"/>
  <c r="C109" i="6"/>
  <c r="C111" i="6"/>
  <c r="C112" i="6"/>
  <c r="C630" i="6"/>
  <c r="C807" i="6"/>
  <c r="C113" i="6"/>
  <c r="C114" i="6"/>
  <c r="C115" i="6"/>
  <c r="C533" i="6"/>
  <c r="C670" i="6"/>
  <c r="C682" i="6"/>
  <c r="C169" i="6"/>
  <c r="C170" i="6"/>
  <c r="C171" i="6"/>
  <c r="C172" i="6"/>
  <c r="C173" i="6"/>
  <c r="C174" i="6"/>
  <c r="C175" i="6"/>
  <c r="C647" i="6"/>
  <c r="C168" i="6"/>
  <c r="C1180" i="6"/>
  <c r="C160" i="6"/>
  <c r="C161" i="6"/>
  <c r="C162" i="6"/>
  <c r="C163" i="6"/>
  <c r="C164" i="6"/>
  <c r="C165" i="6"/>
  <c r="C166" i="6"/>
  <c r="C167" i="6"/>
  <c r="C648" i="6"/>
  <c r="C656" i="6"/>
  <c r="C811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639" i="6"/>
  <c r="C782" i="6"/>
  <c r="C202" i="6"/>
  <c r="C203" i="6"/>
  <c r="C204" i="6"/>
  <c r="C205" i="6"/>
  <c r="C206" i="6"/>
  <c r="C207" i="6"/>
  <c r="C208" i="6"/>
  <c r="C209" i="6"/>
  <c r="C210" i="6"/>
  <c r="C211" i="6"/>
  <c r="C233" i="6"/>
  <c r="C235" i="6"/>
  <c r="C1186" i="6"/>
  <c r="C238" i="6"/>
  <c r="C234" i="6"/>
  <c r="C236" i="6"/>
  <c r="C237" i="6"/>
  <c r="C239" i="6"/>
  <c r="C240" i="6"/>
  <c r="C242" i="6"/>
  <c r="C1187" i="6"/>
  <c r="C245" i="6"/>
  <c r="C241" i="6"/>
  <c r="C243" i="6"/>
  <c r="C244" i="6"/>
  <c r="C246" i="6"/>
  <c r="C247" i="6"/>
  <c r="C248" i="6"/>
  <c r="C249" i="6"/>
  <c r="C250" i="6"/>
  <c r="C251" i="6"/>
  <c r="C252" i="6"/>
  <c r="C253" i="6"/>
  <c r="C254" i="6"/>
  <c r="C536" i="6"/>
  <c r="C281" i="6"/>
  <c r="C282" i="6"/>
  <c r="C283" i="6"/>
  <c r="C284" i="6"/>
  <c r="C285" i="6"/>
  <c r="C286" i="6"/>
  <c r="C287" i="6"/>
  <c r="C290" i="6"/>
  <c r="C291" i="6"/>
  <c r="C292" i="6"/>
  <c r="C293" i="6"/>
  <c r="C294" i="6"/>
  <c r="C289" i="6"/>
  <c r="C288" i="6"/>
  <c r="C295" i="6"/>
  <c r="C296" i="6"/>
  <c r="C297" i="6"/>
  <c r="C298" i="6"/>
  <c r="C547" i="6"/>
  <c r="C554" i="6"/>
  <c r="C793" i="6"/>
  <c r="C299" i="6"/>
  <c r="C300" i="6"/>
  <c r="C301" i="6"/>
  <c r="C302" i="6"/>
  <c r="C557" i="6"/>
  <c r="C610" i="6"/>
  <c r="C679" i="6"/>
  <c r="C303" i="6"/>
  <c r="C304" i="6"/>
  <c r="C305" i="6"/>
  <c r="C306" i="6"/>
  <c r="C307" i="6"/>
  <c r="C308" i="6"/>
  <c r="C309" i="6"/>
  <c r="C546" i="6"/>
  <c r="C1151" i="6"/>
  <c r="C634" i="6"/>
  <c r="C563" i="6"/>
  <c r="C600" i="6"/>
  <c r="C601" i="6"/>
  <c r="C1153" i="6"/>
  <c r="C602" i="6"/>
  <c r="C313" i="6"/>
  <c r="C315" i="6"/>
  <c r="C316" i="6"/>
  <c r="C318" i="6"/>
  <c r="C537" i="6"/>
  <c r="C636" i="6"/>
  <c r="C1154" i="6"/>
  <c r="C310" i="6"/>
  <c r="C311" i="6"/>
  <c r="C312" i="6"/>
  <c r="C314" i="6"/>
  <c r="C317" i="6"/>
  <c r="C319" i="6"/>
  <c r="C364" i="6"/>
  <c r="C365" i="6"/>
  <c r="C366" i="6"/>
  <c r="C367" i="6"/>
  <c r="C369" i="6"/>
  <c r="C371" i="6"/>
  <c r="C373" i="6"/>
  <c r="C375" i="6"/>
  <c r="C377" i="6"/>
  <c r="C621" i="6"/>
  <c r="C637" i="6"/>
  <c r="C668" i="6"/>
  <c r="C1073" i="6"/>
  <c r="C368" i="6"/>
  <c r="C370" i="6"/>
  <c r="C372" i="6"/>
  <c r="C374" i="6"/>
  <c r="C376" i="6"/>
  <c r="C968" i="6"/>
  <c r="C1126" i="6"/>
  <c r="C1162" i="6"/>
  <c r="C1134" i="6"/>
  <c r="C378" i="6"/>
  <c r="C379" i="6"/>
  <c r="C380" i="6"/>
  <c r="C381" i="6"/>
  <c r="C382" i="6"/>
  <c r="C383" i="6"/>
  <c r="C384" i="6"/>
  <c r="C385" i="6"/>
  <c r="C386" i="6"/>
  <c r="C818" i="6"/>
  <c r="C395" i="6"/>
  <c r="C812" i="6"/>
  <c r="C397" i="6"/>
  <c r="C399" i="6"/>
  <c r="C400" i="6"/>
  <c r="C402" i="6"/>
  <c r="C398" i="6"/>
  <c r="C396" i="6"/>
  <c r="C401" i="6"/>
  <c r="C792" i="6"/>
  <c r="C1143" i="6"/>
  <c r="C1142" i="6"/>
  <c r="C1144" i="6"/>
  <c r="C1145" i="6"/>
  <c r="C403" i="6"/>
  <c r="C404" i="6"/>
  <c r="C405" i="6"/>
  <c r="C406" i="6"/>
  <c r="C407" i="6"/>
  <c r="C408" i="6"/>
  <c r="C409" i="6"/>
  <c r="C410" i="6"/>
  <c r="C548" i="6"/>
  <c r="C411" i="6"/>
  <c r="C413" i="6"/>
  <c r="C414" i="6"/>
  <c r="C415" i="6"/>
  <c r="C803" i="6"/>
  <c r="C635" i="6"/>
  <c r="C416" i="6"/>
  <c r="C417" i="6"/>
  <c r="C412" i="6"/>
  <c r="C418" i="6"/>
  <c r="C419" i="6"/>
  <c r="C420" i="6"/>
  <c r="C421" i="6"/>
  <c r="C552" i="6"/>
  <c r="C819" i="6"/>
  <c r="C422" i="6"/>
  <c r="C423" i="6"/>
  <c r="C527" i="6"/>
  <c r="C1131" i="6"/>
  <c r="C661" i="6"/>
  <c r="C424" i="6"/>
  <c r="C967" i="6"/>
  <c r="C1176" i="6"/>
  <c r="C425" i="6"/>
  <c r="C427" i="6"/>
  <c r="C1201" i="6"/>
  <c r="C1202" i="6"/>
  <c r="C428" i="6"/>
  <c r="C426" i="6"/>
  <c r="C1203" i="6"/>
  <c r="C1204" i="6"/>
  <c r="C429" i="6"/>
  <c r="C433" i="6"/>
  <c r="C550" i="6"/>
  <c r="C564" i="6"/>
  <c r="C596" i="6"/>
  <c r="C631" i="6"/>
  <c r="C632" i="6"/>
  <c r="C650" i="6"/>
  <c r="C430" i="6"/>
  <c r="C431" i="6"/>
  <c r="C432" i="6"/>
  <c r="C434" i="6"/>
  <c r="C435" i="6"/>
  <c r="C436" i="6"/>
  <c r="C532" i="6"/>
  <c r="C607" i="6"/>
  <c r="C972" i="6"/>
  <c r="C441" i="6"/>
  <c r="C562" i="6"/>
  <c r="C440" i="6"/>
  <c r="C442" i="6"/>
  <c r="C626" i="6"/>
  <c r="C795" i="6"/>
  <c r="C821" i="6"/>
  <c r="C1064" i="6"/>
  <c r="C485" i="6"/>
  <c r="C486" i="6"/>
  <c r="C487" i="6"/>
  <c r="C545" i="6"/>
  <c r="C483" i="6"/>
  <c r="C484" i="6"/>
  <c r="C640" i="6"/>
  <c r="C642" i="6"/>
  <c r="C535" i="6"/>
  <c r="C612" i="6"/>
  <c r="C488" i="6"/>
  <c r="C791" i="6"/>
  <c r="C802" i="6"/>
  <c r="C618" i="6"/>
  <c r="C1170" i="6"/>
  <c r="C783" i="6"/>
  <c r="C489" i="6"/>
  <c r="C490" i="6"/>
  <c r="C491" i="6"/>
  <c r="C492" i="6"/>
  <c r="C493" i="6"/>
  <c r="C528" i="6"/>
  <c r="C593" i="6"/>
  <c r="C603" i="6"/>
  <c r="C1066" i="6"/>
  <c r="C1128" i="6"/>
  <c r="C594" i="6"/>
  <c r="C597" i="6"/>
  <c r="C613" i="6"/>
  <c r="C614" i="6"/>
  <c r="C794" i="6"/>
  <c r="C1171" i="6"/>
  <c r="C1172" i="6"/>
  <c r="C1173" i="6"/>
  <c r="C1174" i="6"/>
  <c r="C1175" i="6"/>
  <c r="C496" i="6"/>
  <c r="C497" i="6"/>
  <c r="C498" i="6"/>
  <c r="C499" i="6"/>
  <c r="C500" i="6"/>
  <c r="C501" i="6"/>
  <c r="C502" i="6"/>
  <c r="C681" i="6"/>
  <c r="C970" i="6"/>
  <c r="C153" i="6"/>
  <c r="C154" i="6"/>
  <c r="C155" i="6"/>
  <c r="C156" i="6"/>
  <c r="C157" i="6"/>
  <c r="C158" i="6"/>
  <c r="C159" i="6"/>
  <c r="C524" i="6"/>
  <c r="C525" i="6"/>
  <c r="C530" i="6"/>
  <c r="C559" i="6"/>
  <c r="C657" i="6"/>
  <c r="C658" i="6"/>
  <c r="C669" i="6"/>
  <c r="C784" i="6"/>
  <c r="C1065" i="6"/>
  <c r="C176" i="6"/>
  <c r="C177" i="6"/>
  <c r="C178" i="6"/>
  <c r="C179" i="6"/>
  <c r="C180" i="6"/>
  <c r="C181" i="6"/>
  <c r="C182" i="6"/>
  <c r="C183" i="6"/>
  <c r="C184" i="6"/>
  <c r="C185" i="6"/>
  <c r="C611" i="6"/>
  <c r="C649" i="6"/>
  <c r="C660" i="6"/>
  <c r="C680" i="6"/>
  <c r="C255" i="6"/>
  <c r="C256" i="6"/>
  <c r="C257" i="6"/>
  <c r="C258" i="6"/>
  <c r="C259" i="6"/>
  <c r="C260" i="6"/>
  <c r="C796" i="6"/>
  <c r="C261" i="6"/>
  <c r="C262" i="6"/>
  <c r="C263" i="6"/>
  <c r="C264" i="6"/>
  <c r="C265" i="6"/>
  <c r="C266" i="6"/>
  <c r="C586" i="6"/>
  <c r="C274" i="6"/>
  <c r="C275" i="6"/>
  <c r="C276" i="6"/>
  <c r="C277" i="6"/>
  <c r="C278" i="6"/>
  <c r="C279" i="6"/>
  <c r="C280" i="6"/>
  <c r="C320" i="6"/>
  <c r="C321" i="6"/>
  <c r="C322" i="6"/>
  <c r="C323" i="6"/>
  <c r="C324" i="6"/>
  <c r="C325" i="6"/>
  <c r="C560" i="6"/>
  <c r="C582" i="6"/>
  <c r="C633" i="6"/>
  <c r="C671" i="6"/>
  <c r="C326" i="6"/>
  <c r="C327" i="6"/>
  <c r="C328" i="6"/>
  <c r="C329" i="6"/>
  <c r="C330" i="6"/>
  <c r="C331" i="6"/>
  <c r="C549" i="6"/>
  <c r="C571" i="6"/>
  <c r="C578" i="6"/>
  <c r="C629" i="6"/>
  <c r="C333" i="6"/>
  <c r="C334" i="6"/>
  <c r="C336" i="6"/>
  <c r="C339" i="6"/>
  <c r="C341" i="6"/>
  <c r="C342" i="6"/>
  <c r="C335" i="6"/>
  <c r="C337" i="6"/>
  <c r="C340" i="6"/>
  <c r="C1163" i="6"/>
  <c r="C591" i="6"/>
  <c r="C592" i="6"/>
  <c r="C338" i="6"/>
  <c r="C343" i="6"/>
  <c r="C1164" i="6"/>
  <c r="C651" i="6"/>
  <c r="C664" i="6"/>
  <c r="C344" i="6"/>
  <c r="C345" i="6"/>
  <c r="C346" i="6"/>
  <c r="C347" i="6"/>
  <c r="C348" i="6"/>
  <c r="C349" i="6"/>
  <c r="C350" i="6"/>
  <c r="C351" i="6"/>
  <c r="C352" i="6"/>
  <c r="C820" i="6"/>
  <c r="C353" i="6"/>
  <c r="C354" i="6"/>
  <c r="C355" i="6"/>
  <c r="C356" i="6"/>
  <c r="C357" i="6"/>
  <c r="C358" i="6"/>
  <c r="C359" i="6"/>
  <c r="C360" i="6"/>
  <c r="C361" i="6"/>
  <c r="C362" i="6"/>
  <c r="C363" i="6"/>
  <c r="C543" i="6"/>
  <c r="C590" i="6"/>
  <c r="C599" i="6"/>
  <c r="C804" i="6"/>
  <c r="C963" i="6"/>
  <c r="C969" i="6"/>
  <c r="C387" i="6"/>
  <c r="C388" i="6"/>
  <c r="C389" i="6"/>
  <c r="C390" i="6"/>
  <c r="C391" i="6"/>
  <c r="C392" i="6"/>
  <c r="C393" i="6"/>
  <c r="C394" i="6"/>
  <c r="C544" i="6"/>
  <c r="C568" i="6"/>
  <c r="C604" i="6"/>
  <c r="C608" i="6"/>
  <c r="C666" i="6"/>
  <c r="C1135" i="6"/>
  <c r="C443" i="6"/>
  <c r="C444" i="6"/>
  <c r="C445" i="6"/>
  <c r="C446" i="6"/>
  <c r="C447" i="6"/>
  <c r="C553" i="6"/>
  <c r="C556" i="6"/>
  <c r="C595" i="6"/>
  <c r="C606" i="6"/>
  <c r="C659" i="6"/>
  <c r="C663" i="6"/>
  <c r="C781" i="6"/>
  <c r="C448" i="6"/>
  <c r="C449" i="6"/>
  <c r="C450" i="6"/>
  <c r="C451" i="6"/>
  <c r="C452" i="6"/>
  <c r="C453" i="6"/>
  <c r="C454" i="6"/>
  <c r="C542" i="6"/>
  <c r="C456" i="6"/>
  <c r="C458" i="6"/>
  <c r="C459" i="6"/>
  <c r="C1141" i="6"/>
  <c r="C457" i="6"/>
  <c r="C455" i="6"/>
  <c r="C460" i="6"/>
  <c r="C1146" i="6"/>
  <c r="C662" i="6"/>
  <c r="C1147" i="6"/>
  <c r="C1148" i="6"/>
  <c r="C1149" i="6"/>
  <c r="C461" i="6"/>
  <c r="C462" i="6"/>
  <c r="C531" i="6"/>
  <c r="C678" i="6"/>
  <c r="C555" i="6"/>
  <c r="C619" i="6"/>
  <c r="C1177" i="6"/>
  <c r="C667" i="6"/>
  <c r="C463" i="6"/>
  <c r="C464" i="6"/>
  <c r="C465" i="6"/>
  <c r="C526" i="6"/>
  <c r="C466" i="6"/>
  <c r="C1178" i="6"/>
  <c r="C573" i="6"/>
  <c r="C801" i="6"/>
  <c r="C503" i="6"/>
  <c r="C504" i="6"/>
  <c r="C505" i="6"/>
  <c r="C506" i="6"/>
  <c r="C507" i="6"/>
  <c r="C508" i="6"/>
  <c r="C509" i="6"/>
  <c r="C510" i="6"/>
  <c r="C511" i="6"/>
  <c r="C574" i="6"/>
  <c r="C575" i="6"/>
  <c r="C587" i="6"/>
  <c r="C588" i="6"/>
  <c r="C605" i="6"/>
  <c r="C622" i="6"/>
  <c r="C627" i="6"/>
  <c r="C645" i="6"/>
  <c r="C790" i="6"/>
  <c r="C797" i="6"/>
  <c r="C1006" i="6"/>
  <c r="C142" i="6"/>
  <c r="C143" i="6"/>
  <c r="C144" i="6"/>
  <c r="C145" i="6"/>
  <c r="C146" i="6"/>
  <c r="C147" i="6"/>
  <c r="C267" i="6"/>
  <c r="C268" i="6"/>
  <c r="C269" i="6"/>
  <c r="C270" i="6"/>
  <c r="C271" i="6"/>
  <c r="C272" i="6"/>
  <c r="C273" i="6"/>
  <c r="C513" i="6"/>
  <c r="C1150" i="6"/>
  <c r="C515" i="6"/>
  <c r="C517" i="6"/>
  <c r="C512" i="6"/>
  <c r="C1155" i="6"/>
  <c r="C516" i="6"/>
  <c r="C609" i="6"/>
  <c r="C518" i="6"/>
  <c r="C1152" i="6"/>
  <c r="C598" i="6"/>
  <c r="C1156" i="6"/>
  <c r="C1157" i="6"/>
  <c r="C514" i="6"/>
  <c r="C54" i="6"/>
  <c r="C55" i="6"/>
  <c r="C56" i="6"/>
  <c r="C809" i="6"/>
  <c r="C1193" i="6"/>
  <c r="C565" i="6"/>
  <c r="C119" i="6"/>
  <c r="C121" i="6"/>
  <c r="C122" i="6"/>
  <c r="C123" i="6"/>
  <c r="C561" i="6"/>
  <c r="C584" i="6"/>
  <c r="C641" i="6"/>
  <c r="C665" i="6"/>
  <c r="C124" i="6"/>
  <c r="C125" i="6"/>
  <c r="C126" i="6"/>
  <c r="C127" i="6"/>
  <c r="C128" i="6"/>
  <c r="C129" i="6"/>
  <c r="C130" i="6"/>
  <c r="C131" i="6"/>
  <c r="C132" i="6"/>
  <c r="C133" i="6"/>
  <c r="C134" i="6"/>
  <c r="C148" i="6"/>
  <c r="C149" i="6"/>
  <c r="C150" i="6"/>
  <c r="C151" i="6"/>
  <c r="C152" i="6"/>
  <c r="C519" i="6"/>
  <c r="C808" i="6"/>
  <c r="C520" i="6"/>
  <c r="C521" i="6"/>
  <c r="C522" i="6"/>
  <c r="C580" i="6"/>
  <c r="C529" i="6"/>
  <c r="C1158" i="6"/>
  <c r="C523" i="6"/>
  <c r="C755" i="6"/>
  <c r="C824" i="6"/>
  <c r="C1159" i="6"/>
  <c r="C1160" i="6"/>
  <c r="C1161" i="6"/>
  <c r="C494" i="6"/>
  <c r="C495" i="6"/>
  <c r="C620" i="6"/>
  <c r="C558" i="6"/>
  <c r="C815" i="6"/>
  <c r="C1136" i="6"/>
  <c r="C706" i="6"/>
  <c r="C707" i="6"/>
  <c r="C708" i="6"/>
  <c r="C709" i="6"/>
  <c r="C710" i="6"/>
  <c r="C711" i="6"/>
  <c r="C1005" i="6"/>
  <c r="C724" i="6"/>
  <c r="C725" i="6"/>
  <c r="C727" i="6"/>
  <c r="C825" i="6"/>
  <c r="C827" i="6"/>
  <c r="C829" i="6"/>
  <c r="C830" i="6"/>
  <c r="C831" i="6"/>
  <c r="C832" i="6"/>
  <c r="C879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4" i="6"/>
  <c r="C975" i="6"/>
  <c r="C893" i="6"/>
  <c r="C895" i="6"/>
  <c r="C896" i="6"/>
  <c r="C897" i="6"/>
  <c r="C898" i="6"/>
  <c r="C899" i="6"/>
  <c r="C976" i="6"/>
  <c r="C1061" i="6"/>
  <c r="C900" i="6"/>
  <c r="C901" i="6"/>
  <c r="C902" i="6"/>
  <c r="C903" i="6"/>
  <c r="C904" i="6"/>
  <c r="C837" i="6"/>
  <c r="C839" i="6"/>
  <c r="C842" i="6"/>
  <c r="C844" i="6"/>
  <c r="C922" i="6"/>
  <c r="C923" i="6"/>
  <c r="C924" i="6"/>
  <c r="C925" i="6"/>
  <c r="C982" i="6"/>
  <c r="C983" i="6"/>
  <c r="C958" i="6"/>
  <c r="C959" i="6"/>
  <c r="C961" i="6"/>
  <c r="C962" i="6"/>
  <c r="C984" i="6"/>
  <c r="C985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23" i="6"/>
  <c r="C1024" i="6"/>
  <c r="C1025" i="6"/>
  <c r="C1026" i="6"/>
  <c r="C1074" i="6"/>
  <c r="C1075" i="6"/>
  <c r="C1076" i="6"/>
  <c r="C1077" i="6"/>
  <c r="C1078" i="6"/>
  <c r="C1079" i="6"/>
  <c r="C1080" i="6"/>
  <c r="C1081" i="6"/>
  <c r="C1082" i="6"/>
  <c r="C1129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683" i="6"/>
  <c r="C684" i="6"/>
  <c r="C685" i="6"/>
  <c r="C686" i="6"/>
  <c r="C691" i="6"/>
  <c r="C692" i="6"/>
  <c r="C693" i="6"/>
  <c r="C694" i="6"/>
  <c r="C965" i="6"/>
  <c r="C699" i="6"/>
  <c r="C700" i="6"/>
  <c r="C701" i="6"/>
  <c r="C702" i="6"/>
  <c r="C703" i="6"/>
  <c r="C704" i="6"/>
  <c r="C705" i="6"/>
  <c r="C737" i="6"/>
  <c r="C738" i="6"/>
  <c r="C739" i="6"/>
  <c r="C740" i="6"/>
  <c r="C741" i="6"/>
  <c r="C1207" i="6"/>
  <c r="C735" i="6"/>
  <c r="C736" i="6"/>
  <c r="C775" i="6"/>
  <c r="C776" i="6"/>
  <c r="C742" i="6"/>
  <c r="C743" i="6"/>
  <c r="C744" i="6"/>
  <c r="C787" i="6"/>
  <c r="C788" i="6"/>
  <c r="C789" i="6"/>
  <c r="C822" i="6"/>
  <c r="C964" i="6"/>
  <c r="C1070" i="6"/>
  <c r="C1071" i="6"/>
  <c r="C1072" i="6"/>
  <c r="C833" i="6"/>
  <c r="C834" i="6"/>
  <c r="C835" i="6"/>
  <c r="C836" i="6"/>
  <c r="C838" i="6"/>
  <c r="C840" i="6"/>
  <c r="C841" i="6"/>
  <c r="C843" i="6"/>
  <c r="C845" i="6"/>
  <c r="C846" i="6"/>
  <c r="C848" i="6"/>
  <c r="C849" i="6"/>
  <c r="C973" i="6"/>
  <c r="C852" i="6"/>
  <c r="C854" i="6"/>
  <c r="C855" i="6"/>
  <c r="C857" i="6"/>
  <c r="C858" i="6"/>
  <c r="C859" i="6"/>
  <c r="C860" i="6"/>
  <c r="C862" i="6"/>
  <c r="C873" i="6"/>
  <c r="C874" i="6"/>
  <c r="C875" i="6"/>
  <c r="C876" i="6"/>
  <c r="C877" i="6"/>
  <c r="C878" i="6"/>
  <c r="C905" i="6"/>
  <c r="C906" i="6"/>
  <c r="C907" i="6"/>
  <c r="C908" i="6"/>
  <c r="C909" i="6"/>
  <c r="C910" i="6"/>
  <c r="C911" i="6"/>
  <c r="C1047" i="6"/>
  <c r="C1048" i="6"/>
  <c r="C1049" i="6"/>
  <c r="C1050" i="6"/>
  <c r="C1051" i="6"/>
  <c r="C1052" i="6"/>
  <c r="C1053" i="6"/>
  <c r="C1054" i="6"/>
  <c r="C1055" i="6"/>
  <c r="C1056" i="6"/>
  <c r="C1057" i="6"/>
  <c r="C1127" i="6"/>
  <c r="C1130" i="6"/>
  <c r="C1058" i="6"/>
  <c r="C1027" i="6"/>
  <c r="C1028" i="6"/>
  <c r="C1029" i="6"/>
  <c r="C1030" i="6"/>
  <c r="C1031" i="6"/>
  <c r="C880" i="6"/>
  <c r="C974" i="6"/>
  <c r="C977" i="6"/>
  <c r="C978" i="6"/>
  <c r="C979" i="6"/>
  <c r="C980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116" i="6"/>
  <c r="C1117" i="6"/>
  <c r="C1118" i="6"/>
  <c r="C1119" i="6"/>
  <c r="C1120" i="6"/>
  <c r="C1121" i="6"/>
  <c r="C1122" i="6"/>
  <c r="C1123" i="6"/>
  <c r="C1194" i="6"/>
  <c r="C1195" i="6"/>
  <c r="C1196" i="6"/>
  <c r="C1198" i="6"/>
  <c r="C1199" i="6"/>
  <c r="C1200" i="6"/>
  <c r="C758" i="6"/>
  <c r="C759" i="6"/>
  <c r="C760" i="6"/>
  <c r="C761" i="6"/>
  <c r="C762" i="6"/>
  <c r="C763" i="6"/>
  <c r="C764" i="6"/>
  <c r="C765" i="6"/>
  <c r="C766" i="6"/>
  <c r="C767" i="6"/>
  <c r="C748" i="6"/>
  <c r="C749" i="6"/>
  <c r="C750" i="6"/>
  <c r="C751" i="6"/>
  <c r="C971" i="6"/>
  <c r="C717" i="6"/>
  <c r="C718" i="6"/>
  <c r="C720" i="6"/>
  <c r="C752" i="6"/>
  <c r="C753" i="6"/>
  <c r="C754" i="6"/>
  <c r="C729" i="6"/>
  <c r="C731" i="6"/>
  <c r="C768" i="6"/>
  <c r="C769" i="6"/>
  <c r="C778" i="6"/>
  <c r="C779" i="6"/>
  <c r="C780" i="6"/>
  <c r="C937" i="6"/>
  <c r="C938" i="6"/>
  <c r="C939" i="6"/>
  <c r="C940" i="6"/>
  <c r="C823" i="6"/>
  <c r="C941" i="6"/>
  <c r="C942" i="6"/>
  <c r="C943" i="6"/>
  <c r="C944" i="6"/>
  <c r="C945" i="6"/>
  <c r="C946" i="6"/>
  <c r="C956" i="6"/>
  <c r="C957" i="6"/>
  <c r="C918" i="6"/>
  <c r="C919" i="6"/>
  <c r="C920" i="6"/>
  <c r="C921" i="6"/>
  <c r="C947" i="6"/>
  <c r="C948" i="6"/>
  <c r="C949" i="6"/>
  <c r="C950" i="6"/>
  <c r="C951" i="6"/>
  <c r="C952" i="6"/>
  <c r="C953" i="6"/>
  <c r="C954" i="6"/>
  <c r="C955" i="6"/>
  <c r="C847" i="6"/>
  <c r="C851" i="6"/>
  <c r="C853" i="6"/>
  <c r="C1067" i="6"/>
  <c r="C856" i="6"/>
  <c r="C1208" i="6"/>
  <c r="C850" i="6"/>
  <c r="C861" i="6"/>
  <c r="C863" i="6"/>
  <c r="C864" i="6"/>
  <c r="C865" i="6"/>
  <c r="C866" i="6"/>
  <c r="C867" i="6"/>
  <c r="C868" i="6"/>
  <c r="C869" i="6"/>
  <c r="C870" i="6"/>
  <c r="C871" i="6"/>
  <c r="C872" i="6"/>
  <c r="C1138" i="6"/>
  <c r="C1137" i="6"/>
  <c r="C914" i="6"/>
  <c r="C915" i="6"/>
  <c r="C916" i="6"/>
  <c r="C1125" i="6"/>
  <c r="C1133" i="6"/>
  <c r="C981" i="6"/>
  <c r="C653" i="6"/>
  <c r="C654" i="6"/>
  <c r="C756" i="6"/>
  <c r="C1124" i="6"/>
  <c r="C757" i="6"/>
  <c r="C712" i="6"/>
  <c r="C713" i="6"/>
  <c r="C714" i="6"/>
  <c r="C715" i="6"/>
  <c r="C716" i="6"/>
  <c r="C770" i="6"/>
  <c r="C771" i="6"/>
  <c r="C772" i="6"/>
  <c r="C773" i="6"/>
  <c r="C774" i="6"/>
  <c r="C687" i="6"/>
  <c r="C688" i="6"/>
  <c r="C689" i="6"/>
  <c r="C690" i="6"/>
  <c r="C1068" i="6"/>
  <c r="C745" i="6"/>
  <c r="C746" i="6"/>
  <c r="C747" i="6"/>
  <c r="C695" i="6"/>
  <c r="C696" i="6"/>
  <c r="C697" i="6"/>
  <c r="C698" i="6"/>
  <c r="C826" i="6"/>
  <c r="C828" i="6"/>
  <c r="C912" i="6"/>
  <c r="C913" i="6"/>
  <c r="C917" i="6"/>
  <c r="C719" i="6"/>
  <c r="C721" i="6"/>
  <c r="C816" i="6"/>
  <c r="C722" i="6"/>
  <c r="C723" i="6"/>
  <c r="C726" i="6"/>
  <c r="C728" i="6"/>
  <c r="C817" i="6"/>
  <c r="C730" i="6"/>
  <c r="C732" i="6"/>
  <c r="C733" i="6"/>
  <c r="C734" i="6"/>
  <c r="C810" i="6"/>
  <c r="C926" i="6"/>
  <c r="C927" i="6"/>
  <c r="C1060" i="6"/>
  <c r="C928" i="6"/>
  <c r="C929" i="6"/>
  <c r="C930" i="6"/>
  <c r="C1206" i="6"/>
  <c r="C931" i="6"/>
  <c r="C932" i="6"/>
  <c r="C933" i="6"/>
  <c r="C934" i="6"/>
  <c r="C935" i="6"/>
  <c r="C936" i="6"/>
  <c r="C986" i="6"/>
  <c r="C987" i="6"/>
  <c r="C988" i="6"/>
  <c r="C989" i="6"/>
  <c r="C990" i="6"/>
  <c r="C991" i="6"/>
  <c r="C992" i="6"/>
  <c r="C993" i="6"/>
  <c r="C1062" i="6"/>
  <c r="C1063" i="6"/>
  <c r="C994" i="6"/>
  <c r="C995" i="6"/>
  <c r="C996" i="6"/>
  <c r="C997" i="6"/>
  <c r="C998" i="6"/>
  <c r="C999" i="6"/>
  <c r="C1001" i="6"/>
  <c r="C1002" i="6"/>
  <c r="C1003" i="6"/>
  <c r="C1004" i="6"/>
  <c r="C1032" i="6"/>
  <c r="C1033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278" i="6"/>
  <c r="C1279" i="6"/>
  <c r="C1280" i="6"/>
  <c r="C1276" i="6"/>
  <c r="C57" i="6"/>
  <c r="C59" i="6"/>
  <c r="C61" i="6"/>
  <c r="C63" i="6"/>
  <c r="C65" i="6"/>
  <c r="C67" i="6"/>
  <c r="C69" i="6"/>
  <c r="C73" i="6"/>
  <c r="C75" i="6"/>
  <c r="C77" i="6"/>
  <c r="C79" i="6"/>
  <c r="C81" i="6"/>
  <c r="C83" i="6"/>
  <c r="C85" i="6"/>
  <c r="C87" i="6"/>
  <c r="C71" i="6"/>
  <c r="C1277" i="6"/>
  <c r="C1231" i="6"/>
  <c r="C1227" i="6"/>
  <c r="C1215" i="6"/>
  <c r="C1214" i="6"/>
  <c r="C1250" i="6"/>
  <c r="C1251" i="6"/>
  <c r="C1252" i="6"/>
  <c r="C1253" i="6"/>
  <c r="C1254" i="6"/>
  <c r="C1255" i="6"/>
  <c r="C1213" i="6"/>
  <c r="C1247" i="6"/>
  <c r="C1257" i="6"/>
  <c r="C1258" i="6"/>
  <c r="C1249" i="6"/>
  <c r="C1248" i="6"/>
  <c r="C1232" i="6"/>
  <c r="C1256" i="6"/>
  <c r="C1211" i="6"/>
  <c r="C1271" i="6"/>
  <c r="C1230" i="6"/>
  <c r="C1233" i="6"/>
  <c r="C1234" i="6"/>
  <c r="C1238" i="6"/>
  <c r="C1237" i="6"/>
  <c r="C1235" i="6"/>
  <c r="C1236" i="6"/>
  <c r="C1239" i="6"/>
  <c r="C1240" i="6"/>
  <c r="C1241" i="6"/>
  <c r="C1242" i="6"/>
  <c r="C1243" i="6"/>
  <c r="C1245" i="6"/>
  <c r="C1244" i="6"/>
  <c r="C1246" i="6"/>
  <c r="C1229" i="6"/>
  <c r="C1220" i="6"/>
  <c r="C1224" i="6"/>
  <c r="C1216" i="6"/>
  <c r="C1217" i="6"/>
  <c r="C1218" i="6"/>
  <c r="C1228" i="6"/>
  <c r="C2" i="6"/>
  <c r="C26" i="6"/>
  <c r="C1272" i="6"/>
  <c r="C96" i="6"/>
  <c r="C1219" i="6"/>
  <c r="C1210" i="6"/>
  <c r="C120" i="6"/>
  <c r="C566" i="6"/>
  <c r="C567" i="6"/>
  <c r="C1221" i="6"/>
  <c r="C110" i="6"/>
  <c r="C579" i="6"/>
  <c r="C581" i="6"/>
  <c r="C583" i="6"/>
  <c r="C572" i="6"/>
  <c r="C53" i="6"/>
  <c r="C116" i="6"/>
  <c r="C52" i="6"/>
  <c r="C51" i="6"/>
  <c r="C34" i="6"/>
  <c r="C117" i="6"/>
  <c r="C32" i="6"/>
  <c r="C31" i="6"/>
  <c r="C58" i="6"/>
  <c r="C60" i="6"/>
  <c r="C62" i="6"/>
  <c r="C64" i="6"/>
  <c r="C66" i="6"/>
  <c r="C68" i="6"/>
  <c r="C70" i="6"/>
  <c r="C72" i="6"/>
  <c r="C74" i="6"/>
  <c r="C76" i="6"/>
  <c r="C86" i="6"/>
  <c r="C88" i="6"/>
  <c r="C84" i="6"/>
  <c r="C82" i="6"/>
  <c r="C78" i="6"/>
  <c r="C80" i="6"/>
  <c r="C1275" i="6"/>
  <c r="C1260" i="6"/>
  <c r="C1225" i="6"/>
  <c r="C1266" i="6"/>
  <c r="C1223" i="6"/>
  <c r="C1222" i="6"/>
  <c r="C1209" i="6"/>
  <c r="C1262" i="6"/>
  <c r="C576" i="6"/>
  <c r="C1212" i="6"/>
  <c r="C577" i="6"/>
  <c r="C97" i="6"/>
  <c r="C1267" i="6"/>
  <c r="C118" i="6"/>
  <c r="C960" i="6"/>
  <c r="C1273" i="6"/>
  <c r="C1000" i="6"/>
  <c r="C1265" i="6"/>
  <c r="C1263" i="6"/>
  <c r="C1274" i="6"/>
  <c r="C1261" i="6"/>
  <c r="C1226" i="6"/>
  <c r="C1269" i="6"/>
  <c r="C1268" i="6"/>
  <c r="C1270" i="6"/>
  <c r="C1264" i="6"/>
  <c r="C332" i="6"/>
  <c r="C1259" i="6"/>
  <c r="C1197" i="6"/>
  <c r="C37" i="6"/>
</calcChain>
</file>

<file path=xl/sharedStrings.xml><?xml version="1.0" encoding="utf-8"?>
<sst xmlns="http://schemas.openxmlformats.org/spreadsheetml/2006/main" count="27846" uniqueCount="6053">
  <si>
    <t>ID</t>
  </si>
  <si>
    <t>DESCRIÇÃO</t>
  </si>
  <si>
    <t>WATTS</t>
  </si>
  <si>
    <t>ALTURA</t>
  </si>
  <si>
    <t>LARGURA</t>
  </si>
  <si>
    <t>COMPRIMENTO</t>
  </si>
  <si>
    <t>LAMPADA</t>
  </si>
  <si>
    <t>PREÇO</t>
  </si>
  <si>
    <t>CABO</t>
  </si>
  <si>
    <t>OBS.</t>
  </si>
  <si>
    <t>LED BIVOLT</t>
  </si>
  <si>
    <t>-</t>
  </si>
  <si>
    <t>480MM</t>
  </si>
  <si>
    <t>300MM</t>
  </si>
  <si>
    <t>250MM</t>
  </si>
  <si>
    <t>800MM</t>
  </si>
  <si>
    <t>1053/32 PLAFON INFINITY PRETO 3000K</t>
  </si>
  <si>
    <t>1053/32 PLAFON INFINITY BRANCO 3000K</t>
  </si>
  <si>
    <t>1053/32 PLAFON INFINITY DOURADO ONO 3000K</t>
  </si>
  <si>
    <t>1053/48 PLAFON INFINITY PRETO 3000K</t>
  </si>
  <si>
    <t>1053/48 PLAFON INFINITY BRANCO 3000K</t>
  </si>
  <si>
    <t>1053/48 PLAFON INFINITY DOURADO ONO 3000K</t>
  </si>
  <si>
    <t>1054/32 PLAFON INFINITY PRETO 3000K E DOIS FOCOS</t>
  </si>
  <si>
    <t>1054/32 PLAFON INFINITY BRANCO 3000K E DOIS FOCOS</t>
  </si>
  <si>
    <t>1054/32 PLAFON INFINITY DOURADO ONO 3000K E DOIS FOCOS</t>
  </si>
  <si>
    <t>1054/48 PLAFON INFINITY PRETO 3000K E QUARTO FOCOS</t>
  </si>
  <si>
    <t>1054/48 PLAFON INFINITY BRANCO 3000K E QUATRO FOCOS</t>
  </si>
  <si>
    <t>1054/48 PLAFON INFINITY DOURADO ONO 3000K E QUATRO FOCOS</t>
  </si>
  <si>
    <t xml:space="preserve">1052/30 PLAFON ELEGANCE PRETO 3000K E DOIS FOCOS </t>
  </si>
  <si>
    <t xml:space="preserve">1052/30 PLAFON ELEGANCE BRANCO 3000K E DOIS FOCOS </t>
  </si>
  <si>
    <t xml:space="preserve">1052/30 PLAFON ELEGANCE DOURADO ONO 3000K E DOIS FOCOS </t>
  </si>
  <si>
    <t xml:space="preserve">1052/30 PLAFON ELEGANCE PRETO E BRANCO 3000K E DOIS FOCOS </t>
  </si>
  <si>
    <t>1052/50 PLAFON ELEGANCE PRETO 3000K E QUATRO FOCOS</t>
  </si>
  <si>
    <t>1052/50 PLAFON ELEGANCE BRANCO 3000K E QUATRO FOCOS</t>
  </si>
  <si>
    <t>1052/50 PLAFON ELEGANCE DOURADO ONO 3000K E QUATRO FOCOS</t>
  </si>
  <si>
    <t>1051/30 PLAFON ELEGANCE BRANCO 3000K</t>
  </si>
  <si>
    <t>1051/30 PLAFON ELEGANCE DOURADO ONO 3000K</t>
  </si>
  <si>
    <t>1051/50 PLAFON ELEGANCE PRETO 3000K</t>
  </si>
  <si>
    <t>1051/50 PLAFON ELEGANCE BRANCO 3000K</t>
  </si>
  <si>
    <t>1051/50 PLAFON ELEGANCE DOURADO ONO 3000K</t>
  </si>
  <si>
    <t>1051/50 PLAFON ELEGANCE PRETO E BRANCO 3000K</t>
  </si>
  <si>
    <t>1051/30 PLAFON ELEGANCE PRETO 3000K</t>
  </si>
  <si>
    <t>1055/60 ARANDELA INFINITY PRETO 3000K COM INTERRUPTOR</t>
  </si>
  <si>
    <t>1055/60 ARANDELA INFINITY BRANCO 3000K COM INTERRUPTOR</t>
  </si>
  <si>
    <t>1055/60 ARANDELA INFINITY DOURADO ONO 3000K COM INTERRUPTOR</t>
  </si>
  <si>
    <t>1055/85 ARANDELA INFINITY PRETO 3000K COM INTERRUPTOR</t>
  </si>
  <si>
    <t>1055/85 ARANDELA INFINITY BRANCO 3000K COM INTERRUPTOR</t>
  </si>
  <si>
    <t>1055/85 ARANDELA INFINITY DOURADO ONO 3000K COM INTERRUPTOR</t>
  </si>
  <si>
    <t>1055/120 ARANDELA INFINITY PRETO 3000K COM INTERRUPTOR</t>
  </si>
  <si>
    <t>1055/120 ARANDELA INFINITY BRANCO 3000K COM INTERRUPTOR</t>
  </si>
  <si>
    <t>1055/120 ARANDELA INFINITY DOURADO ONO 3000K COM INTERRUPTOR</t>
  </si>
  <si>
    <t>1056/60 ARANDELA INFINITY PRETO 3000K COM DOIS INTERRUPTORES E MINI SPOT</t>
  </si>
  <si>
    <t>1056/60 ARANDELA INFINITY BRANCO 3000K COM DOIS INTERRUPTORES E MINI SPOT</t>
  </si>
  <si>
    <t>1056/60 ARANDELA INFINITY DOURADO ONO 3000K COM DOIS INTERRUPTORES E MINI SPOT</t>
  </si>
  <si>
    <t>1056/85 ARANDELA INFINITY PRETO 3000K COM DOIS INTERRUPTORES E MINI SPOT</t>
  </si>
  <si>
    <t>1056/85 ARANDELA INFINITY BRANCO 3000K COM DOIS INTERRUPTORES E MINI SPOT</t>
  </si>
  <si>
    <t>1056/85 ARANDELA INFINITY DOURADO ONO 3000K COM DOIS INTERRUPTORES E MINI SPOT</t>
  </si>
  <si>
    <t>1056/120 ARANDELA INFINITY PRETO 3000K COM DOIS INTERRUPTORES E MINI SPOT</t>
  </si>
  <si>
    <t>1056/120 ARANDELA INFINITY BRANCO 3000K COM DOIS INTERRUPTORES E MINI SPOT</t>
  </si>
  <si>
    <t>1056/120 ARANDELA INFINITY DOURADO ONO 3000K COM DOIS INTERRUPTORES E MINI SPOT</t>
  </si>
  <si>
    <t>1057/39 ARANDELA LINES PRETO 3000K COM INTERRUPTOR</t>
  </si>
  <si>
    <t>1057/39 ARANDELA LINES BRANCO 3000K COM INTERRUPTOR</t>
  </si>
  <si>
    <t>1057/39 ARANDELA LINES DOURADO ONO 3000K COM INTERRUPTOR</t>
  </si>
  <si>
    <t>1057/39 ARANDELA LINES PRETO 4000K COM INTERRUPTOR</t>
  </si>
  <si>
    <t>1057/39 ARANDELA LINES BRANCO 4000K COM INTERRUPTOR</t>
  </si>
  <si>
    <t>1057/39 ARANDELA LINES DOURADO ONO 4000K COM INTERRUPTOR</t>
  </si>
  <si>
    <t>1057/59 ARANDELA LINES PRETO 3000K COM INTERRUPTOR</t>
  </si>
  <si>
    <t>1057/59 ARANDELA LINES BRANCO 3000K COM INTERRUPTOR</t>
  </si>
  <si>
    <t>1057/59 ARANDELA LINES DOURADO ONO 3000K COM INTERRUPTOR</t>
  </si>
  <si>
    <t>1057/59 ARANDELA LINES PRETO 4000K COM INTERRUPTOR</t>
  </si>
  <si>
    <t>1057/59 ARANDELA LINES BRANCO 4000K COM INTERRUPTOR</t>
  </si>
  <si>
    <t>1057/59 ARANDELA LINES DOURADO ONO 4000K COM INTERRUPTOR</t>
  </si>
  <si>
    <t>1057/85 ARANDELA LINES PRETO 3000K COM INTERRUPTOR</t>
  </si>
  <si>
    <t>1057/85 ARANDELA LINES BRANCO 3000K COM INTERRUPTOR</t>
  </si>
  <si>
    <t>1057/85 ARANDELA LINES DOURADO ONO 3000K COM INTERRUPTOR</t>
  </si>
  <si>
    <t>1057/85 ARANDELA LINES PRETO 4000K COM INTERRUPTOR</t>
  </si>
  <si>
    <t>1057/85 ARANDELA LINES BRANCO 4000K COM INTERRUPTOR</t>
  </si>
  <si>
    <t>1057/85 ARANDELA LINES DOURADO ONO 4000K COM INTERRUPTOR</t>
  </si>
  <si>
    <t>1057/85 ARANDELA LINES GRAFITE 4000K COM INTERRUPTOR</t>
  </si>
  <si>
    <t>1057/85 ARANDELA LINES GRAFITE 3000K COM INTERRUPTOR</t>
  </si>
  <si>
    <t>1057/59 ARANDELA LINES GRAFITE 4000K COM INTERRUPTOR</t>
  </si>
  <si>
    <t>1057/59 ARANDELA LINES GRAFITE 3000K COM INTERRUPTOR</t>
  </si>
  <si>
    <t>1057/39 ARANDELA LINES GRAFITE 4000K COM INTERRUPTOR</t>
  </si>
  <si>
    <t>1057/39 ARANDELA LINES GRAFITE 3000K COM INTERRUPTOR</t>
  </si>
  <si>
    <t>320MM</t>
  </si>
  <si>
    <t>40MM</t>
  </si>
  <si>
    <t>60MM</t>
  </si>
  <si>
    <t>600MM</t>
  </si>
  <si>
    <t>850MM</t>
  </si>
  <si>
    <t>1800MM</t>
  </si>
  <si>
    <t>25MM</t>
  </si>
  <si>
    <t>2000MM</t>
  </si>
  <si>
    <t>80MM</t>
  </si>
  <si>
    <t>350MM</t>
  </si>
  <si>
    <t>450MM</t>
  </si>
  <si>
    <t>400MM</t>
  </si>
  <si>
    <t>500MM</t>
  </si>
  <si>
    <t>22 WATTS</t>
  </si>
  <si>
    <t>21 WATTS</t>
  </si>
  <si>
    <t>11 WATTS</t>
  </si>
  <si>
    <t>6 X MR11</t>
  </si>
  <si>
    <t>15MM</t>
  </si>
  <si>
    <t>1 X MR11</t>
  </si>
  <si>
    <t>70MM</t>
  </si>
  <si>
    <t>1000MM</t>
  </si>
  <si>
    <t>CANOPLA SOBREPOR</t>
  </si>
  <si>
    <t>270MM</t>
  </si>
  <si>
    <t>18 WATTS</t>
  </si>
  <si>
    <t>180MM</t>
  </si>
  <si>
    <t>1059/35 PLAFON CAVITY BRANCO 3000K</t>
  </si>
  <si>
    <t>1067/27 PENDENTE SLICE PRETO 270MM 3000K SOBREPOR</t>
  </si>
  <si>
    <t>1067/27 PENDENTE SLICE BRANCO 270MM 3000K SOBREPOR</t>
  </si>
  <si>
    <t>1067/27 PENDENTE SLICE DOURADO ONO 270MM 3000K SOBREPOR</t>
  </si>
  <si>
    <t>1067/40 PENDENTE SLICE PRETO 400MM 3000K SOBREPOR</t>
  </si>
  <si>
    <t>1067/40 PENDENTE SLICE BRANCO 400MM 3000K SOBREPOR</t>
  </si>
  <si>
    <t>1067/40 PENDENTE SLICE DOURADO ONO 400MM 3000K SOBREPOR</t>
  </si>
  <si>
    <t>1068/27 PLAFON SLICE PRETO 270MM 3000K</t>
  </si>
  <si>
    <t>1068/27 PLAFON SLICE BRANCO 270MM 3000K</t>
  </si>
  <si>
    <t>1068/27 PLAFON SLICE DOURADO ONO 270MM 3000K</t>
  </si>
  <si>
    <t>1068/40 PLAFON SLICE PRETO 400MM 3000K</t>
  </si>
  <si>
    <t>1068/40 PLAFON SLICE BRANCO 400MM 3000K</t>
  </si>
  <si>
    <t>1068/40 PLAFON SLICE DOURADO ONO 400MM 3000K</t>
  </si>
  <si>
    <t>1062/1-15 PENDENTE ZODIAC PRETO 150MM SOBREPOR</t>
  </si>
  <si>
    <t>1062/1-15 PENDENTE ZODIAC BRANCO 150MM SOBREPOR</t>
  </si>
  <si>
    <t>1062/1-15 PENDENTE ZODIAC DOURADO ONO 150MM SOBREPOR</t>
  </si>
  <si>
    <t>1062/5 PENDENTE ZODIAC PRETO 3X15MM E 2X250MM</t>
  </si>
  <si>
    <t>1062/5 PENDENTE ZODIAC BRANCO 3X15MM E 2X250MM</t>
  </si>
  <si>
    <t>1062/5 PENDENTE ZODIAC DOURADO ONO 3X15MM E 2X250MM</t>
  </si>
  <si>
    <t>1070/27 PENDENTE UP PRETO 270MM 3000K SOBREPOR</t>
  </si>
  <si>
    <t>1070/27 PENDENTE UP BRANCO 270MM 3000K SOBREPOR</t>
  </si>
  <si>
    <t>1070/27 PENDENTE UP DOURADO ONO 270MM 3000K SOBREPOR</t>
  </si>
  <si>
    <t>1070/40 PENDENTE UP PRETO 400MM 3000K SOBREPOR</t>
  </si>
  <si>
    <t>1070/40 PENDENTE UP BRANCO 400MM 3000K SOBREPOR</t>
  </si>
  <si>
    <t>1070/40 PENDENTE UP DOURADO ONO 400MM 3000K SOBREPOR</t>
  </si>
  <si>
    <t>3 WATTS</t>
  </si>
  <si>
    <t>1068/18 ARANDELA SLICE PRETO 180MM 3000K</t>
  </si>
  <si>
    <t>1068/18 ARANDELA SLICE BRANCO 180MM 3000K</t>
  </si>
  <si>
    <t>1068/18 ARANDELA SLICE DOURADO ONO 180MM 3000K</t>
  </si>
  <si>
    <t>1074/1 PENDENTE HOGAR PRETO 495MM 3000K SOBREPOR</t>
  </si>
  <si>
    <t>1074/1 PENDENTE HOGAR BRANCO 495MM 3000K SOBREPOR</t>
  </si>
  <si>
    <t>1074/1 PENDENTE HOGAR DOURADO ONO 495MM 3000K SOBREPOR</t>
  </si>
  <si>
    <t>1074/1 PENDENTE HOGAR DOURADO POLIDO 495MM 3000K SOBREPOR</t>
  </si>
  <si>
    <t>1052/25-80 PLAFON ELEGANCE PRETO 3000K E CINCO FOCOS</t>
  </si>
  <si>
    <t>1052/25-80 PLAFON ELEGANCE BRANCO 3000K E CINCO FOCOS</t>
  </si>
  <si>
    <t>1052/25-80 PLAFON ELEGANCE DOURADO ONO 3000K E CINCO FOCOS</t>
  </si>
  <si>
    <t>1082/1 PENDENTE TOPO PRETO 3000 K</t>
  </si>
  <si>
    <t>1082/1 PENDENTE TOPO BRANCO 3000 K</t>
  </si>
  <si>
    <t>1082/1 PENDENTE TOPO DOURADO ONO 3000 K</t>
  </si>
  <si>
    <t>1085/1 ARANDELA TOPO PRETO 3000 K</t>
  </si>
  <si>
    <t>1085/1 ARANDELA TOPO BRANCO 3000 K</t>
  </si>
  <si>
    <t>1085/1 ARANDELA TOPO DOURADO ONO 3000 K</t>
  </si>
  <si>
    <t xml:space="preserve">1076/30 PLAFON EMBUTIR ELEGANCE PRETO 3000K                    </t>
  </si>
  <si>
    <t xml:space="preserve">1076/30 PLAFON EMBUTIR ELEGANCE BRANCO 3000K                   </t>
  </si>
  <si>
    <t xml:space="preserve">1076/50 PLAFON EMBUTIR ELEGANCE PRETO 3000K                    </t>
  </si>
  <si>
    <t xml:space="preserve">1076/50 PLAFON EMBUTIR ELEGANCE BRANCO 3000K                   </t>
  </si>
  <si>
    <t xml:space="preserve">1081/30 PLAFON EMBUTIR ELEGANCE PRETO 3000K DOIS FOCOS                    </t>
  </si>
  <si>
    <t>1081/30 PLAFON EMBUTIR ELEGANCE BRANCO 3000K DOIS FOCOS</t>
  </si>
  <si>
    <t xml:space="preserve">1081/50 PLAFON EMBUTIR ELEGANCE PRETO 3000K QUATRO FOCOS                   </t>
  </si>
  <si>
    <t xml:space="preserve">1081/50 PLAFON EMBUTIR ELEGANCE BRANCO 3000K QUATRO FOCOS                   </t>
  </si>
  <si>
    <t>1083/1 PENDENTE DOT PRETO 3000 K</t>
  </si>
  <si>
    <t>1083/1 PENDENTE DOT BRANCO 3000 K</t>
  </si>
  <si>
    <t>1083/1 PENDENTE DOT DOURADO ONO 3000 K</t>
  </si>
  <si>
    <t>1083/1 PENDENTE DOT TERRACOTA 3000 K</t>
  </si>
  <si>
    <t>3000K/4000K/6000K</t>
  </si>
  <si>
    <t>36WATTS</t>
  </si>
  <si>
    <t>1094/1 PENDENTE VERSSAT PRETO</t>
  </si>
  <si>
    <t xml:space="preserve">1094/1 PENDENTE VERSSAT BRANCO </t>
  </si>
  <si>
    <t xml:space="preserve">1094/1 PENDENTE VERSSAT DOURADO ONO </t>
  </si>
  <si>
    <t xml:space="preserve">1094/1 PENDENTE VERSSAT DOURADO POLIDO </t>
  </si>
  <si>
    <t/>
  </si>
  <si>
    <t xml:space="preserve">1086/240 PENDENTE BOX PRETO 3000 K                     </t>
  </si>
  <si>
    <t xml:space="preserve">1086/240 PENDENTE BOX BRANCO 3000 K                    </t>
  </si>
  <si>
    <t xml:space="preserve">1086/240 PENDENTE BOX DOURADO ONO 3000 K               </t>
  </si>
  <si>
    <t xml:space="preserve">1086/500 PENDENTE BOX PRETO 3000 K                     </t>
  </si>
  <si>
    <t xml:space="preserve">1086/500 PENDENTE BOX BRANCO 3000 K                    </t>
  </si>
  <si>
    <t xml:space="preserve">1086/500 PENDENTE BOX DOURADO ONO 3000 K               </t>
  </si>
  <si>
    <t xml:space="preserve">1087/140 PLAFON BOX PRETO 3000 K                       </t>
  </si>
  <si>
    <t xml:space="preserve">1087/140 PLAFON BOX BRANCO 3000 K                      </t>
  </si>
  <si>
    <t xml:space="preserve">1087/140 PLAFON BOX DOURADO ONO 3000 K                 </t>
  </si>
  <si>
    <t xml:space="preserve">1087/240 PLAFON BOX PRETO 3000 K                       </t>
  </si>
  <si>
    <t xml:space="preserve">1087/240 PLAFON BOX BRANCO 3000 K                      </t>
  </si>
  <si>
    <t xml:space="preserve">1087/240 PLAFON BOX DOURADO ONO 3000 K                 </t>
  </si>
  <si>
    <t>1 X G9</t>
  </si>
  <si>
    <t>1085/1 ARANDELA TOPO TERRA COTA 3000 K</t>
  </si>
  <si>
    <t>1096/1 PENDENTE RIO BRANCO 3000 K</t>
  </si>
  <si>
    <t>1096/1 PENDENTE RIO PRETO 3000 K</t>
  </si>
  <si>
    <t>1096/1 PENDENTE RIO DOURADO ONO 3000 K</t>
  </si>
  <si>
    <t>1097/1 PENDENTE MUSA PRETO 3000 K</t>
  </si>
  <si>
    <t>1097/1 PENDENTE MUSA BRANCO 3000 K</t>
  </si>
  <si>
    <t>1097/1 PENDENTE MUSA DOURADO ONO 3000 K</t>
  </si>
  <si>
    <t>1097/1 PENDENTE MUSA TERRACOTA 3000 K</t>
  </si>
  <si>
    <t>1098/1 PENDENTE ZOOM BRANCO 3000 K</t>
  </si>
  <si>
    <t>1098/1 PENDENTE ZOOM PRETO 3000 K</t>
  </si>
  <si>
    <t>1098/1 PENDENTE ZOOM DOURADO ONO 3000 K</t>
  </si>
  <si>
    <t>1099/1 ARANDELA ZOOM BRANCO 3000 K</t>
  </si>
  <si>
    <t>1099/1 ARANDELA ZOOM PRETO 3000 K</t>
  </si>
  <si>
    <t>1099/1 ARANDELA ZOOM DOURADO ONO 3000 K</t>
  </si>
  <si>
    <t>1082/1 PENDENTE TOPO TERRACOTA 3000 K</t>
  </si>
  <si>
    <t>LUMENS</t>
  </si>
  <si>
    <t>823/100 ARANDELA STYLE BRANCO 3000K</t>
  </si>
  <si>
    <t xml:space="preserve">823/100 ARANDELA STYLE PRETO 3000K    </t>
  </si>
  <si>
    <t>823/100 ARANDELA STYLE DOURADO ONO 3000K</t>
  </si>
  <si>
    <t>14WATTS + 3WATTS</t>
  </si>
  <si>
    <t>20MM</t>
  </si>
  <si>
    <t>SPOT LED 3 WATTS LENTE 45°</t>
  </si>
  <si>
    <t>24WATTS + 3WATTS</t>
  </si>
  <si>
    <t>1500MM</t>
  </si>
  <si>
    <t>2 X E27</t>
  </si>
  <si>
    <t>120MM</t>
  </si>
  <si>
    <t xml:space="preserve">852/1 ARANDELA SHINE PRETO 3000K                       </t>
  </si>
  <si>
    <t>1,5 WATTS</t>
  </si>
  <si>
    <t>370MM</t>
  </si>
  <si>
    <t>45MM</t>
  </si>
  <si>
    <t>90MM</t>
  </si>
  <si>
    <t xml:space="preserve">852/1 ARANDELA SHINE DOURADO POLIDO 3000K              </t>
  </si>
  <si>
    <t xml:space="preserve">852/1 ARANDELA SHINE DOURADO ONO                       </t>
  </si>
  <si>
    <t>863/1 ARANDELA ZURICK PRETO</t>
  </si>
  <si>
    <t>1 X E27</t>
  </si>
  <si>
    <t>230MM</t>
  </si>
  <si>
    <t>C/ INTERRUPTOR</t>
  </si>
  <si>
    <t>210MM</t>
  </si>
  <si>
    <t>150MM</t>
  </si>
  <si>
    <t>200MM</t>
  </si>
  <si>
    <t>878/1 ARANDELA VENEZA PRETO</t>
  </si>
  <si>
    <t>878/1 ARANDELA VENEZA DOURADO ONO</t>
  </si>
  <si>
    <t>900MM</t>
  </si>
  <si>
    <t>50MM</t>
  </si>
  <si>
    <t>884/1 ARANDELA CAKE PRETO / DOURADO ONO 3000 K</t>
  </si>
  <si>
    <t>8WATTS</t>
  </si>
  <si>
    <t>170MM</t>
  </si>
  <si>
    <t>884/1 ARANDELA CAKE PRETO 3000 K</t>
  </si>
  <si>
    <t>884/1 ARANDELA CAKE BRANCO 3000 K</t>
  </si>
  <si>
    <t>884/1 ARANDELA CAKE DOURADO ONO 3000 K</t>
  </si>
  <si>
    <t>885/1 ARANDELA TORCIA PRETO CUPULA PRETA</t>
  </si>
  <si>
    <t>885/1 ARANDELA TORCIA BRANCO CUPULA CRU</t>
  </si>
  <si>
    <t>885/1 ARANDELA TORCIA DOURADO ONO CUPULA PRETA</t>
  </si>
  <si>
    <t>2 X GU10</t>
  </si>
  <si>
    <t xml:space="preserve">886/2 ARANDELA PARMA PRETO </t>
  </si>
  <si>
    <t>886/2 ARANDELA PARMA BRANCO</t>
  </si>
  <si>
    <t>886/2 ARANDELA PARMA DOURADO ONO</t>
  </si>
  <si>
    <t>887/1 ARANDELA STRING PRETO CUPULA PRETA</t>
  </si>
  <si>
    <t>887/1 ARANDELA STRING DOURADO ONO CUPULA PRETA</t>
  </si>
  <si>
    <t>887/1 ARANDELA STRING BRANCO CUPULA CRU</t>
  </si>
  <si>
    <t>2 X G9</t>
  </si>
  <si>
    <t>430MM</t>
  </si>
  <si>
    <t>160MM</t>
  </si>
  <si>
    <t xml:space="preserve">896/1 ARANDELA IPE PRETO                               </t>
  </si>
  <si>
    <t xml:space="preserve">896/1 ARANDELA IPE BRANCO                              </t>
  </si>
  <si>
    <t xml:space="preserve">993/40 ARANDELA PRISMA 40CM BRANCO 3000K </t>
  </si>
  <si>
    <t>6WATTS</t>
  </si>
  <si>
    <t>993/40 ARANDELA PRISMA 40CM PRETO 3000K</t>
  </si>
  <si>
    <t>993/40 ARANDELA PRISMA 40CM BRANCO 4000K</t>
  </si>
  <si>
    <t>993/40 ARANDELA PRISMA 40CM PRETO 4000K</t>
  </si>
  <si>
    <t xml:space="preserve">993/40 ARANDELA PRISMA 40CM DOURADO ONO 3000K </t>
  </si>
  <si>
    <t>993/40 ARANDELA PRISMA 40CM DOURADO ONO 4000K</t>
  </si>
  <si>
    <t xml:space="preserve">993/60 ARANDELA PRISMA 60CM BRANCO 3000K </t>
  </si>
  <si>
    <t>9WATTS</t>
  </si>
  <si>
    <t>993/60 ARANDELA PRISMA 60CM PRETO 3000K</t>
  </si>
  <si>
    <t>993/60 ARANDELA PRISMA 60CM BRANCO 4000K</t>
  </si>
  <si>
    <t>993/60 ARANDELA PRISMA 60CM PRETO 4000K</t>
  </si>
  <si>
    <t xml:space="preserve">993/60 ARANDELA PRISMA 60CM DOURADO ONO 3000K </t>
  </si>
  <si>
    <t>993/60 ARANDELA PRISMA 60CM DOURADO ONO 4000K</t>
  </si>
  <si>
    <t>1450MM</t>
  </si>
  <si>
    <t>997/1 ARANDELA CORNER PRETO GLOBO LEITOSO 150MM</t>
  </si>
  <si>
    <t>997/1 ARANDELA CORNER DOURADO POLIDO GLOBO LEITOSO 150MM</t>
  </si>
  <si>
    <t>997/1 ARANDELA CORNER DOURADO ONO GLOBO LEITOSO 150MM</t>
  </si>
  <si>
    <t>35MM</t>
  </si>
  <si>
    <t>3WATTS</t>
  </si>
  <si>
    <t>750MM</t>
  </si>
  <si>
    <t>1028/1 ARANDELA SCORE PRETO 3000k</t>
  </si>
  <si>
    <t>240MM</t>
  </si>
  <si>
    <t>1028/1 ARANDELA SCORE BRANCO 3000k</t>
  </si>
  <si>
    <t>1039/1 ARANDELA STELO BRANCA</t>
  </si>
  <si>
    <t>1 X GU10</t>
  </si>
  <si>
    <t>1039/1 ARANDELA STELO PRETA</t>
  </si>
  <si>
    <t>1039/1 ARANDELA STELO DOURADO ONO</t>
  </si>
  <si>
    <t>1040/1 ARANDELA ESTECA BRANCA</t>
  </si>
  <si>
    <t>1040/1 ARANDELA ESTECA PRETA</t>
  </si>
  <si>
    <t>1040/1 ARANDELA ESTECA DOURADO ONO</t>
  </si>
  <si>
    <t>1041/1 ARANDELA MARK BRANCO 3000K</t>
  </si>
  <si>
    <t>100MM</t>
  </si>
  <si>
    <t>55MM</t>
  </si>
  <si>
    <t>1041/1 ARANDELA MARK PRETO 3000K</t>
  </si>
  <si>
    <t>1041/1 ARANDELA MARK DOURADO ONO 3000K</t>
  </si>
  <si>
    <t>1042/2 ARANDELA MARK BRANCO 3000K</t>
  </si>
  <si>
    <t>5WATTS</t>
  </si>
  <si>
    <t>1042/2 ARANDELA MARK PRETO 3000K</t>
  </si>
  <si>
    <t>1042/2 ARANDELA MARK DOURADO ONO 3000K</t>
  </si>
  <si>
    <t>220MM</t>
  </si>
  <si>
    <t>330MM</t>
  </si>
  <si>
    <t xml:space="preserve">849/1 PENDENTE SOUL PRETO                              </t>
  </si>
  <si>
    <t>1200MM</t>
  </si>
  <si>
    <t>3 X G9</t>
  </si>
  <si>
    <t>360MM</t>
  </si>
  <si>
    <t>290MM</t>
  </si>
  <si>
    <t>CANOPLA P/ GESSO</t>
  </si>
  <si>
    <t>880/1 PENDENTE BLOWN DOURADO ONO VIDRO LEITOSO 120MM</t>
  </si>
  <si>
    <t>880/1 PENDENTE BLOWN PRETO VIDRO LEITOSO 120MM</t>
  </si>
  <si>
    <t>880/1 PENDENTE BLOWN BRANCO VIDRO LEITOSO 120MM</t>
  </si>
  <si>
    <t>880/1 PENDENTE BLOWN DOURADO POLIDO VIDRO LEITOSO 120MM</t>
  </si>
  <si>
    <t>340MM</t>
  </si>
  <si>
    <t>140MM</t>
  </si>
  <si>
    <t>260MM</t>
  </si>
  <si>
    <t>5 X G9</t>
  </si>
  <si>
    <t>1006/6 PENDENTE FOCO PRETO</t>
  </si>
  <si>
    <t>1220MM</t>
  </si>
  <si>
    <t>1006/6 PENDENTE FOCO BRANCO</t>
  </si>
  <si>
    <t>1006/6 PENDENTE FOCO DOURADO ONO</t>
  </si>
  <si>
    <t>1006/6 PENDENTE FOCO PRETO / DOURADO POLIDO</t>
  </si>
  <si>
    <t>6 X G9</t>
  </si>
  <si>
    <t>460MM</t>
  </si>
  <si>
    <t>1400MM</t>
  </si>
  <si>
    <t>1007/6 PENDENTE PLANET DOURADO ONO GLOBO LEITOSO 120MM</t>
  </si>
  <si>
    <t>1007/6 PENDENTE PLANET DOURADO ONO GLOBO CRAVADO 120MM</t>
  </si>
  <si>
    <t>2WATTS</t>
  </si>
  <si>
    <t>1010/5 PENDENTE HIGT DOURADO ONO</t>
  </si>
  <si>
    <t>5 X MR11</t>
  </si>
  <si>
    <t>380MM</t>
  </si>
  <si>
    <t>1210MM</t>
  </si>
  <si>
    <t>1010/5 PENDENTE HIGT PRETO</t>
  </si>
  <si>
    <t>1010/5 PENDENTE HIGT BRANCO</t>
  </si>
  <si>
    <t>1018/1 PENDENTE BLOWN DOURADO ONO VIDRO LEITOSO 120MM</t>
  </si>
  <si>
    <t>1018/1 PENDENTE BLOWN PRETO VIDRO LEITOSO 120MM</t>
  </si>
  <si>
    <t>1018/1 PENDENTE BLOWN BRANCO VIDRO LEITOSO 120MM</t>
  </si>
  <si>
    <t>1018/1 PENDENTE BLOWN DOURADO POLIDO VIDRO LEITOSO 120MM</t>
  </si>
  <si>
    <t>1150MM</t>
  </si>
  <si>
    <t>1024/1 PENDENTE PRINT BRANCO MINI SPOT 3000K 1 METRO</t>
  </si>
  <si>
    <t>1024/1 PENDENTE PRINT PRETO MINI SPOT 3000K 1 METRO</t>
  </si>
  <si>
    <t>1024/1 PENDENTE PRINT BRANCO MINI SPOT 4000K 1 METRO</t>
  </si>
  <si>
    <t>1024/1 PENDENTE PRINT PRETO MINI SPOT 4000K 1 METRO</t>
  </si>
  <si>
    <t>1024/1,5 PENDENTE PRINT BRANCO MINI SPOT 3000K 1,5 METRO</t>
  </si>
  <si>
    <t>1024/1,5 PENDENTE PRINT PRETO MINI SPOT 3000K 1,5 METRO</t>
  </si>
  <si>
    <t>1024/1,5 PENDENTE PRINT BRANCO MINI SPOT 4000K 1,5 METRO</t>
  </si>
  <si>
    <t>1024/1,5 PENDENTE PRINT PRETO MINI SPOT 4000K 1,5 METRO</t>
  </si>
  <si>
    <t>20 WATTS</t>
  </si>
  <si>
    <t>1043/50 PENDENTE VALE BRANCO  3000K</t>
  </si>
  <si>
    <t>27 WATTS</t>
  </si>
  <si>
    <t>1043/50 PENDENTE VALE PRETO  3000K</t>
  </si>
  <si>
    <t>1043/50 PENDENTE VALE DOURADO ONO 3000K</t>
  </si>
  <si>
    <t xml:space="preserve">1048/1 PENDENTE TORCIA PRETA CUPULA PRETA               </t>
  </si>
  <si>
    <t xml:space="preserve">1048/1 PENDENTE TORCIA BRANCO CUPULA CRU                </t>
  </si>
  <si>
    <t xml:space="preserve">1048/1 PENDENTE TORCIA DOURADO ONO CUPULA PRETA         </t>
  </si>
  <si>
    <t xml:space="preserve">1048/1 PENDENTE TORCIA DOURADO ONO CUPULA CRU           </t>
  </si>
  <si>
    <t>848/1 ABAJUR POWER DOURADO ONO</t>
  </si>
  <si>
    <t>848/1 ABAJUR POWER PRETO</t>
  </si>
  <si>
    <t>848/1 ABAJUR POWER BRANCO</t>
  </si>
  <si>
    <t xml:space="preserve">860/1 LUMINARIA DE MESA FOCO PRETO                     </t>
  </si>
  <si>
    <t>130MM</t>
  </si>
  <si>
    <t>75MM</t>
  </si>
  <si>
    <t xml:space="preserve">866/1 LUMINARIA DE MESA SUMMER PRETO                   </t>
  </si>
  <si>
    <t>470MM</t>
  </si>
  <si>
    <t>530MM</t>
  </si>
  <si>
    <t>891/1 LUMINARIA DE MESA IMOLA DOURADO ONO GLOBO 100MM</t>
  </si>
  <si>
    <t>891/1 LUMINARIA DE MESA IMOLA PRETO GLOBO 100MM</t>
  </si>
  <si>
    <t>891/1 LUMINARIA DE MESA IMOLA DOURADO POLIDO GLOBO 100MM</t>
  </si>
  <si>
    <t>891/1 LUMINARIA DE MESA IMOLA BRANCO GLOBO 100MM</t>
  </si>
  <si>
    <t xml:space="preserve">892/1 LUMINARIA DE MESA IGLU PRETO                     </t>
  </si>
  <si>
    <t xml:space="preserve">892/1 LUMINARIA DE MESA IGLU BRANCO                    </t>
  </si>
  <si>
    <t xml:space="preserve">892/1 LUMINARIA DE MESA IGLU DOURADO ONO               </t>
  </si>
  <si>
    <t xml:space="preserve">895/1 LUMINARIA DE MESA VOLARE ROSA / VERDE 3000K        </t>
  </si>
  <si>
    <t>10WATTS</t>
  </si>
  <si>
    <t xml:space="preserve">895/1 LUMINARIA DE MESA VOLARE BRANCO 3000K            </t>
  </si>
  <si>
    <t xml:space="preserve">895/1 LUMINARIA DE MESA VOLARE PRETO 3000K  </t>
  </si>
  <si>
    <t>280MM</t>
  </si>
  <si>
    <t xml:space="preserve">897/1 LUMINARIA DE MESA MAIA DOURADO ONO               </t>
  </si>
  <si>
    <t>440MM</t>
  </si>
  <si>
    <t>988/1 LUMINARIA DE MESA GRECIA PRETO CULPULA PRETA</t>
  </si>
  <si>
    <t>988/1 LUMINARIA DE MESA GRECIA BRANCO CULPULA CRU</t>
  </si>
  <si>
    <t>988/1 LUMINARIA DE MESA GRECIA DOURADO ONO CULPULA PRETA</t>
  </si>
  <si>
    <t>988/1 LUMINARIA DE MESA GRECIA DOURADO ONO CULPULA CRU</t>
  </si>
  <si>
    <t>991/1 LUMINARIA DE MESA MALTA PRETO</t>
  </si>
  <si>
    <t>991/1 LUMINARIA DE MESA MALTA DOURADO ONO</t>
  </si>
  <si>
    <t>991/1 LUMINARIA DE MESA MALTA AZUL CLARO</t>
  </si>
  <si>
    <t xml:space="preserve">844/1 COLUNA STYLE PRETO 3000K                         </t>
  </si>
  <si>
    <t>175MM</t>
  </si>
  <si>
    <t xml:space="preserve">844/1 COLUNA STYLE BRANCO FOSCO 3000K                  </t>
  </si>
  <si>
    <t xml:space="preserve">844/1 COLUNA STYLE PRETA 4000K                         </t>
  </si>
  <si>
    <t xml:space="preserve">844/1 COLUNA STYLE DOURADO ONO 3000K                      </t>
  </si>
  <si>
    <t xml:space="preserve">844/1 COLUNA STYLE BRANCA 4000K                        </t>
  </si>
  <si>
    <t>13 WATTS</t>
  </si>
  <si>
    <t>1550MM</t>
  </si>
  <si>
    <t xml:space="preserve">850/1 COLUNA CAKE PRETO 3000K                          </t>
  </si>
  <si>
    <t xml:space="preserve">850/1 COLUNA CAKE DOURADO ONO 3000K                    </t>
  </si>
  <si>
    <t>1610MM</t>
  </si>
  <si>
    <t>853/1 COLUNA POWER DOURADO ONO</t>
  </si>
  <si>
    <t>853/1 COLUNA POWER PRETO</t>
  </si>
  <si>
    <t>853/1 COLUNA POWER BRANCO</t>
  </si>
  <si>
    <t xml:space="preserve">861/1 COLUNA FOCO PRETO                                </t>
  </si>
  <si>
    <t>1510MM</t>
  </si>
  <si>
    <t>854/1 COLUNA SOUL PRETA</t>
  </si>
  <si>
    <t>1350MM</t>
  </si>
  <si>
    <t>30MM</t>
  </si>
  <si>
    <t>540MM</t>
  </si>
  <si>
    <t xml:space="preserve">894/1 COLUNA PIPE BRANCO CUPULA CRU                  </t>
  </si>
  <si>
    <t>1520MM</t>
  </si>
  <si>
    <t>570MM</t>
  </si>
  <si>
    <t>2800MM</t>
  </si>
  <si>
    <t xml:space="preserve">894/1 COLUNA PIPE DOURADO POLIDO CUPULA CRU          </t>
  </si>
  <si>
    <t xml:space="preserve">894/1 COLUNA PIPE DOURADO POLIDO CUPULA PRETA </t>
  </si>
  <si>
    <t xml:space="preserve">894/1 COLUNA PIPE PRETO CUPULA PRETA                 </t>
  </si>
  <si>
    <t xml:space="preserve">894/1 COLUNA PIPE DOURADO ONO CUPULA PRETA           </t>
  </si>
  <si>
    <t xml:space="preserve">855/1 SPOT FOCO BASE PRETO                             </t>
  </si>
  <si>
    <t>110MM</t>
  </si>
  <si>
    <t>105MM</t>
  </si>
  <si>
    <t xml:space="preserve">994/1 SPOT FOCO PRETO </t>
  </si>
  <si>
    <t>994/1 SPOT FOCO BRANCO</t>
  </si>
  <si>
    <t>994/1 SPOT FOCO DOURADO ONO</t>
  </si>
  <si>
    <t>995/1 SPOT SCORE BRANCO 3000K</t>
  </si>
  <si>
    <t>CANOPLA P/ GESSO + SPOT LED 3 WATTS LENTE 45°</t>
  </si>
  <si>
    <t>995/1 SPOT SCORE PRETO 3000K</t>
  </si>
  <si>
    <t>995/1 SPOT SCORE DOURADO ONO 3000K</t>
  </si>
  <si>
    <t>996/1 SPOT SCORE BRANCO 3000K</t>
  </si>
  <si>
    <t>996/1 SPOT SCORE PRETO 3000K</t>
  </si>
  <si>
    <t>996/1 SPOT SCORE DOURADO ONO 3000K</t>
  </si>
  <si>
    <t>190MM</t>
  </si>
  <si>
    <t>85MM</t>
  </si>
  <si>
    <t>1044/35 PLAFON VALE PRETO  3000K</t>
  </si>
  <si>
    <t>1044/35 PLAFON VALE DOURADO ONO 3000K</t>
  </si>
  <si>
    <t>1044/50 PLAFON VALE BRANCO  3000K</t>
  </si>
  <si>
    <t>1044/50 PLAFON VALE PRETO  3000K</t>
  </si>
  <si>
    <t>1044/50 PLAFON VALE DOURADO ONO 3000K</t>
  </si>
  <si>
    <t>1044/50 PLAFON VALE BRANCO  4000K</t>
  </si>
  <si>
    <t>1044/50 PLAFON VALE PRETO  4000K</t>
  </si>
  <si>
    <t>1044/50 PLAFON VALE DOURADO ONO 4000K</t>
  </si>
  <si>
    <t>1 x E27</t>
  </si>
  <si>
    <t>2 x E27</t>
  </si>
  <si>
    <t>3 x E27</t>
  </si>
  <si>
    <t xml:space="preserve">385/2 PLAFON SMART BRANCO                              </t>
  </si>
  <si>
    <t>95MM</t>
  </si>
  <si>
    <t xml:space="preserve">385/2 PLAFON SMART CAFÉ                                </t>
  </si>
  <si>
    <t xml:space="preserve">385/2 PLAFON SMART COBRE POLIDO                        </t>
  </si>
  <si>
    <t xml:space="preserve">385/2 PLAFON SMART PRETO                               </t>
  </si>
  <si>
    <t xml:space="preserve">385/2 PLAFON SMART DOURADO ONO                         </t>
  </si>
  <si>
    <t xml:space="preserve">385/3 PLAFON SMART BRANCO                              </t>
  </si>
  <si>
    <t xml:space="preserve">385/3 PLAFON SMART CAFÉ                                </t>
  </si>
  <si>
    <t xml:space="preserve">385/3 PLAFON SMART COBRE POLIDO                        </t>
  </si>
  <si>
    <t xml:space="preserve">385/3 PLAFON SMART PRETO                               </t>
  </si>
  <si>
    <t xml:space="preserve">385/3 PLAFON SMART DOURADO ONO                         </t>
  </si>
  <si>
    <t xml:space="preserve">385/5 PLAFON SMART BRANCO                              </t>
  </si>
  <si>
    <t>5 x E27</t>
  </si>
  <si>
    <t>550MM</t>
  </si>
  <si>
    <t xml:space="preserve">385/5 PLAFON SMART CAFÉ                                </t>
  </si>
  <si>
    <t xml:space="preserve">385/5 PLAFON SMART COBRE POLIDO                        </t>
  </si>
  <si>
    <t xml:space="preserve">385/5 PLAFON SMART PRETO                               </t>
  </si>
  <si>
    <t xml:space="preserve">385/5 PLAFON SMART DOURADO ONO                         </t>
  </si>
  <si>
    <t xml:space="preserve">735/25 PLAFON NEW SMART BRANCO3000K                    </t>
  </si>
  <si>
    <t>18WATTS</t>
  </si>
  <si>
    <t xml:space="preserve">735/25 PLAFON NEW SMART PRETO3000K                     </t>
  </si>
  <si>
    <t xml:space="preserve">735/35 PLAFON NEW SMART BRANCO3000K                    </t>
  </si>
  <si>
    <t xml:space="preserve">735/35 PLAFON NEW SMART PRETO3000K                     </t>
  </si>
  <si>
    <t xml:space="preserve">735/50 PLAFON NEW SMART BRANCO3000K                    </t>
  </si>
  <si>
    <t>50WATTS</t>
  </si>
  <si>
    <t xml:space="preserve">735/50 PLAFON NEW SMART PRETO3000K                     </t>
  </si>
  <si>
    <t xml:space="preserve">812/60 PLAFON KIT BRANCO3000K                          </t>
  </si>
  <si>
    <t xml:space="preserve">812/60 PLAFON KIT DOURADO ONO3000K                     </t>
  </si>
  <si>
    <t xml:space="preserve">812/60 PLAFON KIT PRETO3000K                           </t>
  </si>
  <si>
    <t xml:space="preserve">812/60 PLAFON KIT BRANCO 4000K                         </t>
  </si>
  <si>
    <t xml:space="preserve">812/60 PLAFON KIT PRETO 4000K                          </t>
  </si>
  <si>
    <t xml:space="preserve">812/60 PLAFON KIT DOURADO ONO4000K                     </t>
  </si>
  <si>
    <t xml:space="preserve">812/120 PLAFON KIT PRETO3000K                          </t>
  </si>
  <si>
    <t>38WATTS</t>
  </si>
  <si>
    <t>1660MM</t>
  </si>
  <si>
    <t xml:space="preserve">812/120 PLAFON KIT DOURADO ONO 3000K                   </t>
  </si>
  <si>
    <t xml:space="preserve">812/120 PLAFON KIT BRANCO 3000K                        </t>
  </si>
  <si>
    <t xml:space="preserve">812/120 PLAFON KIT PRETO 4000K                         </t>
  </si>
  <si>
    <t xml:space="preserve">812/120 PLAFON KIT DOURADO ONO4000K                     </t>
  </si>
  <si>
    <t xml:space="preserve">812/120 PLAFON KIT BRANCO 4000K                        </t>
  </si>
  <si>
    <t xml:space="preserve">824/30 PLAFON CASE PRETO3000K                          </t>
  </si>
  <si>
    <t>22WATTS</t>
  </si>
  <si>
    <t xml:space="preserve">824/30 PLAFON CASE BRANCO3000K                         </t>
  </si>
  <si>
    <t xml:space="preserve">824/30 PLAFON CASE DOURADO ONO 3000K                   </t>
  </si>
  <si>
    <t xml:space="preserve">824/30 PLAFON CASE PRETO 4000K                          </t>
  </si>
  <si>
    <t xml:space="preserve">824/30 PLAFON CASE BRANCO FOSCO 4000K                  </t>
  </si>
  <si>
    <t xml:space="preserve">824/30 PLAFON CASE DOURADO ONO 4000K                   </t>
  </si>
  <si>
    <t xml:space="preserve">824/30/30 PLAFON CASE DOURADO ONO3000K                 </t>
  </si>
  <si>
    <t>40WATTS</t>
  </si>
  <si>
    <t xml:space="preserve">824/30/30 PLAFON CASE PRETO3000K                       </t>
  </si>
  <si>
    <t xml:space="preserve">824/30/30 PLAFON CASE BRANCO 3000K                     </t>
  </si>
  <si>
    <t xml:space="preserve">824/30/30 PLAFON CASE BRANCO 4000K                      </t>
  </si>
  <si>
    <t xml:space="preserve">824/30/30 PLAFON CASE PRETO 4000K                       </t>
  </si>
  <si>
    <t xml:space="preserve">824/30/30 PLAFON CASE DOURADO ONO 4000K                </t>
  </si>
  <si>
    <t xml:space="preserve">824/30/40 PLAFON CASE PRETO3000K                       </t>
  </si>
  <si>
    <t>45WATTS</t>
  </si>
  <si>
    <t xml:space="preserve">824/30/40 PLAFON CASE BRANCO3000K                      </t>
  </si>
  <si>
    <t xml:space="preserve">824/30/40 PLAFON CASE DOURADO ONO3000K                 </t>
  </si>
  <si>
    <t xml:space="preserve">824/30/40 PLAFON CASE PRETO 4000K                       </t>
  </si>
  <si>
    <t xml:space="preserve">824/30/40 PLAFON CASE BRANCO 4000K                      </t>
  </si>
  <si>
    <t xml:space="preserve">824/30/40 PLAFON CASE DOURADO ONO 4000K </t>
  </si>
  <si>
    <t xml:space="preserve">825/30 PLAFON MAZE BRANCO3000K                         </t>
  </si>
  <si>
    <t xml:space="preserve">825/30 PLAFON MAZE PRETO3000K                          </t>
  </si>
  <si>
    <t xml:space="preserve">825/30 PLAFON MAZE DOURADO ONO 3000 K                  </t>
  </si>
  <si>
    <t xml:space="preserve">825/30 PLAFON MAZE BRANCO4000K                         </t>
  </si>
  <si>
    <t xml:space="preserve">825/30 PLAFON MAZE DOURADO ONO 4000 K                  </t>
  </si>
  <si>
    <t xml:space="preserve">825/30 PLAFON MAZE PRETO4000K                          </t>
  </si>
  <si>
    <t xml:space="preserve">386/5 PENDENTE SMART BRANCO                            </t>
  </si>
  <si>
    <t xml:space="preserve">386/5 PENDENTE SMART PRETO                             </t>
  </si>
  <si>
    <t xml:space="preserve">386/5 PENDENTE SMART DOURADO ONO                     </t>
  </si>
  <si>
    <t>4 X E27</t>
  </si>
  <si>
    <t xml:space="preserve">499/1 PENDENTE VERSSAT BRANCO                          </t>
  </si>
  <si>
    <t xml:space="preserve">499/1 PENDENTE VERSSAT DOURADO POLIDO                  </t>
  </si>
  <si>
    <t xml:space="preserve">499/1 PENDENTE VERSSAT PRETO                           </t>
  </si>
  <si>
    <t xml:space="preserve">499/1 PENDENTE VERSSAT DOURADO ONO                     </t>
  </si>
  <si>
    <t xml:space="preserve">633/1 PENDENTE QUEENS COBRE POLIDO                     </t>
  </si>
  <si>
    <t xml:space="preserve">633/1 PENDENTE QUEENS PRETO                            </t>
  </si>
  <si>
    <t xml:space="preserve">633/1 PENDENTE QUEENS PRETO / COBRE POLIDO             </t>
  </si>
  <si>
    <t xml:space="preserve">633/1 PENDENTE QUEENS PRETO / DOURADO POLIDO           </t>
  </si>
  <si>
    <t xml:space="preserve">633/3 PENDENTE QUEENS COBRE POLIDO                     </t>
  </si>
  <si>
    <t xml:space="preserve">633/3 PENDENTE QUEENS PRETO                            </t>
  </si>
  <si>
    <t xml:space="preserve">633/3 PENDENTE QUEENS PRETO / COBRE POLIDO             </t>
  </si>
  <si>
    <t xml:space="preserve">633/3 PENDENTE QUEENS PRETO / DOURADO POLIDO           </t>
  </si>
  <si>
    <t xml:space="preserve">634/1 PENDENTE VERSSAT BRANCO                          </t>
  </si>
  <si>
    <t>1 X MR16</t>
  </si>
  <si>
    <t xml:space="preserve">634/1 PENDENTE VERSSAT DOURADO POLIDO                  </t>
  </si>
  <si>
    <t xml:space="preserve">634/1 PENDENTE VERSSAT PRETO                           </t>
  </si>
  <si>
    <t xml:space="preserve">634/1 PENDENTE VERSSAT DOURADO ONO                     </t>
  </si>
  <si>
    <t>6 X E27</t>
  </si>
  <si>
    <t xml:space="preserve">733/6 PENDENTE CENTURY DOURADO ONO                     </t>
  </si>
  <si>
    <t xml:space="preserve">733/6 PENDENTE CENTURY DOURADO POLIDO                  </t>
  </si>
  <si>
    <t xml:space="preserve">733/6 PENDENTE CENTURY PRETO                           </t>
  </si>
  <si>
    <t xml:space="preserve">778/1 PENDENTE PENDULO BRANCO  VIDRO LEITOSO                          </t>
  </si>
  <si>
    <t xml:space="preserve">778/1 PENDENTE PENDULO COBRE POLIDO VIDRO LEITOSO                      </t>
  </si>
  <si>
    <t xml:space="preserve">778/1 PENDENTE PENDULO DOURADO ONO VIDRO LEITOSO                    </t>
  </si>
  <si>
    <t xml:space="preserve">778/1 PENDENTE PENDULO DOURADO POLIDO VIDRO LEITOSO                  </t>
  </si>
  <si>
    <t xml:space="preserve">778/1 PENDENTE PENDULO PRETO  VIDRO LEITOSO                           </t>
  </si>
  <si>
    <t xml:space="preserve">779/1 PENDENTE GOTA DOURADO ONO VIDRO LEITOSO                             </t>
  </si>
  <si>
    <t xml:space="preserve">779/1 PENDENTE GOTA DOURADO POLIDO   VIDRO LEITOSO                        </t>
  </si>
  <si>
    <t xml:space="preserve">779/1 PENDENTE GOTA POLIDO VIDRO LEITOSO                                   </t>
  </si>
  <si>
    <t xml:space="preserve">779/1 PENDENTE GOTA PRETO VIDRO LEITOSO                                   </t>
  </si>
  <si>
    <t xml:space="preserve">779/1 PENDENTE GOTA BRANCO VIDRO LEITOSO      </t>
  </si>
  <si>
    <t xml:space="preserve">779/1 PENDENTE GOTA COBRE POLIDO  VIDRO LEITOSO      </t>
  </si>
  <si>
    <t xml:space="preserve">784/2 PENDENTE DOUBLE DOURADO ONO VIDRO LEITOSO        </t>
  </si>
  <si>
    <t xml:space="preserve">784/2 PENDENTE DOUBLE DOURADO POLIDO VIDRO LEITOSO     </t>
  </si>
  <si>
    <t xml:space="preserve">784/2 PENDENTE DOUBLE PRETO VIDRO LEITOSO              </t>
  </si>
  <si>
    <t xml:space="preserve">786/1 PENDENTE DELTA DOURADO POLIDO VIDRO LEITOSO      </t>
  </si>
  <si>
    <t>1 XG9</t>
  </si>
  <si>
    <t xml:space="preserve">786/1 PENDENTE DELTA DOURADO ONO VIDRO LEITOSO         </t>
  </si>
  <si>
    <t xml:space="preserve">786/1 PENDENTE DELTA PRETO VIDRO LEITOSO               </t>
  </si>
  <si>
    <t xml:space="preserve">786/1 PENDENTE DELTA DOURADO ONO VIDRO DUO             </t>
  </si>
  <si>
    <t xml:space="preserve">786/1 PENDENTE DELTA DOURADO POLIDO VIDRO DUO          </t>
  </si>
  <si>
    <t xml:space="preserve">786/1 PENDENTE DELTA PRETO VIDRO DUO                   </t>
  </si>
  <si>
    <t xml:space="preserve">786/1 PENDENTE DELTA COBRE POLIDO VIDRO AMBAR           </t>
  </si>
  <si>
    <t xml:space="preserve">786/1 PENDENTE DELTA DOURADO ONO VIDRO AMBAR            </t>
  </si>
  <si>
    <t xml:space="preserve">786/1 PENDENTE DELTA DOURADO POLIDO VIDRO AMBAR         </t>
  </si>
  <si>
    <t xml:space="preserve">799/1 PENDENTE VIGO DOURADO ONO VIDRO DUO              </t>
  </si>
  <si>
    <t xml:space="preserve">799/1 PENDENTE VIGO PRETO VIDRO DUO                    </t>
  </si>
  <si>
    <t xml:space="preserve">799/1 PENDENTE VIGO DOURADO ONO VIDRO AMBAR            </t>
  </si>
  <si>
    <t xml:space="preserve">799/1 PENDENTE VIGO DOURADO POLIDO VIDRO AMBAR         </t>
  </si>
  <si>
    <t xml:space="preserve">799/1 PENDENTE VIGO PRETO VIDRO AMBAR                  </t>
  </si>
  <si>
    <t xml:space="preserve">800/2 PENDENTE DOUBLE DOURADO ONO VIDRO LEITOSO                         </t>
  </si>
  <si>
    <t xml:space="preserve">800/2 PENDENTE DOUBLE DOURADO POLIDO  VIDRO LEITOSO                    </t>
  </si>
  <si>
    <t xml:space="preserve">800/2 PENDENTE DOUBLE PRETO VIDRO LEITOSO                              </t>
  </si>
  <si>
    <t>1300MM</t>
  </si>
  <si>
    <t xml:space="preserve">804/4 PENDENTE MADRI PRETO                             </t>
  </si>
  <si>
    <t xml:space="preserve">804/4 PENDENTE MADRI DOURADO ONO                       </t>
  </si>
  <si>
    <t xml:space="preserve">804/4 PENDENTE MADRI DOURADO POLIDO                    </t>
  </si>
  <si>
    <t xml:space="preserve">806/3 PENDENTE HILLS DOURADO ONO                       </t>
  </si>
  <si>
    <t xml:space="preserve">806/3 PENDENTE HILLS DOURADO POLIDO                    </t>
  </si>
  <si>
    <t xml:space="preserve">806/3 PENDENTE HILLS PRETO                             </t>
  </si>
  <si>
    <t xml:space="preserve">806/5 PENDENTE HILLS DOURADO ONO                       </t>
  </si>
  <si>
    <t xml:space="preserve">806/5 PENDENTE HILLS DOURADO POLIDO                    </t>
  </si>
  <si>
    <t xml:space="preserve">806/5 PENDENTE HILLS PRETO                             </t>
  </si>
  <si>
    <t xml:space="preserve">807/4 PENDENTE HONDA DOURADO ONO                       </t>
  </si>
  <si>
    <t>4 X MR11</t>
  </si>
  <si>
    <t xml:space="preserve">807/4 PENDENTE HONDA PRETO                             </t>
  </si>
  <si>
    <t>4 X MR11 - 1 X G9</t>
  </si>
  <si>
    <t xml:space="preserve">808/5 PENDENTE GRAU DOURADO ONO                        </t>
  </si>
  <si>
    <t xml:space="preserve">808/5 PENDENTE GRAU DOURADO POLIDO                     </t>
  </si>
  <si>
    <t xml:space="preserve">808/5 PENDENTE GRAU PRETO                              </t>
  </si>
  <si>
    <t xml:space="preserve">808/5 PENDENTE GRAU PRETO / DOURADO ONO                </t>
  </si>
  <si>
    <t xml:space="preserve">808/5 PENDENTE GRAU PRETO / DOURADO POLIDO             </t>
  </si>
  <si>
    <t xml:space="preserve">810/120 PENDENTE HALL BRANCO3000K                      </t>
  </si>
  <si>
    <t xml:space="preserve">810/120 PENDENTE HALL PRETO3000K                       </t>
  </si>
  <si>
    <t xml:space="preserve">810/120 PENDENTE HALL DOURADO ONO 3000K                </t>
  </si>
  <si>
    <t xml:space="preserve">810/120 PENDENTE HALL BRANCO 4000K                  </t>
  </si>
  <si>
    <t xml:space="preserve">810/120 PENDENTE HALL PRETO4000K                       </t>
  </si>
  <si>
    <t xml:space="preserve">810/120 PENDENTE HALL DOURADO ONO 4000K                </t>
  </si>
  <si>
    <t xml:space="preserve">811/120 PENDENTE OFFICE BRANCO 3000K                    </t>
  </si>
  <si>
    <t>1200mm</t>
  </si>
  <si>
    <t xml:space="preserve">811/120 PENDENTE OFFICE PRETO 3000K                     </t>
  </si>
  <si>
    <t xml:space="preserve">811/120 PENDENTE OFFICE BRANCO / ANEL MADEIRA 3000K         </t>
  </si>
  <si>
    <t xml:space="preserve">811/120 PENDENTE OFFICE PRETO / ANEL MADEIRA 3000K      </t>
  </si>
  <si>
    <t xml:space="preserve">811/120 PENDENTE OFFICE BRANCO 4000K                    </t>
  </si>
  <si>
    <t xml:space="preserve">811/120 PENDENTE OFFICE PRETO 4000K                     </t>
  </si>
  <si>
    <t xml:space="preserve">811/120 PENDENTE OFFICE PRETO / ANEL MADEIRA 4000      </t>
  </si>
  <si>
    <t xml:space="preserve">811/120 PENDENTE OFFICE BRANCO / ANEL MADEIRA 4000K         </t>
  </si>
  <si>
    <t xml:space="preserve">811/120 PENDENTEOFFICE BRANCO / DOURADO ONO 4000K      </t>
  </si>
  <si>
    <t xml:space="preserve">814/120 PENDENTE ROAD PRETO3000K                       </t>
  </si>
  <si>
    <t xml:space="preserve">814/120 PENDENTE ROAD BRANCO 3000K                     </t>
  </si>
  <si>
    <t xml:space="preserve">814/120 PENDENTE ROAD BRANCO4000K                      </t>
  </si>
  <si>
    <t xml:space="preserve">814/120 PENDENTE ROAD PRETO4000K                       </t>
  </si>
  <si>
    <t>30WATTS</t>
  </si>
  <si>
    <t>34WATTS</t>
  </si>
  <si>
    <t xml:space="preserve">829/3 PENDENTE EVENT PRETO3000K                        </t>
  </si>
  <si>
    <t xml:space="preserve">829/3 PENDENTE EVENT BRANCO 3000K                      </t>
  </si>
  <si>
    <t xml:space="preserve">829/3 PENDENTE EVENT DOURADO ONO 3000K                 </t>
  </si>
  <si>
    <t xml:space="preserve">829/3 PENDENTE EVENT PRETO 4000K                       </t>
  </si>
  <si>
    <t xml:space="preserve">829/3 PENDENTE EVENT DOURADO ONO 4000K                 </t>
  </si>
  <si>
    <t xml:space="preserve">829/3 PENDENTE EVENT BRANCO 4000K                      </t>
  </si>
  <si>
    <t xml:space="preserve">830/1 PENDENTE ONLY BRANCO3000K                        </t>
  </si>
  <si>
    <t>LED BIVOLT - 2 X MR11</t>
  </si>
  <si>
    <t xml:space="preserve">830/1 PENDENTE ONLY PRETO3000K                         </t>
  </si>
  <si>
    <t xml:space="preserve">830/1 PENDENTE ONLY DOURADO ONO 3000K                  </t>
  </si>
  <si>
    <t xml:space="preserve">830/1 PENDENTE ONLY DOURADO ONO 4000K                  </t>
  </si>
  <si>
    <t xml:space="preserve">830/1 PENDENTE ONLY BRANCO 4000K                       </t>
  </si>
  <si>
    <t xml:space="preserve">830/1 PENDENTE ONLY PRETO 4000K                        </t>
  </si>
  <si>
    <t xml:space="preserve">832/1 PENDENTE SHINE COBRE POLIDO 3000K                </t>
  </si>
  <si>
    <t xml:space="preserve">832/1 PENDENTE SHINE DOURADO ONO 3000K                 </t>
  </si>
  <si>
    <t xml:space="preserve">832/1 PENDENTE SHINE DOURADO POLIDO 3000K              </t>
  </si>
  <si>
    <t xml:space="preserve">832/1 PENDENTE SHINE PRETO 3000K                       </t>
  </si>
  <si>
    <t xml:space="preserve">709/1 ARANDELA ELLOS BRANCO                            </t>
  </si>
  <si>
    <t>145MM</t>
  </si>
  <si>
    <t xml:space="preserve">709/1 ARANDELA ELLOS PRETO                             </t>
  </si>
  <si>
    <t xml:space="preserve">709/1 ARANDELA ELLOS PRETO / COBRE ONO                 </t>
  </si>
  <si>
    <t xml:space="preserve">709/1 ARANDELA ELLOS PRETO / DOURADO ONO               </t>
  </si>
  <si>
    <t xml:space="preserve">709/1 ARANDELA ELOS PRETO/ DOURADO POLIDO              </t>
  </si>
  <si>
    <t xml:space="preserve">709/1 ARANDELA ELLOS BRANCO / DOURADO POLIDO           </t>
  </si>
  <si>
    <t xml:space="preserve">757/1 ARANDELA DROP BRANCO                             </t>
  </si>
  <si>
    <t xml:space="preserve">757/1 ARANDELA DROP DOURADO ONO                        </t>
  </si>
  <si>
    <t xml:space="preserve">757/1 ARANDELA DROP PRETO                              </t>
  </si>
  <si>
    <t xml:space="preserve">757/1 ARANDELA DROP DOURADO POLIDO                     </t>
  </si>
  <si>
    <t xml:space="preserve">777/1 ARANDELA PENDULO BRANCO VIDRO LEITOSO                          </t>
  </si>
  <si>
    <t xml:space="preserve">777/1 ARANDELA PENDULO DOURADO ONO VIDRO LEITOSO                      </t>
  </si>
  <si>
    <t xml:space="preserve">777/1 ARANDELA PENDULO DOURADO POLIDO  VIDRO LEITOSO                  </t>
  </si>
  <si>
    <t xml:space="preserve">777/1 ARANDELA PENDULO PRETO  VIDRO LEITOSO                           </t>
  </si>
  <si>
    <t xml:space="preserve">787/2 ARANDELA DOUBLE COBRE POLIDO  VIDRO LEITOSO                   </t>
  </si>
  <si>
    <t xml:space="preserve">787/2 ARANDELA DOUBLE DOURADO ONO   VIDRO LEITOSO                   </t>
  </si>
  <si>
    <t xml:space="preserve">787/2 ARANDELA DOUBLE DOURADO POLIDO   VIDRO LEITOSO                </t>
  </si>
  <si>
    <t xml:space="preserve">787/2 ARANDELA DOUBLE PRETO    VIDRO LEITOSO                        </t>
  </si>
  <si>
    <t xml:space="preserve">788/3 ARANDELA VEGA DOURADO ONO  VIDRO LEITOSO                         </t>
  </si>
  <si>
    <t xml:space="preserve">788/3 ARANDELA VEGA DOURADO POLIDO     VIDRO LEITOSO                   </t>
  </si>
  <si>
    <t xml:space="preserve">788/3 ARANDELA VEGA PRETO VIDRO LEITOSO                                </t>
  </si>
  <si>
    <t xml:space="preserve">791/1 ARANDELA UNO BRANCO VIDRO LEITOSO                 </t>
  </si>
  <si>
    <t xml:space="preserve">791/1 ARANDELA UNO COBRE POLIDOVIDRO LEITOSO           </t>
  </si>
  <si>
    <t xml:space="preserve">791/1 ARANDELA UNO DOURADO ONOVIDRO LEITOSO            </t>
  </si>
  <si>
    <t xml:space="preserve">791/1 ARANDELA UNO PRETOVIDRO LEITOSO                  </t>
  </si>
  <si>
    <t xml:space="preserve">791/1 ARANDELA UNO DOURADO POLIDOVIDRO LEITOSO         </t>
  </si>
  <si>
    <t xml:space="preserve">793/1 ARANDELA HASTE DOURADO ONO                       </t>
  </si>
  <si>
    <t xml:space="preserve">793/1 ARANDELA HASTE DOURADO POLIDO                    </t>
  </si>
  <si>
    <t xml:space="preserve">793/1 ARANDELA HASTE PRETO                             </t>
  </si>
  <si>
    <t xml:space="preserve">803/1 ARANDELA SHELL BRANCO                            </t>
  </si>
  <si>
    <t xml:space="preserve">803/1 ARANDELA SHELL DOURADO ONO                       </t>
  </si>
  <si>
    <t xml:space="preserve">803/1 ARANDELA SHELL DOURADO POLIDO                    </t>
  </si>
  <si>
    <t xml:space="preserve">803/1 ARANDELA SHELL PRETO                             </t>
  </si>
  <si>
    <t xml:space="preserve">803/1 ARANDELA SHELL PRETO / DOURADO ONO               </t>
  </si>
  <si>
    <t xml:space="preserve">803/1 ARANDELA SHELL BRANCO / DOURADO ONO              </t>
  </si>
  <si>
    <t>780MM</t>
  </si>
  <si>
    <t xml:space="preserve">815/1 ARANDELA TROMP DOURADO ONO   VIDRO LEITOSO                         </t>
  </si>
  <si>
    <t xml:space="preserve">815/1 ARANDELA TROMP PRETO   VIDRO LEITOSO                               </t>
  </si>
  <si>
    <t xml:space="preserve">820/1 ARANDELA GOTA BRANCO   VIDRO LEITOSO                                </t>
  </si>
  <si>
    <t xml:space="preserve">820/1 ARANDELA GOTA COBRE ONO  VIDRO LEITOSO                              </t>
  </si>
  <si>
    <t xml:space="preserve">820/1 ARANDELA GOTA COBRE POLIDO   VIDRO LEITOSO                          </t>
  </si>
  <si>
    <t xml:space="preserve">820/1 ARANDELA GOTA DOURADO ONO  VIDRO LEITOSO                            </t>
  </si>
  <si>
    <t xml:space="preserve">820/1 ARANDELA GOTA DOURADO POLIDO    VIDRO LEITOSO                       </t>
  </si>
  <si>
    <t xml:space="preserve">820/1 ARANDELA GOTA PRETO  VIDRO LEITOSO                                  </t>
  </si>
  <si>
    <t xml:space="preserve">821/1 ARANDELA MADRI BRANCO                            </t>
  </si>
  <si>
    <t xml:space="preserve">821/1 ARANDELA MADRI PRETO                             </t>
  </si>
  <si>
    <t xml:space="preserve">821/1 ARANDELA MADRI PRETO / DOURADO POLIDO            </t>
  </si>
  <si>
    <t xml:space="preserve">821/1 ARANDELA MADRI DOURADO ONO                       </t>
  </si>
  <si>
    <t xml:space="preserve">821/1 ARANDELA MADRI DOURADO POLIDO                    </t>
  </si>
  <si>
    <t xml:space="preserve">823/60 ARANDELA STYLE DOURADO ONO3000K                 </t>
  </si>
  <si>
    <t xml:space="preserve">823/60 ARANDELA STYLE PRETO3000K                       </t>
  </si>
  <si>
    <t xml:space="preserve">823/60 ARANDELA STYLE BRANCO 3000K                     </t>
  </si>
  <si>
    <t xml:space="preserve">835/1 ARANDELA DOME BRANCO                             </t>
  </si>
  <si>
    <t xml:space="preserve">835/1 ARANDELA DOME DOURADO POLIDO                     </t>
  </si>
  <si>
    <t xml:space="preserve">835/1 ARANDELA DOME PRETO                              </t>
  </si>
  <si>
    <t xml:space="preserve">835/1 ARANDELA DOME PRETO / DOURADO ONO                </t>
  </si>
  <si>
    <t xml:space="preserve">835/1 ARANDELA DOME PRETO / DOURADO POLIDO             </t>
  </si>
  <si>
    <t xml:space="preserve">835/1 ARANDELA DOME DOURADO ONO                        </t>
  </si>
  <si>
    <t xml:space="preserve">665/1 LUMINARIA DE MESA CITY COBRE POLIDO              </t>
  </si>
  <si>
    <t xml:space="preserve">665/1 LUMINARIA DE MESA CITY DOURADO POLIDO            </t>
  </si>
  <si>
    <t xml:space="preserve">665/1 LUMINARIA DE MESA CITY PRETO                     </t>
  </si>
  <si>
    <t xml:space="preserve">665/1 LUMINARIA DE MESA CITY PRETO / COBRE POLIDO      </t>
  </si>
  <si>
    <t xml:space="preserve">765/1 LUMINARIA DE MESA DROP BRANCO                    </t>
  </si>
  <si>
    <t xml:space="preserve">765/1 LUMINARIA DE MESA DROP COBRE POLIDO              </t>
  </si>
  <si>
    <t xml:space="preserve">765/1 LUMINARIA DE MESA DROP DOURADO ONO               </t>
  </si>
  <si>
    <t xml:space="preserve">765/1 LUMINARIA DE MESA DROP DOURADO POLIDO            </t>
  </si>
  <si>
    <t xml:space="preserve">765/1 LUMINARIA DE MESA DROP PRETO                     </t>
  </si>
  <si>
    <t xml:space="preserve">449/1 COLUNA KAMILLA PRETO / BRANCO                    </t>
  </si>
  <si>
    <t xml:space="preserve">449/1 COLUNA KAMILLA PRETO / DOURADO ONO                  </t>
  </si>
  <si>
    <t xml:space="preserve">449/1 COLUNA KAMILLA BRANCO </t>
  </si>
  <si>
    <t xml:space="preserve">449/1 COLUNA KAMILLA PRETO TOTAL                       </t>
  </si>
  <si>
    <t xml:space="preserve">646/1 COLUNA SQUARE BRANCO                             </t>
  </si>
  <si>
    <t>1580MM</t>
  </si>
  <si>
    <t xml:space="preserve">646/1 COLUNA SQUARE COBRE POLIDO / BRANCO              </t>
  </si>
  <si>
    <t xml:space="preserve">646/1 COLUNA SQUARE PRETO                              </t>
  </si>
  <si>
    <t xml:space="preserve">646/1 COLUNA SQUARE DOURADO POLIDO / BRANCO            </t>
  </si>
  <si>
    <t xml:space="preserve">646/1 COLUNA SQUARE PRETO / BRANCO                     </t>
  </si>
  <si>
    <t xml:space="preserve">646/1 COLUNA SQUARE COBRE ONO                          </t>
  </si>
  <si>
    <t xml:space="preserve">646/1 COLUNA SQUARE DOURADO ONO                        </t>
  </si>
  <si>
    <t xml:space="preserve">646/1 COLUNA SQUARE PRETO / DOURADO ONO                </t>
  </si>
  <si>
    <t xml:space="preserve">647/1 COLUNA DENVER PRETO / BRANCO                     </t>
  </si>
  <si>
    <t>1600MM</t>
  </si>
  <si>
    <t xml:space="preserve">647/1 COLUNA DENVER BRANCO                             </t>
  </si>
  <si>
    <t xml:space="preserve">647/1 COLUNA DENVER BRANCO / DOURADO ONO               </t>
  </si>
  <si>
    <t xml:space="preserve">647/1 COLUNA DENVER COBRE POLIDO / BRANCO              </t>
  </si>
  <si>
    <t xml:space="preserve">647/1 COLUNA DENVER DOURADO POLIDO / BRANCO            </t>
  </si>
  <si>
    <t xml:space="preserve">647/1 COLUNA DENVER POLIDO / BRANCO                    </t>
  </si>
  <si>
    <t xml:space="preserve">647/1 COLUNA DENVER PRETO                              </t>
  </si>
  <si>
    <t xml:space="preserve">651/1 COLUNA OXFORD BRANCO / COBRE POLIDO              </t>
  </si>
  <si>
    <t xml:space="preserve">651/1 COLUNA OXFORD PRETO                              </t>
  </si>
  <si>
    <t xml:space="preserve">651/1 COLUNA OXFORD PRETO / COBRE POLIDO               </t>
  </si>
  <si>
    <t xml:space="preserve">666/1 COLUNA CITY PRETO                                </t>
  </si>
  <si>
    <t xml:space="preserve">666/1 COLUNA CITY PRETO / COBRE POLIDO                 </t>
  </si>
  <si>
    <t xml:space="preserve">666/1 COLUNA CITY PRETO / DOURADO POLIDO               </t>
  </si>
  <si>
    <t xml:space="preserve">837/1 COLUNA MADRI BRANCO                            </t>
  </si>
  <si>
    <t xml:space="preserve">837/1 COLUNA MADRI PRETO                             </t>
  </si>
  <si>
    <t xml:space="preserve">837/1 COLUNA MADRI DOURADO ONO                       </t>
  </si>
  <si>
    <t xml:space="preserve">837/1 COLUNA MADRI DOURADO POLIDO                    </t>
  </si>
  <si>
    <t>1106/1 ARANDELA CAP BRANCO</t>
  </si>
  <si>
    <t>1106/1 ARANDELA CAP PRETO</t>
  </si>
  <si>
    <t>1106/1 ARANDELA CAP DOURADO ONO</t>
  </si>
  <si>
    <t>1107/1 ARANDELA ZOD BRANCO</t>
  </si>
  <si>
    <t>1107/1 ARANDELA ZOD PRETO</t>
  </si>
  <si>
    <t>1107/1 ARANDELA ZOD DOURADO ONO</t>
  </si>
  <si>
    <t>CUPULA TECIDO BRANCO 80 X 120 X 120</t>
  </si>
  <si>
    <t>CUPULA TECIDO CRU 80 X 120 X 120</t>
  </si>
  <si>
    <t xml:space="preserve">CUPULA TECIDO PRETO 80 X 120 X 120 </t>
  </si>
  <si>
    <t>1108 CANOPLA EMBUTIR BRANCO GESSO 70MM</t>
  </si>
  <si>
    <t>1108 CANOPLA EMBUTIR PRETO GESSO 70MM</t>
  </si>
  <si>
    <t>1108 CANOPLA EMBUTIR DOURADO ONO GESSO 70MM</t>
  </si>
  <si>
    <t>1108 CANOPLA EMBUTIR DOURADO POLIDO GESSO 70MM</t>
  </si>
  <si>
    <t>1111 CANOPLA SOBREPOR BRANCO 120MM</t>
  </si>
  <si>
    <t>1111 CANOPLA SOBREPOR PRETO 120MM</t>
  </si>
  <si>
    <t>1111 CANOPLA SOBREPOR DOURADO ONO 120MM</t>
  </si>
  <si>
    <t>1111 CANOPLA SOBREPOR DOURADO POLIDO 120MM</t>
  </si>
  <si>
    <t>1112 CHAPA CAIXA 4X2 BRANCO  80MM X 120MM</t>
  </si>
  <si>
    <t>1112 CHAPA CAIXA 4X2 PRETO  80MM X 120MM</t>
  </si>
  <si>
    <t>1112 CHAPA CAIXA 4X2 DOURADO ONO  80MM X 120MM</t>
  </si>
  <si>
    <t xml:space="preserve">1075/1000 PERFIL EMBUTIR DEL BRANCO 4 FOCOS 3000K                      </t>
  </si>
  <si>
    <t xml:space="preserve">1075/1000 PERFIL EMBUTIR DEL PRETO 4 FOCOS 3000K                       </t>
  </si>
  <si>
    <t xml:space="preserve">1075/1000 PERFIL EMBUTIR DEL BRANCO 4 FOCOS 4000K                      </t>
  </si>
  <si>
    <t xml:space="preserve">1075/1000 PERFIL EMBUTIR DEL PRETO 4 FOCOS 4000K                       </t>
  </si>
  <si>
    <t xml:space="preserve">1075/1200 PERFIL EMBUTIR DEL BRANCO 4 FOCOS 3000K                      </t>
  </si>
  <si>
    <t xml:space="preserve">1075/1200 PERFIL EMBUTIR DEL PRETO 4 FOCOS 3000K                       </t>
  </si>
  <si>
    <t xml:space="preserve">1075/1200 PERFIL EMBUTIR DEL BRANCO 4 FOCOS 4000K                      </t>
  </si>
  <si>
    <t xml:space="preserve">1075/1200 PERFIL EMBUTIR DEL PRETO 4 FOCOS 4000K                       </t>
  </si>
  <si>
    <t xml:space="preserve">1075/1500 PERFIL EMBUTIR DEL BRANCO 10 FOCOS 3000K                      </t>
  </si>
  <si>
    <t xml:space="preserve">1075/1500 PERFIL EMBUTIR DEL PRETO 10 FOCOS 3000K                       </t>
  </si>
  <si>
    <t xml:space="preserve">1075/1500 PERFIL EMBUTIR DEL BRANCO 10 FOCOS 4000K                      </t>
  </si>
  <si>
    <t xml:space="preserve">1075/1500 PERFIL EMBUTIR DEL PRETO 10 FOCOS 4000K                       </t>
  </si>
  <si>
    <t xml:space="preserve">1071/1000 PERFIL SOBREPOR DEL BRANCO 4 FOCOS 3000K                      </t>
  </si>
  <si>
    <t xml:space="preserve">1071/1000 PERFIL SOBREPOR DEL PRETO 4 FOCOS 3000K                       </t>
  </si>
  <si>
    <t xml:space="preserve">1071/1000 PERFIL SOBREPOR DEL DOURADO ONO 4 FOCOS 3000K                 </t>
  </si>
  <si>
    <t xml:space="preserve">1071/1000 PERFIL SOBREPOR DEL BRANCO 4 FOCOS 4000K                      </t>
  </si>
  <si>
    <t xml:space="preserve">1071/1000 PERFIL SOBREPOR DEL PRETO 4 FOCOS 4000K                       </t>
  </si>
  <si>
    <t xml:space="preserve">1071/1000 PERFIL SOBREPOR DEL DOURADO ONO 4 FOCOS 4000K                 </t>
  </si>
  <si>
    <t xml:space="preserve">1071/1200 PERFIL SOBREPOR DEL BRANCO 4 FOCOS 3000K                      </t>
  </si>
  <si>
    <t xml:space="preserve">1071/1200 PERFIL SOBREPOR DEL PRETO 4 FOCOS 3000K                       </t>
  </si>
  <si>
    <t xml:space="preserve">1071/1200 PERFIL SOBREPOR DEL DOURADO ONO 4 FOCOS 3000K                 </t>
  </si>
  <si>
    <t xml:space="preserve">1071/1200 PERFIL SOBREPOR DEL BRANCO 4 FOCOS 4000K                      </t>
  </si>
  <si>
    <t xml:space="preserve">1071/1200 PERFIL SOBREPOR DEL PRETO 4 FOCOS 4000K                       </t>
  </si>
  <si>
    <t xml:space="preserve">1071/1200 PERFIL SOBREPOR DEL DOURADO ONO 4 FOCOS 4000K                 </t>
  </si>
  <si>
    <t xml:space="preserve">1071/1500 PERFIL SOBREPOR DEL BRANCO 10 FOCOS 3000K                      </t>
  </si>
  <si>
    <t xml:space="preserve">1071/1500 PERFIL SOBREPOR DEL PRETO 10 FOCOS 3000K                       </t>
  </si>
  <si>
    <t xml:space="preserve">1071/1500 PERFIL SOBREPOR DEL DOURADO ONO 10 FOCOS 3000K                 </t>
  </si>
  <si>
    <t xml:space="preserve">1071/1500 PERFIL SOBREPOR DEL BRANCO 10 FOCOS 4000K                      </t>
  </si>
  <si>
    <t xml:space="preserve">1071/1500 PERFIL SOBREPOR DEL PRETO 10 FOCOS 4000K                       </t>
  </si>
  <si>
    <t xml:space="preserve">1071/1500 PERFIL SOBREPOR DEL DOURADO ONO 10 FOCOS 4000K                 </t>
  </si>
  <si>
    <t>20WATTS + 8WATTS</t>
  </si>
  <si>
    <t>SOBREPOR</t>
  </si>
  <si>
    <t>EMBUTIR</t>
  </si>
  <si>
    <t>1109 CANOPLA SOBREPOR BRANCO 80MM</t>
  </si>
  <si>
    <t>1109 CANOPLA SOBREPOR PRETO 80MM</t>
  </si>
  <si>
    <t>1109 CANOPLA SOBREPOR DOURADO ONO 80MM</t>
  </si>
  <si>
    <t>1109 CANOPLA SOBREPOR DOURADO POLIDO 80MM</t>
  </si>
  <si>
    <t>32 WATTS</t>
  </si>
  <si>
    <t>37 WATTS</t>
  </si>
  <si>
    <t>29 WATTS + 4 WATTS</t>
  </si>
  <si>
    <t>5 WATTS</t>
  </si>
  <si>
    <t>16 WATTS</t>
  </si>
  <si>
    <t>12 WATTS</t>
  </si>
  <si>
    <t>12WATTS</t>
  </si>
  <si>
    <t xml:space="preserve">12WATTS </t>
  </si>
  <si>
    <t xml:space="preserve">1072/1200 PENDENTE DEL BRANCO 4 FOCOS 3000K </t>
  </si>
  <si>
    <t xml:space="preserve">1072/1200 PENDENTE DEL PRETO 4 FOCOS  3000K                     </t>
  </si>
  <si>
    <t xml:space="preserve">1072/1200 PENDENTE DEL BRANCO 4 FOCOS  4000K                    </t>
  </si>
  <si>
    <t xml:space="preserve">1072/1200 PENDENTE DEL PRETO 4 FOCOS  4000K                     </t>
  </si>
  <si>
    <t xml:space="preserve">1072/1200 PENDENTE DEL DOURADO ONO 4 FOCOS  4000K               </t>
  </si>
  <si>
    <t>390MM</t>
  </si>
  <si>
    <t>590MM</t>
  </si>
  <si>
    <t>2 WATTS</t>
  </si>
  <si>
    <t>1078/38 PLAFON BALLOON PRETO LED MULTICOR</t>
  </si>
  <si>
    <t>1078/38 PLAFON BALLOON BRANCO LED MULTICOR</t>
  </si>
  <si>
    <t>1078/38 PLAFON BALLOON DOURADO ONO LED MULTICOR</t>
  </si>
  <si>
    <t>4 WATTS</t>
  </si>
  <si>
    <t>817/1 ARANDELA TORCH DOURADO ONO CUPULA CRU</t>
  </si>
  <si>
    <t>817/1 ARANDELA TORCH DOURADO POLIDO CUPULA CRU</t>
  </si>
  <si>
    <t>817/1 ARANDELA TORCH PRETO / DOURADO ONO CUPULA CRU</t>
  </si>
  <si>
    <t>817/1 ARANDELA TORCH PRETO / DOURADO POLIDO CUPULA CRU</t>
  </si>
  <si>
    <t>817/1 ARANDELA TORCH BRANCO CUPULA BRANCA</t>
  </si>
  <si>
    <t>817/1 ARANDELA TORCH PRETA CUPULA PRETA</t>
  </si>
  <si>
    <t>817/1 ARANDELA TORCH DOURADO POLIDO CUPULA BRANCA</t>
  </si>
  <si>
    <t>817/1 ARANDELA TORCH PRETO CUPULA BRANCA</t>
  </si>
  <si>
    <t>817/1 ARANDELA TORCH PRETA CUPULA CRU</t>
  </si>
  <si>
    <t>1119/1 COLUNA DOT PRETO 3000 K</t>
  </si>
  <si>
    <t>1119/1 COLUNA DOT BRANCO 3000 K</t>
  </si>
  <si>
    <t>1119/1 COLUNA DOT DOURADO ONO 3000 K</t>
  </si>
  <si>
    <t>1119/1 COLUNA DOT TERRACOTA 3000 K</t>
  </si>
  <si>
    <t xml:space="preserve">1072/1200 PENDENTE DEL DOURADO ONO 4 FOCOS  ONO 3000K       </t>
  </si>
  <si>
    <t>1119/1 COLUNA DOT ALGODAO 3000 K</t>
  </si>
  <si>
    <t>1119/1 COLUNA DOT VERDE BIO 3000 K</t>
  </si>
  <si>
    <t>1119/1 COLUNA DOT AZUL MAR 3000 K</t>
  </si>
  <si>
    <t xml:space="preserve">1088/240 ARANDELA BOX PRETO 3000 K 02 FACHOS             </t>
  </si>
  <si>
    <t xml:space="preserve">1088/240 ARANDELA BOX BRANCO 3000 K 02 FACHOS            </t>
  </si>
  <si>
    <t xml:space="preserve">1088/240 ARANDELA BOX DOURADO ONO 3000 K 02 FACHOS       </t>
  </si>
  <si>
    <t>1097/1 PENDENTE MUSA VERDE BIO 3000 K</t>
  </si>
  <si>
    <t>1097/1 PENDENTE MUSA ALGODÃO 3000 K</t>
  </si>
  <si>
    <t>1097/1 PENDENTE MUSA AZUL MAR 3000 K</t>
  </si>
  <si>
    <t>1083/1 PENDENTE DOT ALGODÃO 3000 K</t>
  </si>
  <si>
    <t>1083/1 PENDENTE DOT VERDE BIO 3000 K</t>
  </si>
  <si>
    <t>1083/1 PENDENTE DOT AZUL MAR 3000 K</t>
  </si>
  <si>
    <t>1082/1 PENDENTE TOPO ALGODÃO 3000 K</t>
  </si>
  <si>
    <t>1082/1 PENDENTE TOPO AZUL MAR 3000 K</t>
  </si>
  <si>
    <t>1082/1 PENDENTE TOPO VERDE BIO 3000 K</t>
  </si>
  <si>
    <t>1085/1 ARANDELA TOPO ALGODÃO 3000 K</t>
  </si>
  <si>
    <t>1085/1 ARANDELA TOPO AZUL MAR 3000 K</t>
  </si>
  <si>
    <t>1085/1 ARANDELA TOPO VERDE BIO 3000 K</t>
  </si>
  <si>
    <t xml:space="preserve">786/1 PENDENTE DELTA PRETO VIDRO AMBAR                  </t>
  </si>
  <si>
    <t>1095/1 PENDENTE SET BRANCO 3000 K</t>
  </si>
  <si>
    <t>1095/1 PENDENTE SET PRETO 3000 K</t>
  </si>
  <si>
    <t>1095/1 PENDENTE SET DOURADO ONO 3000 K</t>
  </si>
  <si>
    <t>1095/1 PENDENTE SET DOURADO POLIDO 3000 K</t>
  </si>
  <si>
    <t>1116/1 BALIZADOR TOUR PRETO 350MM CANOPLA 3000K</t>
  </si>
  <si>
    <t>1120/1 BALIZADOR TOUR PRETO 350MM ESPETO 3000K</t>
  </si>
  <si>
    <t>1116/1 BALIZADOR TOUR PRETO 500MM CANOPLA 3000K</t>
  </si>
  <si>
    <t>1120/1 BALIZADOR TOUR PRETO 500MM ESPETO 3000K</t>
  </si>
  <si>
    <t>1116/1 BALIZADOR TOUR PRETO 800MM CANOPLA 3000K</t>
  </si>
  <si>
    <t>1120/1 BALIZADOR TOUR PRETO 800MM ESPETO 3000K</t>
  </si>
  <si>
    <t>1104/1 BALIZADOR CAP PRETO 350MM ESPETO</t>
  </si>
  <si>
    <t>1123/1 BALIZADOR CAP PRETO 350MM CANOPLA</t>
  </si>
  <si>
    <t>1104/1 BALIZADOR CAP PRETO 500MM ESPETO</t>
  </si>
  <si>
    <t>1123/1 BALIZADOR CAP PRETO 500MM CANOPLA</t>
  </si>
  <si>
    <t>1104/1 BALIZADOR CAP PRETO 800MM ESPETO</t>
  </si>
  <si>
    <t>1123/1 BALIZADOR CAP PRETO 800MM CANOPLA</t>
  </si>
  <si>
    <t>1105/1 BALIZADOR ZOD PRETO 350MM ESPETO</t>
  </si>
  <si>
    <t>1124/1 BALIZADOR ZOD PRETO 350MM CANOPLA</t>
  </si>
  <si>
    <t>1105/1 BALIZADOR ZOD PRETO 500MM ESPETO</t>
  </si>
  <si>
    <t>1124/1 BALIZADOR ZOD PRETO 500MM CANOPLA</t>
  </si>
  <si>
    <t>1105/1 BALIZADOR ZOD PRETO 800MM ESPETO</t>
  </si>
  <si>
    <t>1124/1 BALIZADOR ZOD PRETO 800MM CANOPLA</t>
  </si>
  <si>
    <t>40 WATTS</t>
  </si>
  <si>
    <t>1211MM</t>
  </si>
  <si>
    <t>34 WATTS + WATTS 8</t>
  </si>
  <si>
    <t>1595MM</t>
  </si>
  <si>
    <t>23 WATTS</t>
  </si>
  <si>
    <t>21WATTS</t>
  </si>
  <si>
    <t>21 WATTS + 4 WATTS</t>
  </si>
  <si>
    <t>37WATTS + 9 WATTS</t>
  </si>
  <si>
    <t>16WATTS + 8WATTS</t>
  </si>
  <si>
    <t>22WATTS + 20 WATTS</t>
  </si>
  <si>
    <t>66MM</t>
  </si>
  <si>
    <t>33 WATTS</t>
  </si>
  <si>
    <t>13WATTS</t>
  </si>
  <si>
    <t>15WATTS</t>
  </si>
  <si>
    <t xml:space="preserve">1088/1ARANDELA BOX PRETO 3000 K 01 FACHO              </t>
  </si>
  <si>
    <t>807/4 PENDENTE HONDA DOURADO POLIDO</t>
  </si>
  <si>
    <t xml:space="preserve">844/1 COLUNA STYLE DOURADO ONO 4000K                      </t>
  </si>
  <si>
    <t xml:space="preserve">1088/1 ARANDELA BOX BRANCO 3000 K 01 FACHO             </t>
  </si>
  <si>
    <t xml:space="preserve">1088/1 ARANDELA BOX DOURADO ONO 3000 K 01 FACHO        </t>
  </si>
  <si>
    <t xml:space="preserve">855/1 SPOT FOCO BASE BRANCO     </t>
  </si>
  <si>
    <t>26WATTS</t>
  </si>
  <si>
    <t>22  WATTS</t>
  </si>
  <si>
    <t>30 WATTS</t>
  </si>
  <si>
    <t>40 WATTS + 3 WATTS</t>
  </si>
  <si>
    <t>40 WATTS + 3WATTS</t>
  </si>
  <si>
    <t>20 WATTS + 3 WATTS</t>
  </si>
  <si>
    <t>30 WATTS + 3 WATTS</t>
  </si>
  <si>
    <t>30 WATTS +32 WATTS</t>
  </si>
  <si>
    <t>32WATTS + 8 WATTS</t>
  </si>
  <si>
    <t>32 WATTS + 8 WATTS</t>
  </si>
  <si>
    <t>1070/27 PENDENTE UP DOURADO ESCOVADO 270MM 3000K SOBREPOR</t>
  </si>
  <si>
    <t>1070/40 PENDENTE UP DOURADO ESCOVADO 400MM 3000K SOBREPOR</t>
  </si>
  <si>
    <t>1067/27 PENDENTE SLICE DOURADO ESCOVADO 270MM 3000K SOBREPOR</t>
  </si>
  <si>
    <t>1067/40 PENDENTE SLICE DOURADO ESCOVADO 400MM 3000K SOBREPOR</t>
  </si>
  <si>
    <t>1068/18 ARANDELA SLICE DOURADO ESCOVADO 180MM 3000K</t>
  </si>
  <si>
    <t>1068/27 PLAFON SLICE DOURADO ESCOVADO 270MM 3000K</t>
  </si>
  <si>
    <t>1068/40 PLAFON SLICE DOURADO ESCOVADO 400MM 3000K</t>
  </si>
  <si>
    <t>1098/1 PENDENTE ZOOM PRETO/DOURADO ESCOVADO 3000 K</t>
  </si>
  <si>
    <t>1098/1 PENDENTE ZOOM BRANCO/DOURADO ESCOVADO 3000 K</t>
  </si>
  <si>
    <t>1099/1 ARANDELA ZOOM PRETO/DOURADO ESCOVADO 3000 K</t>
  </si>
  <si>
    <t>1099/1 ARANDELA ZOOM BRANCO/DOURADO ESCOVADO 3000 K</t>
  </si>
  <si>
    <t>1095/1 PENDENTE SET DOURADO ESCOVADO 3000 K</t>
  </si>
  <si>
    <t>1074/1 PENDENTE HOGAR DOURADO ESCOVADO 495MM 3000K SOBREPOR</t>
  </si>
  <si>
    <t xml:space="preserve">849/1 PENDENTE SOUL PRETO / DOURADO ESCOVADO             </t>
  </si>
  <si>
    <t>880/1 PENDENTE BLOWN DOURADO ESCOVADO VIDRO LEITOSO 120MM</t>
  </si>
  <si>
    <t>1007/6 PENDENTE PLANET PRETO / DOURADO ESCOVADO GLOBO CRAVADO 120MM</t>
  </si>
  <si>
    <t>1007/6 PENDENTE PLANET PRETO / DOURADO ESCOVADO GLOBO LEITOSO 120MM</t>
  </si>
  <si>
    <t>1010/5 PENDENTE HIGT PRETO / DOURADO ESCOVADO</t>
  </si>
  <si>
    <t>1018/1 PENDENTE BLOWN DOURADO ESCOVADO VIDRO LEITOSO 120MM</t>
  </si>
  <si>
    <t xml:space="preserve">1048/1 PENDENTE TORCIA DOURADO ESCOVADO CUPULA CRU        </t>
  </si>
  <si>
    <t xml:space="preserve">1048/1 PENDENTE TORCIA PRETO / DOURADO ESCOVADO CUPULA PRETA  </t>
  </si>
  <si>
    <t xml:space="preserve">499/1 PENDENTE VERSSAT DOURADO ESCOVADO                  </t>
  </si>
  <si>
    <t xml:space="preserve">1094/1 PENDENTE VERSSAT DOURADO ESCOVADO </t>
  </si>
  <si>
    <t xml:space="preserve">634/1 PENDENTE VERSSAT DOURADO ESCOVADO                  </t>
  </si>
  <si>
    <t xml:space="preserve">733/6 PENDENTE CENTURY DOURADO ESCOVADO                  </t>
  </si>
  <si>
    <t xml:space="preserve">784/2 PENDENTE DOUBLE DOURADO ESCOVADO VIDRO LEITOSO     </t>
  </si>
  <si>
    <t xml:space="preserve">799/1 PENDENTE VIGO DOURADO ESCOVADO VIDRO AMBAR         </t>
  </si>
  <si>
    <t xml:space="preserve">800/2 PENDENTE DOUBLE DOURADO ESCOVADO VIDRO LEITOSO                     </t>
  </si>
  <si>
    <t xml:space="preserve">804/4 PENDENTE MADRI PRETO / COBRE ESCOVADO              </t>
  </si>
  <si>
    <t xml:space="preserve">804/4 PENDENTE MADRI PRETO / DOURADO ESCOVADO            </t>
  </si>
  <si>
    <t xml:space="preserve">806/3 PENDENTE HILLS DOURADO ESCOVADO                    </t>
  </si>
  <si>
    <t xml:space="preserve">806/5 PENDENTE HILLS DOURADO ESCOVADO                    </t>
  </si>
  <si>
    <t xml:space="preserve">807/4 PENDENTE HONDA PRETO / DOURADO ESCOVADO            </t>
  </si>
  <si>
    <t xml:space="preserve">807/4 PENDENTE HONDA DOURADO ESCOVADO                    </t>
  </si>
  <si>
    <t xml:space="preserve">808/5 PENDENTE GRAU DOURADO ESCOVADO                     </t>
  </si>
  <si>
    <t xml:space="preserve">808/5 PENDENTE GRAU PRETO / COBRE ESCOVADO               </t>
  </si>
  <si>
    <t xml:space="preserve">808/5 PENDENTE GRAU PRETO / DOURADO ESCOVADO             </t>
  </si>
  <si>
    <t xml:space="preserve">811/120 PENDENTE OFFICE PRETO / DOURADO ESCOVADO 3000K   </t>
  </si>
  <si>
    <t xml:space="preserve">811/120 PENDENTE OFFICE BRANCO / DOURADO ESCOVADO 3000K  </t>
  </si>
  <si>
    <t xml:space="preserve">811/120 PENDENTE OFFICE BRANCO / DOURADO ESCOVADO 4000K  </t>
  </si>
  <si>
    <t xml:space="preserve">811/120 PENDENTE OFFICE PRETO / DOURADO ESCOVADO 4000K   </t>
  </si>
  <si>
    <t xml:space="preserve">830/1 PENDENTE ONLY PRETO / DOURADO ESCOVADO 3000K       </t>
  </si>
  <si>
    <t xml:space="preserve">830/1 PENDENTE ONLY BRANCO / DOURADO ESCOVADO 3000K      </t>
  </si>
  <si>
    <t xml:space="preserve">830/1 PENDENTE ONLY PRETO / DOURADO ESCOVADO 4000K       </t>
  </si>
  <si>
    <t xml:space="preserve">832/1 PENDENTE SHINE COBRE ESCOVADO 3000K                </t>
  </si>
  <si>
    <t xml:space="preserve">832/1 PENDENTE SHINE DOURADO ESCOVADO 3000K              </t>
  </si>
  <si>
    <t xml:space="preserve">852/1 ARANDELA SHINE DOURADO ESCOVADO 3000K              </t>
  </si>
  <si>
    <t>863/1 ARANDELA ZURICK PRETO / DOURADO ESCOVADO</t>
  </si>
  <si>
    <t>878/1 ARANDELA VENEZA ROSA / DOURADO ESCOVADO</t>
  </si>
  <si>
    <t>878/1 ARANDELA VENEZA BRANCO / DOURADO ESCOVADO</t>
  </si>
  <si>
    <t>878/1 ARANDELA VENEZA  DOURADO ESCOVADO</t>
  </si>
  <si>
    <t>878/1 ARANDELA VENEZA PRETO / DOURADO ESCOVADO</t>
  </si>
  <si>
    <t>885/1 ARANDELA TORCIA PRETO / DOURADO ESCOVADO CUPULA PRETA</t>
  </si>
  <si>
    <t>885/1 ARANDELA TORCIA DOURADO ESCOVADO CUPULA CRU</t>
  </si>
  <si>
    <t>886/2 ARANDELA PARMA PRETO / DOURADO ESCOVADO</t>
  </si>
  <si>
    <t>886/2 ARANDELA PARMA BRANCO / DOURADO ESCOVADO</t>
  </si>
  <si>
    <t>886/2 ARANDELA PARMA VERDE / DOURADO ESCOVADO</t>
  </si>
  <si>
    <t>886/2 ARANDELA PARMA DOURADO ESCOVADO</t>
  </si>
  <si>
    <t>887/1 ARANDELA STRING DOURADO ESCOVADO CUPULA PRETA</t>
  </si>
  <si>
    <t>887/1 ARANDELA STRING DOURADO ESCOVADO CUPULA CRU</t>
  </si>
  <si>
    <t xml:space="preserve">896/1 ARANDELA IPE PRETO / DOURADO ESCOVADO              </t>
  </si>
  <si>
    <t xml:space="preserve">896/1 ARANDELA IPE DOURADO ESCOVADO                      </t>
  </si>
  <si>
    <t>997/1 ARANDELA CORNER DOURADO ESCOVADO GLOBO LEITOSO 150MM</t>
  </si>
  <si>
    <t>1039/1 ARANDELA STELO PRETO/DOURADO ESCOVADO</t>
  </si>
  <si>
    <t>1040/1 ARANDELA ESTECA BRANCO/DOURADO ESCOVADO</t>
  </si>
  <si>
    <t>1040/1 ARANDELA ESTECA PRETO/DOURADO ESCOVADO</t>
  </si>
  <si>
    <t xml:space="preserve">787/2 ARANDELA DOUBLE DOURADO ESCOVADO    VIDRO LEITOSO               </t>
  </si>
  <si>
    <t xml:space="preserve">788/3 ARANDELA VEGA DOURADO ESCOVADO   VIDRO LEITOSO                     </t>
  </si>
  <si>
    <t xml:space="preserve">791/1 ARANDELA UNO DOURADO ESCOVADOVIDRO LEITOSO         </t>
  </si>
  <si>
    <t xml:space="preserve">793/1 ARANDELA HASTE DOURADO ESCOVADO                    </t>
  </si>
  <si>
    <t xml:space="preserve">803/1 ARANDELA SHELL PRETO / DOURADO ESCOVADO            </t>
  </si>
  <si>
    <t>817/1 ARANDELA TORCH PRETO / DOURADO ESCOVADO  CUPULA PRETA</t>
  </si>
  <si>
    <t>817/1 ARANDELA TORCH DOURADO ESCOVADO CUPULA CRU</t>
  </si>
  <si>
    <t>817/1 ARANDELA TORCH PRETA / DOURADO ESCOVADO CUPULA CRU</t>
  </si>
  <si>
    <t xml:space="preserve">821/1 ARANDELA MADRI PRETO / COBRE ESCOVADO              </t>
  </si>
  <si>
    <t xml:space="preserve">821/1 ARANDELA MADRI PRETO/DOURADO ESCOVADO                  </t>
  </si>
  <si>
    <t xml:space="preserve">835/1 ARANDELA DOME PRETO / DOURADO ESCOVADO             </t>
  </si>
  <si>
    <t xml:space="preserve">835/1 ARANDELA DOME DOURADO ESCOVADO                     </t>
  </si>
  <si>
    <t xml:space="preserve">855/1 SPOT FOCO BASE DOURADO ESCOVADO                    </t>
  </si>
  <si>
    <t xml:space="preserve">855/1 SPOT FOCO BASE PRETO / DOURADO ESCOVADO            </t>
  </si>
  <si>
    <t>994/1 SPOT FOCO DOURADO ESCOVADO</t>
  </si>
  <si>
    <t>994/1 SPOT FOCO PRETO / DOURADO ESCOVADO</t>
  </si>
  <si>
    <t>995/1 SPOT SCORE DOURADO ESCOVADO 3000K</t>
  </si>
  <si>
    <t>996/1 SPOT SCORE DOURADO ESCOVADO 3000K</t>
  </si>
  <si>
    <t xml:space="preserve">850/1 COLUNA CAKE PRETO / DOURADO ESCOVADO 3000K         </t>
  </si>
  <si>
    <t>853/1 COLUNA POWER DOURADO ESCOVADO</t>
  </si>
  <si>
    <t xml:space="preserve">861/1 COLUNA FOCO PRETO / DOURADO ESCOVADO               </t>
  </si>
  <si>
    <t>854/1 COLUNA SOUL DOURADO ESCOVADO</t>
  </si>
  <si>
    <t>854/1 COLUNA SOUL PRETA / DOURADO ESCOVADO</t>
  </si>
  <si>
    <t xml:space="preserve">449/1 COLUNA KAMILLA ESCOVADO / BRANCO                   </t>
  </si>
  <si>
    <t xml:space="preserve">449/1 COLUNA KAMILLA DOURADO ESCOVADO / DOURADO ONO      </t>
  </si>
  <si>
    <t xml:space="preserve">837/1 COLUNA MADRI PRETO/DOURADO ESCOVADO                  </t>
  </si>
  <si>
    <t>848/1 ABAJUR POWER DOURADO ESCOVADO</t>
  </si>
  <si>
    <t xml:space="preserve">860/1 LUMINARIA DE MESA FOCO PRETO / DOURADO ESCOVADO    </t>
  </si>
  <si>
    <t xml:space="preserve">866/1 LUMINARIA DE MESA SUMMER PRETO / DOURADO ESCOVADO  </t>
  </si>
  <si>
    <t xml:space="preserve">892/1 LUMINARIA DE MESA IGLU BRANCO COM DOURADO ESCOVADO </t>
  </si>
  <si>
    <t xml:space="preserve">892/1 LUMINARIA DE MESA IGLU DOURADO ESCOVADO / BRANCO   </t>
  </si>
  <si>
    <t xml:space="preserve">892/1 LUMINARIA DE MESA IGLU DOURADO ESCOVADO / PRETO    </t>
  </si>
  <si>
    <t xml:space="preserve">892/1 LUMINARIA DE MESA IGLU DOURADO ESCOVADO            </t>
  </si>
  <si>
    <t xml:space="preserve">895/1 LUMINARIA DE MESA VOLARE PRETO/ DOURADO ESCOVADO 3000K  </t>
  </si>
  <si>
    <t xml:space="preserve">895/1 LUMINARIA DE MESA VOLARE DOURADO ESCOVADO 3000K     </t>
  </si>
  <si>
    <t xml:space="preserve">895/1 LUMINARIA DE MESA VOLARE DOURADO ESCOVADO / PRETO 3000K     </t>
  </si>
  <si>
    <t xml:space="preserve">897/1 LUMINARIA DE MESA MAIA DOURADO ESCOVADO / BRANCO   </t>
  </si>
  <si>
    <t xml:space="preserve">897/1 LUMINARIA DE MESA MAIA DOURADO ESCOVADO            </t>
  </si>
  <si>
    <t>988/1 LUMINARIA DE MESA GRECIA DOURADO ESCOVADO/ CULPULA CRU</t>
  </si>
  <si>
    <t>988/1 LUMINARIA DE MESA GRECIA DOURADO ESCOVADO/ CULPULA PRETO</t>
  </si>
  <si>
    <t>991/1 LUMINARIA DE MESA MALTA PRETO / DOURADO ESCOVADO</t>
  </si>
  <si>
    <t>991/1 LUMINARIA DE MESA MALTA DOURADO ESCOVADO / BRANCO</t>
  </si>
  <si>
    <t>1108 CANOPLA EMBUTIR DOURADO ESCOVADO GESSO 70MM</t>
  </si>
  <si>
    <t>1109 CANOPLA SOBREPOR DOURADO ESCOVADO 80MM</t>
  </si>
  <si>
    <t>1111 CANOPLA SOBREPOR DOURADO ESCOVADO 120MM</t>
  </si>
  <si>
    <t>647/1 COLUNA DENVER DOURADO ONO / BRANCO</t>
  </si>
  <si>
    <t>1055/25 ARANDELA INFINITY PRETO 3000K COM INTERRUPTOR</t>
  </si>
  <si>
    <t>1055/25 ARANDELA INFINITY BRANCO 3000K COM INTERRUPTOR</t>
  </si>
  <si>
    <t>1055/25 ARANDELA INFINITY DOURADO ONO 3000K COM INTERRUPTOR</t>
  </si>
  <si>
    <t>1056/25 ARANDELA INFINITY PRETO 3000K COM DOIS INTERRUPTORES E MINI SPOT</t>
  </si>
  <si>
    <t>1056/25 ARANDELA INFINITY BRANCO 3000K COM DOIS INTERRUPTORES E MINI SPOT</t>
  </si>
  <si>
    <t>1056/25 ARANDELA INFINITY DOURADO ONO 3000K COM DOIS INTERRUPTORES E MINI SPOT</t>
  </si>
  <si>
    <t>10 WATTS</t>
  </si>
  <si>
    <t>10 WATTS + 3 WATTS</t>
  </si>
  <si>
    <t xml:space="preserve">19WATTS </t>
  </si>
  <si>
    <t>1083/55 PENDENTE DOT PRETO 3000 K</t>
  </si>
  <si>
    <t>1083/55 PENDENTE DOT BRANCO 3000 K</t>
  </si>
  <si>
    <t>1083/55 PENDENTE DOT DOURADO ONO 3000 K</t>
  </si>
  <si>
    <t>1083/55 PENDENTE DOT TERRACOTA 3000 K</t>
  </si>
  <si>
    <t>1083/55 PENDENTE DOT ALGODÃO 3000 K</t>
  </si>
  <si>
    <t>1083/55 PENDENTE DOT VERDE BIO 3000 K</t>
  </si>
  <si>
    <t>1083/55 PENDENTE DOT AZUL MAR 3000 K</t>
  </si>
  <si>
    <t>1126/1 PERFIL NO FRAME TETTO JUNCAO ANG ABERTO BRANCO</t>
  </si>
  <si>
    <t>1126/1 PERFIL NO FRAME TETTO JUNCAO ANG FECHADO BRANCO</t>
  </si>
  <si>
    <t>1126/1 PERFIL NO FRAME TETTO LAT DIREITA BRANCO</t>
  </si>
  <si>
    <t>1126/1 PERFIL NO FRAME TETTO LAT ESQUERDA BRANCO</t>
  </si>
  <si>
    <t>1128/1 PERFIL NO FRAME TETTO DUPLO DIR ESQ BRANCO</t>
  </si>
  <si>
    <t>1128/1 PERFIL NO FRAME TETTO DUPLO JUN ÂNG FEC BRANCO</t>
  </si>
  <si>
    <t>1128/1 PERFIL NO FRAME TETTO DUPLO JUN ÂNGULO ABERTO BRANCO</t>
  </si>
  <si>
    <t>123MM</t>
  </si>
  <si>
    <t>75,30MM</t>
  </si>
  <si>
    <t>34,60MM</t>
  </si>
  <si>
    <t>1103/1 BALIZADOR TANO PRETO 350MM CANOPLA 3000K</t>
  </si>
  <si>
    <t>1121/1 BALIZADOR TANO PRETO 350MM ESPETO 3000K</t>
  </si>
  <si>
    <t>1103/1 BALIZADOR TANO PRETO 500MM CANOPLA 3000K</t>
  </si>
  <si>
    <t>1121/1 BALIZADOR TANO PRETO 500MM ESPETO 3000K</t>
  </si>
  <si>
    <t>1103/1 BALIZADOR TANO PRETO 800MM CANOPLA 3000K</t>
  </si>
  <si>
    <t>1121/1 BALIZADOR TANO PRETO 800MM ESPETO 3000K</t>
  </si>
  <si>
    <t>1100/1 BALIZADOR NIKI PRETO 350MM CANOPLA</t>
  </si>
  <si>
    <t>1122/1 BALIZADOR NIKI PRETO 350MM ESPETO</t>
  </si>
  <si>
    <t>1100/1 BALIZADOR NIKI PRETO 500MM CANOPLA</t>
  </si>
  <si>
    <t>1122/1 BALIZADOR NIKI PRETO 500MM ESPETO</t>
  </si>
  <si>
    <t>1100/1 BALIZADOR NIKI PRETO 800MM CANOPLA</t>
  </si>
  <si>
    <t>1122/1 BALIZADOR NIKI PRETO 800MM ESPETO</t>
  </si>
  <si>
    <t>NOVIDADE</t>
  </si>
  <si>
    <t xml:space="preserve">1193/2 PERFIL SOBREPOR SLIM TAMPA CEGA 2 METROS BRANCO </t>
  </si>
  <si>
    <t xml:space="preserve">1193/2 PERFIL SOBREPOR SLIM TAMPA CEGA 2 METROS PRETO  </t>
  </si>
  <si>
    <t xml:space="preserve">1193/3 PERFIL SOBREPOR SLIM TAMPA CEGA 3 METROS BRANCO </t>
  </si>
  <si>
    <t xml:space="preserve">1193/3 PERFIL SOBREPOR SLIM TAMPA CEGA 3 METROS PRETO  </t>
  </si>
  <si>
    <t xml:space="preserve">1195/2 PERFIL EMBUTIR SLIM TAMPA CEGA 2 METROS BRANCO  </t>
  </si>
  <si>
    <t xml:space="preserve">1195/2 PERFIL EMBUTIR SLIM TAMPA CEGA 2 METROS PRETO   </t>
  </si>
  <si>
    <t xml:space="preserve">1195/3 PERFIL EMBUTIR SLIM TAMPA CEGA 3 METROS BRANCO  </t>
  </si>
  <si>
    <t xml:space="preserve">1195/3 PERFIL EMBUTIR SLIM TAMPA CEGA 3 METROS PRETO   </t>
  </si>
  <si>
    <t xml:space="preserve">1198/1 SPOT SCALA MODULO SLIM 2 WATTS BIVOLT BR 3000K  </t>
  </si>
  <si>
    <t>1198/1 SPOT SCALA MODULO SLIM 2 WATTS BIVOLT PRET 3000K</t>
  </si>
  <si>
    <t xml:space="preserve">1208/2 TAMPA CEGA MODULO SLIM 2MT BRANCA               </t>
  </si>
  <si>
    <t xml:space="preserve">1208/2 TAMPA CEGA MODULO SLIM 2MT PRETA                </t>
  </si>
  <si>
    <t xml:space="preserve">1208/3 TAMPA CEGA MODULO SLIM 3MT BRANCA               </t>
  </si>
  <si>
    <t xml:space="preserve">1208/3 TAMPA CEGA MODULO SLIM 3MT PRETA                </t>
  </si>
  <si>
    <t xml:space="preserve">1178/1 PLAFON CUP PRETO MR11                           </t>
  </si>
  <si>
    <t xml:space="preserve">1178/1 PLAFON CUP BRANCO MR11                          </t>
  </si>
  <si>
    <t xml:space="preserve">1179/1 PLAFON CUP PRETO MR16                           </t>
  </si>
  <si>
    <t xml:space="preserve">1179/1 PLAFON CUP BRANCO MR16                          </t>
  </si>
  <si>
    <t xml:space="preserve">1201/1 EMBUTIDO RECUADO REVENU BRANCO MR16 MICRO BORDA </t>
  </si>
  <si>
    <t xml:space="preserve">1202/1 EMBUTIDO RECUADO REVENU BRANCO MR16 NO FRAME    </t>
  </si>
  <si>
    <t>1203/1 EMBUTIDO RECUADO REVENU BRANCO PAR20 MICRO BORDA</t>
  </si>
  <si>
    <t xml:space="preserve">1204/1 EMBUTIDO RECUADO REVENU BRANCO PAR20 NO FRAME   </t>
  </si>
  <si>
    <t xml:space="preserve">1205/1 EMBUTIDO RECUADO REVENU BRANCO AR70 MICRO BORDA </t>
  </si>
  <si>
    <t xml:space="preserve">1206/1 EMBUTIDO RECUADO REVENU BRANCO AR70 NO FRAME    </t>
  </si>
  <si>
    <t>3000MM</t>
  </si>
  <si>
    <t>19,6MM</t>
  </si>
  <si>
    <t>14,9MM</t>
  </si>
  <si>
    <t>19MM</t>
  </si>
  <si>
    <t>24 WATTS</t>
  </si>
  <si>
    <t>22MM</t>
  </si>
  <si>
    <t>88MM</t>
  </si>
  <si>
    <t>44MM</t>
  </si>
  <si>
    <t>1 X PAR 20</t>
  </si>
  <si>
    <t>1 X AR70</t>
  </si>
  <si>
    <t>47MM</t>
  </si>
  <si>
    <t>1194/2 PERFIL SOBREPOR SLIM LENTE DIFUSA 2 METROS BRANC - 4PCS</t>
  </si>
  <si>
    <t>1194/2 PERFIL SOBREPOR SLIM LENTE DIFUSA 2 METROS PRETO - 4PCS</t>
  </si>
  <si>
    <t>1194/3 PERFIL SOBREPOR SLIM LENTE DIFUSA 3 METROS BRANC -  4PCS</t>
  </si>
  <si>
    <t>1194/3 PERFIL SOBREPOR SLIM LENTE DIFUSA 3 METROS PRETO -  4PCS</t>
  </si>
  <si>
    <t>1196/2 PERFIL EMBUTIR SLIM LENTE DIFUSA 2 METROS BRANCO - 4PCS</t>
  </si>
  <si>
    <t>1196/2 PERFIL EMBUTIR SLIM LENTE DIFUSA 2 METROS PRETO - 4PCS</t>
  </si>
  <si>
    <t>1196/3 PERFIL EMBUTIR SLIM LENTE DIFUSA 3 METROS BRANCO - 4PCS</t>
  </si>
  <si>
    <t>1196/3 PERFIL EMBUTIR SLIM LENTE DIFUSA 3 METROS PRETO  - 4PCS</t>
  </si>
  <si>
    <t>1175MM</t>
  </si>
  <si>
    <t xml:space="preserve">1197/57 MODULO SLIM LUZ DIFUSA 570MM 12W BIVOLT 3000K   </t>
  </si>
  <si>
    <t>1197/117 MODULO SLIM LUZ DIFUSA 1175 MM 24W BIVOLT 3000K</t>
  </si>
  <si>
    <t xml:space="preserve">1209/1 SPOT FLOW MODULO SLIM PRETO MR11  </t>
  </si>
  <si>
    <t xml:space="preserve">1209/1 SPOT FLOW MODULO SLIM BRANCO MR11 </t>
  </si>
  <si>
    <t xml:space="preserve">1209/1 SPOT FLOW MODULO SLIM DOURADO ONO MR11          </t>
  </si>
  <si>
    <t xml:space="preserve">1210/1 SPOT FLOW MODULO SLIM PRETO MR16   </t>
  </si>
  <si>
    <t xml:space="preserve">1210/1 SPOT FLOW MODULO SLIM BRANCO MR16    </t>
  </si>
  <si>
    <t xml:space="preserve">1210/1 SPOT FLOW MODULO SLIM DOURADO ONO MR16  </t>
  </si>
  <si>
    <t xml:space="preserve">1213/1 SPOT FLOW PRETO MR11       </t>
  </si>
  <si>
    <t xml:space="preserve">1213/1 SPOT FLOW BRANCO MR11              </t>
  </si>
  <si>
    <t xml:space="preserve">1213/1 SPOT FLOW DOURADO ONO MR11      </t>
  </si>
  <si>
    <t xml:space="preserve">1214/1 SPOT FLOW PRETO MR16    </t>
  </si>
  <si>
    <t xml:space="preserve">1214/1 SPOT FLOW BRANCO MR16     </t>
  </si>
  <si>
    <t xml:space="preserve">1214/1 SPOT FLOW DOURADO ONO MR16                   </t>
  </si>
  <si>
    <t xml:space="preserve">1179/1 PLAFON CUP DOURADO ONO MR16                       </t>
  </si>
  <si>
    <t xml:space="preserve">1178/1 PLAFON CUP DOURADO ONO MR11                       </t>
  </si>
  <si>
    <t xml:space="preserve">1201/1 EMBUTIDO RECUADO REVENU PRETO MR16 MICRO BORDA </t>
  </si>
  <si>
    <t>1203/1 EMBUTIDO RECUADO REVENU PRETO PAR20 MICRO BORDA</t>
  </si>
  <si>
    <t xml:space="preserve">1205/1 EMBUTIDO RECUADO REVENU PRETO AR70 MICRO BORDA </t>
  </si>
  <si>
    <t xml:space="preserve">1144/1 LUMINARIA DE MESA DALU BRANCO 3000K             </t>
  </si>
  <si>
    <t xml:space="preserve">1144/1 LUMINARIA DE MESA DALU PRETO 3000K              </t>
  </si>
  <si>
    <t>1144/1 LUMINARIA DE MESA DALU VERDE BIO/DOURADO ESCOVAD</t>
  </si>
  <si>
    <t xml:space="preserve">1144/1 LUMINARIA DE MESA DALU TERRACOTA 3000K          </t>
  </si>
  <si>
    <t xml:space="preserve">1144/1 LUMINARIA DE MESA DALU ALGODAO 3000K            </t>
  </si>
  <si>
    <t>1144/1 LUMINARIA DE MESA DALU PRETO/DOURADO ESCOVADO 30</t>
  </si>
  <si>
    <t xml:space="preserve">1144/1 LUMINARIA DE MESA DALU CHAMPAGNE 3000K          </t>
  </si>
  <si>
    <t xml:space="preserve">1145/1 COLUNA DALU BRANCO 3000K                        </t>
  </si>
  <si>
    <t xml:space="preserve">1145/1 COLUNA DALU PRETO 3000K                         </t>
  </si>
  <si>
    <t xml:space="preserve">1145/1 COLUNA DALU VERDE BIO/DOURADO ESCOVADO 3000K    </t>
  </si>
  <si>
    <t xml:space="preserve">1145/1 COLUNA DALU TERRACOTA 3000K                     </t>
  </si>
  <si>
    <t xml:space="preserve">1145/1 COLUNA DALU ALGODAO 3000K                       </t>
  </si>
  <si>
    <t xml:space="preserve">1145/1 COLUNA DALU PRETO/DOURADO ESCOVADO 3000K        </t>
  </si>
  <si>
    <t xml:space="preserve">1145/1 COLUNA DALU CHAMPAGNE 3000K                     </t>
  </si>
  <si>
    <t xml:space="preserve">1146/36 PENDENTE DALU DIRETO PRETO 3000K               </t>
  </si>
  <si>
    <t>1146/36 PENDENTE DALU DIRETO VERDE BIO/DOURADO ESCOVADO</t>
  </si>
  <si>
    <t xml:space="preserve">1146/36 PENDENTE DALU DIRETO TERRACOTA 3000K           </t>
  </si>
  <si>
    <t xml:space="preserve">1146/36 PENDENTE DALU DIRETO ALGODAO 3000K             </t>
  </si>
  <si>
    <t>1146/36 PENDENTE DALU DIRETO PRETO/DOURADO ESCOVADO 300</t>
  </si>
  <si>
    <t xml:space="preserve">1146/36 PENDENTE DALU DIRETO CHAMPAGNE 3000K           </t>
  </si>
  <si>
    <t xml:space="preserve">1146/25 PENDENTE DALU DIRETO PRETO 3000K               </t>
  </si>
  <si>
    <t>1146/25 PENDENTE DALU DIRETO VERDE BIO/DOURADO ESCOVADO</t>
  </si>
  <si>
    <t xml:space="preserve">1146/25 PENDENTE DALU DIRETO TERRACOTA 3000K           </t>
  </si>
  <si>
    <t xml:space="preserve">1146/25 PENDENTE DALU DIRETO ALGODAO 3000K             </t>
  </si>
  <si>
    <t>1146/25 PENDENTE DALU DIRETO PRETO/DOURADO ESCOVADO 300</t>
  </si>
  <si>
    <t xml:space="preserve">1146/25 PENDENTE DALU DIRETO CHAMPAGNE 3000K           </t>
  </si>
  <si>
    <t xml:space="preserve">1161/25 PENDENTE DALU INDIRETO PRETO 3000K             </t>
  </si>
  <si>
    <t>1161/25 PENDENTE DALU INDIRETO VERDE BIO/DR ESCOV 3000K</t>
  </si>
  <si>
    <t xml:space="preserve">1161/25 PENDENTE DALU INDIRETO TERRACOTA 3000K         </t>
  </si>
  <si>
    <t xml:space="preserve">1161/25 PENDENTE DALU INDIRETO ALGODAO 3000K           </t>
  </si>
  <si>
    <t xml:space="preserve">1161/25 PENDENTE DALU INDIRETO PRETO/DR ESCOV 3000K    </t>
  </si>
  <si>
    <t xml:space="preserve">1161/25 PENDENTE DALU INDIRETO CHAMPAGNE 3000K         </t>
  </si>
  <si>
    <t xml:space="preserve">1161/36 PENDENTE DALU INDIRETO PRETO 3000K             </t>
  </si>
  <si>
    <t>1161/36 PENDENTE DALU INDIRETO VERDE BIO/DR ESCOV 3000K</t>
  </si>
  <si>
    <t xml:space="preserve">1161/36 PENDENTE DALU INDIRETO TERRACOTA 3000K         </t>
  </si>
  <si>
    <t xml:space="preserve">1161/36 PENDENTE DALU INDIRETO ALGODAO 3000K           </t>
  </si>
  <si>
    <t xml:space="preserve">1161/36 PENDENTE DALU INDIRETO PRETO/DR ESCOV 3000K    </t>
  </si>
  <si>
    <t xml:space="preserve">1161/36 PENDENTE DALU INDIRETO CHAMPAGNE 3000K         </t>
  </si>
  <si>
    <t xml:space="preserve">1207/25 PLAFON DALU BRANCO 3000K                       </t>
  </si>
  <si>
    <t xml:space="preserve">1207/25 PLAFON DALU PRETO 3000K                        </t>
  </si>
  <si>
    <t xml:space="preserve">1207/25 PLAFON DALU VERDE BIO/DOURADO ESCOVADO 3000K   </t>
  </si>
  <si>
    <t xml:space="preserve">1207/25 PLAFON DALU TERRACOTA 3000K                    </t>
  </si>
  <si>
    <t xml:space="preserve">1207/25 PLAFON DALU ALGODAO 3000K                      </t>
  </si>
  <si>
    <t xml:space="preserve">1207/25 PLAFON DALU CHAMPAGNE 3000K                    </t>
  </si>
  <si>
    <t xml:space="preserve">1207/36 PLAFON DALU BRANCO 3000K                       </t>
  </si>
  <si>
    <t xml:space="preserve">1207/36 PLAFON DALU PRETO 3000K                        </t>
  </si>
  <si>
    <t xml:space="preserve">1207/36 PLAFON DALU VERDE BIO/DOURADO ESCOVADO 3000K   </t>
  </si>
  <si>
    <t xml:space="preserve">1207/36 PLAFON DALU TERRACOTA 3000K                    </t>
  </si>
  <si>
    <t xml:space="preserve">1207/36 PLAFON DALU ALGODAO 3000K                      </t>
  </si>
  <si>
    <t xml:space="preserve">1207/36 PLAFON DALU CHAMPAGNE 3000K                    </t>
  </si>
  <si>
    <t xml:space="preserve">1138/1 LUMINARIA DE MESA LLIO BRANCO 3000K             </t>
  </si>
  <si>
    <t xml:space="preserve">1138/1 LUMINARIA DE MESA LLIO PRETO 3000K              </t>
  </si>
  <si>
    <t xml:space="preserve">1138/1 LUMINARIA DE MESA LLIO CHAMPAGNE 3000K          </t>
  </si>
  <si>
    <t xml:space="preserve">1138/1 LUMINARIA DE MESA LLIO VERDE BIO/DR ESCOV 3000K </t>
  </si>
  <si>
    <t xml:space="preserve">1139/24 PENDENTE LLIO PRETO 3000K                      </t>
  </si>
  <si>
    <t xml:space="preserve">1139/24 PENDENTE LLIO CHAMPAGNE 3000K                  </t>
  </si>
  <si>
    <t xml:space="preserve">1139/24 PENDENTE LLIO VERDE BIO/DOURADO ESCOVADO 3000K </t>
  </si>
  <si>
    <t xml:space="preserve">1139/40 PENDENTE LLIO PRETO 3000K                      </t>
  </si>
  <si>
    <t xml:space="preserve">1139/40 PENDENTE LLIO CHAMPAGNE 3000K                  </t>
  </si>
  <si>
    <t xml:space="preserve">1139/40 PENDENTE LLIO VERDE BIO/DOURADO ESCOVADO 3000K </t>
  </si>
  <si>
    <t xml:space="preserve">1140/1 ARANDELA LLIO BRANCO 3000K                      </t>
  </si>
  <si>
    <t xml:space="preserve">1140/1 ARANDELA LLIO PRETO 3000K                       </t>
  </si>
  <si>
    <t xml:space="preserve">1140/1 ARANDELA LLIO CHAMPAGNE 3000K                   </t>
  </si>
  <si>
    <t xml:space="preserve">1140/1 ARANDELA LLIO VERDE BIO/DOURADO ESCOVADO 3000K  </t>
  </si>
  <si>
    <t xml:space="preserve">1170/1 COLUNA LLIO BRANCO 3000K                        </t>
  </si>
  <si>
    <t xml:space="preserve">1170/1 COLUNA LLIO PRETO 3000K                         </t>
  </si>
  <si>
    <t xml:space="preserve">1170/1 COLUNA LLIO CHAMPAGNE 3000K                     </t>
  </si>
  <si>
    <t xml:space="preserve">1170/1 COLUNA LLIO VERDE BIO/DOURADO ESCOVADO 3000K    </t>
  </si>
  <si>
    <t xml:space="preserve">1175/4 PENDENTE FLASH MR11 PRETO                       </t>
  </si>
  <si>
    <t xml:space="preserve">1175/4 PENDENTE FLASH MR11 BRANCO                      </t>
  </si>
  <si>
    <t xml:space="preserve">1175/4 PENDENTE FLASH MR11 CHAMPAGNE                   </t>
  </si>
  <si>
    <t xml:space="preserve">1175/4 PENDENTE FLASH MR11 PRETO/DOURADO ESCOVADO      </t>
  </si>
  <si>
    <t xml:space="preserve">1175/4 PENDENTE FLASH MR11 BRANCO/ESCOVADO             </t>
  </si>
  <si>
    <t xml:space="preserve">1176/6 PENDENTE COVER MR16 PRETO                       </t>
  </si>
  <si>
    <t xml:space="preserve">1176/6 PENDENTE COVER MR16 BRANCO                      </t>
  </si>
  <si>
    <t xml:space="preserve">1176/6 PENDENTE COVER MR16 CHAMPAGNE                   </t>
  </si>
  <si>
    <t xml:space="preserve">1176/6 PENDENTE COVER MR16 PRETO/DOURADO ESCOVADO      </t>
  </si>
  <si>
    <t xml:space="preserve">1176/6 PENDENTE COVER MR16 BRANCO/ESCOVADO             </t>
  </si>
  <si>
    <t xml:space="preserve">1162/15 ARANDELA LUA BRANCO 3000K                      </t>
  </si>
  <si>
    <t xml:space="preserve">1162/15 ARANDELA LUA PRETO 3000K                       </t>
  </si>
  <si>
    <t xml:space="preserve">1162/15 ARANDELA LUA CHAMPAGNE 3000K                   </t>
  </si>
  <si>
    <t xml:space="preserve">1162/26 ARANDELA LUA BRANCO 3000K                      </t>
  </si>
  <si>
    <t xml:space="preserve">1162/26 ARANDELA LUA PRETO 3000K                       </t>
  </si>
  <si>
    <t xml:space="preserve">1162/26 ARANDELA LUA CHAMPAGNE 3000K                   </t>
  </si>
  <si>
    <t xml:space="preserve">1162/40 ARANDELA LUA BRANCO 3000K                      </t>
  </si>
  <si>
    <t xml:space="preserve">1162/40 ARANDELA LUA PRETO 3000K                       </t>
  </si>
  <si>
    <t xml:space="preserve">1162/40 ARANDELA LUA CHAMPAGNE 3000K                   </t>
  </si>
  <si>
    <t xml:space="preserve">1219/1 PENDENTE BELL BRANCO 3000K                      </t>
  </si>
  <si>
    <t xml:space="preserve">1219/1 PENDENTE BELL PRETO 3000K                       </t>
  </si>
  <si>
    <t xml:space="preserve">1219/1 PENDENTE BELL CHAMPAGNE 3000K                   </t>
  </si>
  <si>
    <t xml:space="preserve">1141/1 ARANDELA MIDDLE PRETO 3000K                     </t>
  </si>
  <si>
    <t xml:space="preserve">1141/1 ARANDELA MIDDLE BRANCO 3000K                    </t>
  </si>
  <si>
    <t xml:space="preserve">1141/1 ARANDELA MIDDLE CHAMPAGNE 3000K                 </t>
  </si>
  <si>
    <t xml:space="preserve">1141/1 ARANDELA MIDDLE TERRACOTA 3000K                 </t>
  </si>
  <si>
    <t xml:space="preserve">1160/1 PLAFON MIDDLE PRETO 3000K                       </t>
  </si>
  <si>
    <t xml:space="preserve">1160/1 PLAFON MIDDLE BRANCO 3000K                      </t>
  </si>
  <si>
    <t xml:space="preserve">1160/1 PLAFON MIDDLE CHAMPAGNE 3000K                   </t>
  </si>
  <si>
    <t xml:space="preserve">1160/1 PLAFON MIDDLE TERRACOTA 3000K                   </t>
  </si>
  <si>
    <t xml:space="preserve">1147/1 LUMINARIA DE MESA LAMP PRETO MULTICOR           </t>
  </si>
  <si>
    <t xml:space="preserve">1147/1 LUMINARIA DE MESA LAMP BRANCO MULTICOR          </t>
  </si>
  <si>
    <t xml:space="preserve">1147/1 LUMINARIA DE MESA LAMP CHAMPAGNE MULTICOR       </t>
  </si>
  <si>
    <t xml:space="preserve">1147/1 LUMINARIA DE MESA LAMP VERDE BIO MULTICOR       </t>
  </si>
  <si>
    <t xml:space="preserve">1147/1 LUMINARIA DE MESA LAMP ALGODAO MULTICOR         </t>
  </si>
  <si>
    <t xml:space="preserve">1147/1 LUMINARIA DE MESA LAMP TERRACOTA MULTICOR       </t>
  </si>
  <si>
    <t xml:space="preserve">1186/26 ARANDELA LAMP PRETO 3000K                      </t>
  </si>
  <si>
    <t xml:space="preserve">1186/26 ARANDELA LAMP BRANCO 3000K                     </t>
  </si>
  <si>
    <t xml:space="preserve">1186/26 ARANDELA LAMP CHAMPAGNE 3000K                  </t>
  </si>
  <si>
    <t xml:space="preserve">1186/50 ARANDELA LAMP PRETO 3000K                      </t>
  </si>
  <si>
    <t xml:space="preserve">1186/50 ARANDELA LAMP BRANCO 3000K                     </t>
  </si>
  <si>
    <t xml:space="preserve">1186/50 ARANDELA LAMP CHAMPAGNE 3000K                  </t>
  </si>
  <si>
    <t xml:space="preserve">1187/21 PLAFON LAMP PRETO 3000K                        </t>
  </si>
  <si>
    <t xml:space="preserve">1187/21 PLAFON LAMP BRANCO 3000K                       </t>
  </si>
  <si>
    <t xml:space="preserve">1187/21 PLAFON LAMP CHAMPAGNE 3000K                    </t>
  </si>
  <si>
    <t xml:space="preserve">1187/29 PLAFON LAMP PRETO 3000K                        </t>
  </si>
  <si>
    <t xml:space="preserve">1187/29 PLAFON LAMP BRANCO 3000K                       </t>
  </si>
  <si>
    <t xml:space="preserve">1187/29 PLAFON LAMP CHAMPAGNE 3000K                    </t>
  </si>
  <si>
    <t xml:space="preserve">1216/1 COLUNA LAMP PRETO 3000K                         </t>
  </si>
  <si>
    <t xml:space="preserve">1216/1 COLUNA LAMP BRANCO 3000K                        </t>
  </si>
  <si>
    <t xml:space="preserve">1216/1 COLUNA LAMP CHAMPAGNE 3000K                     </t>
  </si>
  <si>
    <t xml:space="preserve">1224/8 PENDENTE DRONE PRETO G9                         </t>
  </si>
  <si>
    <t xml:space="preserve">1224/8 PENDENTE DRONE CHAMPAGNE G9                     </t>
  </si>
  <si>
    <t xml:space="preserve">1224/12 PENDENTE DRONE PRETO G9                        </t>
  </si>
  <si>
    <t xml:space="preserve">1224/12 PENDENTE DRONE CHAMPAGNE G9                    </t>
  </si>
  <si>
    <t xml:space="preserve">1211/22 PENDENTE HOPE PRETO 3000K                      </t>
  </si>
  <si>
    <t xml:space="preserve">1211/22 PENDENTE HOPE CHAMPAGNE 3000K                  </t>
  </si>
  <si>
    <t xml:space="preserve">1211/22 PENDENTE HOPE TERRACOTA 3000K                  </t>
  </si>
  <si>
    <t xml:space="preserve">1211/22 PENDENTE HOPE ALGODAO 3000K                    </t>
  </si>
  <si>
    <t xml:space="preserve">1211/45 PENDENTE HOPE PRETO 3000K                      </t>
  </si>
  <si>
    <t xml:space="preserve">1211/45 PENDENTE HOPE CHAMPAGNE 3000K                  </t>
  </si>
  <si>
    <t xml:space="preserve">1211/45 PENDENTE HOPE TERRACOTA 3000K                  </t>
  </si>
  <si>
    <t xml:space="preserve">1211/45 PENDENTE HOPE ALGODAO 3000K                    </t>
  </si>
  <si>
    <t xml:space="preserve">1169/1 ARANDELA HAT PRETO 3000K                        </t>
  </si>
  <si>
    <t xml:space="preserve">1169/1 ARANDELA HAT BRANCO 3000K                       </t>
  </si>
  <si>
    <t xml:space="preserve">1169/1 ARANDELA HAT CHAMPAGNE 3000K                    </t>
  </si>
  <si>
    <t xml:space="preserve">1177/1 PLAFON CLEAN BRANCO 3000K                       </t>
  </si>
  <si>
    <t xml:space="preserve">1177/1 PLAFON CLEAN PRETO 3000K                        </t>
  </si>
  <si>
    <t xml:space="preserve">1177/1 PLAFON CLEAN CHAMPAGNE 3000K                    </t>
  </si>
  <si>
    <t xml:space="preserve">1181/1 LUMINARIA DE MESA DALLI PRETO VD CRISTAL 3000K  </t>
  </si>
  <si>
    <t>1181/1 LUMINARIA DE MESA DALLI BRANCO VIDRO CRISTAL 300</t>
  </si>
  <si>
    <t>1181/1 LUMINARIA DE MESA DALLI DR ESCO VD CRISTAL 3000K</t>
  </si>
  <si>
    <t xml:space="preserve">1181/1 LUMINARIA DE MESA DALLI CHAMPAGNE VD CRIST 3000 </t>
  </si>
  <si>
    <t xml:space="preserve">1181/1 LUMINARIA DE MESA DALLI PRETO VIDRO FUME 3000K  </t>
  </si>
  <si>
    <t xml:space="preserve">1181/1 LUMINARIA DE MESA DALLI BRANCO VIDRO FUME 3000K </t>
  </si>
  <si>
    <t>1181/1 LUMINARIA DE MESA DALLI DR ESCOVAD VD FUME 3000K</t>
  </si>
  <si>
    <t xml:space="preserve">1181/1 LUMINARIA DE MESA DALLI CHAMPAGNE VD FUME 3000K </t>
  </si>
  <si>
    <t xml:space="preserve">1182/1 PENDENTE DALLI PRETO VIDRO CRISTAL 3000K        </t>
  </si>
  <si>
    <t xml:space="preserve">1182/1 PENDENTE DALLI DR ESCOV VIDRO CRISTAL 3000K     </t>
  </si>
  <si>
    <t xml:space="preserve">1182/1 PENDENTE DALLI CHAMPAGNE VIDRO CRISTAL 3000K    </t>
  </si>
  <si>
    <t xml:space="preserve">1182/1 PENDENTE DALLI PRETO VIDRO FUME 3000K           </t>
  </si>
  <si>
    <t xml:space="preserve">1182/1 PENDENTE DALLI DR ESCOVADO VIDRO FUME 3000K     </t>
  </si>
  <si>
    <t xml:space="preserve">1182/1 PENDENTE DALLI CHAMPAGNE VIDRO FUME 3000K       </t>
  </si>
  <si>
    <t xml:space="preserve">1183/1 PLAFON DALLI PRETO VIDRO CRISTAL 3000K          </t>
  </si>
  <si>
    <t xml:space="preserve">1183/1 PLAFON DALLI DOURADO ESCOV VIDRO CRISTAL 3000K  </t>
  </si>
  <si>
    <t xml:space="preserve">1183/1 PLAFON DALLI CHAMPAGNE VIDRO CRISTAL 3000K      </t>
  </si>
  <si>
    <t xml:space="preserve">1183/1 PLAFON DALLI PRETO VIDRO FUME 3000K             </t>
  </si>
  <si>
    <t xml:space="preserve">1183/1 PLAFON DALLI DOURADO ESCOVADO VIDRO FUME 3000K  </t>
  </si>
  <si>
    <t xml:space="preserve">1183/1 PLAFON DALLI CHAMPAGNE VIDRO FUME 3000K         </t>
  </si>
  <si>
    <t xml:space="preserve">1184/1 PENDENTE PETRA PRETO VIDRO CRISTAL 3000K        </t>
  </si>
  <si>
    <t xml:space="preserve">1184/1 PENDENTE PETRA DR ESCOVADO VIDRO CRISTAL 3000K  </t>
  </si>
  <si>
    <t xml:space="preserve">1184/1 PENDENTE PETRA CHAMPAGNE VIDRO CRISTAL 3000K    </t>
  </si>
  <si>
    <t xml:space="preserve">1184/1 PENDENTE PETRA PRETO VIDRO FUME 3000K           </t>
  </si>
  <si>
    <t>1184/1 PENDENTE PETRA DOURADO ESCOVADO VIDRO FUME 3000K</t>
  </si>
  <si>
    <t xml:space="preserve">1184/1 PENDENTE PETRA CHAMPAGNE VIDRO FUME 3000K       </t>
  </si>
  <si>
    <t xml:space="preserve">1212/43 ARANDELA JOY PRETO 3000K                       </t>
  </si>
  <si>
    <t xml:space="preserve">1212/43 ARANDELA JOY BRANCO 3000K                      </t>
  </si>
  <si>
    <t xml:space="preserve">1212/43 ARANDELA JOY CHAMPAGNE 3000K                   </t>
  </si>
  <si>
    <t xml:space="preserve">1212/63 ARANDELA JOY PRETO 3000K                       </t>
  </si>
  <si>
    <t xml:space="preserve">1212/63 ARANDELA JOY BRANCO 3000K                      </t>
  </si>
  <si>
    <t xml:space="preserve">1212/63 ARANDELA JOY CHAMPAGNE 3000K                   </t>
  </si>
  <si>
    <t xml:space="preserve">1168/40 ARANDELA NANO PRETO 3000K                      </t>
  </si>
  <si>
    <t xml:space="preserve">1168/40 ARANDELA NANO BRANCO 3000K                     </t>
  </si>
  <si>
    <t xml:space="preserve">1168/40 ARANDELA NANO CHAMPAGNE 3000K                  </t>
  </si>
  <si>
    <t xml:space="preserve">1168/70 ARANDELA NANO PRETO 3000K                      </t>
  </si>
  <si>
    <t xml:space="preserve">1168/70 ARANDELA NANO BRANCO 3000K                     </t>
  </si>
  <si>
    <t xml:space="preserve">1168/70 ARANDELA NANO CHAMPAGNE 3000K                  </t>
  </si>
  <si>
    <t xml:space="preserve">1215/24 PENDENTE CLAIRE MODULO SLIM PRETO 3000K        </t>
  </si>
  <si>
    <t xml:space="preserve">1215/24 PENDENTE CLAIRE MODULO SLIM BRANCO 3000K       </t>
  </si>
  <si>
    <t xml:space="preserve">1218/40 PENDENTE CLAIRE PRETO 3000K                    </t>
  </si>
  <si>
    <t xml:space="preserve">1218/40 PENDENTE CLAIRE BRANCO 3000K                   </t>
  </si>
  <si>
    <t xml:space="preserve">1218/40 PENDENTE CLAIRE CHAMPAGNE 3000K                </t>
  </si>
  <si>
    <t xml:space="preserve">1218/40 PENDENTE CLAIRE TERRACOTA 3000K                </t>
  </si>
  <si>
    <t xml:space="preserve">1218/40 PENDENTE CLAIRE ALGODAO 3000K                  </t>
  </si>
  <si>
    <t xml:space="preserve">1222/31 ARANDELA CLAIRE BRANCO 3000K                   </t>
  </si>
  <si>
    <t xml:space="preserve">1222/31 ARANDELA CLAIRE PRETO 3000K                    </t>
  </si>
  <si>
    <t xml:space="preserve">1222/31 ARANDELA CLAIRE CHAMPAGNE 3000K                </t>
  </si>
  <si>
    <t xml:space="preserve">1222/31 ARANDELA CLAIRE TERRACOTA 3000K                </t>
  </si>
  <si>
    <t xml:space="preserve">1222/31 ARANDELA CLAIRE ALGODAO 3000K                  </t>
  </si>
  <si>
    <t xml:space="preserve">1215/24 PENDENTE CLAIRE MODULO SLIM DOURADO ONO 3000K  </t>
  </si>
  <si>
    <t xml:space="preserve">1157/1 ARANDELA NOVEL C/ RABICHO BRANCO                </t>
  </si>
  <si>
    <t xml:space="preserve">1157/1 ARANDELA NOVEL C/ RABICHO PRETO                 </t>
  </si>
  <si>
    <t xml:space="preserve">1157/1 ARANDELA NOVEL C/ RABICHO CHAMPAGNE             </t>
  </si>
  <si>
    <t xml:space="preserve">1158/1 ARANDELA NOVEL C/ INTERRUPTOR BRANCO            </t>
  </si>
  <si>
    <t xml:space="preserve">1158/1 ARANDELA NOVEL C/ INTERRUPTOR PRETO             </t>
  </si>
  <si>
    <t xml:space="preserve">1158/1 ARANDELA NOVEL C/ INTERRUPTOR CHAMPAGNE         </t>
  </si>
  <si>
    <t xml:space="preserve">1163/1 ARANDELA ZIGO C/ INTERRUPTOR PRETO              </t>
  </si>
  <si>
    <t xml:space="preserve">1163/1 ARANDELA ZIGO C/ INTERRUPTOR BRANCO             </t>
  </si>
  <si>
    <t xml:space="preserve">1163/1 ARANDELA ZIGO C/ INTERRUPTOR CHAMPAGNE          </t>
  </si>
  <si>
    <t xml:space="preserve">1188/1 ARANDELA ZIGO C/ RABICHO PRETO                  </t>
  </si>
  <si>
    <t xml:space="preserve">1188/1 ARANDELA ZIGO C/ RABICHO BRANCO                 </t>
  </si>
  <si>
    <t xml:space="preserve">1188/1 ARANDELA ZIGO C/ RABICHO CHAMPAGNE              </t>
  </si>
  <si>
    <t xml:space="preserve">1155/1 ARANDELA ARK C/ RABICHO PRETO 3000K             </t>
  </si>
  <si>
    <t xml:space="preserve">1155/1 ARANDELA ARK C/ RABICHO BRANCO 3000K            </t>
  </si>
  <si>
    <t xml:space="preserve">1155/1 ARANDELA ARK C/ RABICHO CHAMPAGNE 3000K         </t>
  </si>
  <si>
    <t xml:space="preserve">1156/1 ARANDELA ARK C/ INTERRUPTOR PRETO 3000K         </t>
  </si>
  <si>
    <t xml:space="preserve">1156/1 ARANDELA ARK C/ INTERRUPTOR BRANCO 3000K        </t>
  </si>
  <si>
    <t xml:space="preserve">1156/1 ARANDELA ARK C/ INTERRUPTOR CHAMPAGNE 3000K     </t>
  </si>
  <si>
    <t xml:space="preserve">1164/1 ARANDELA POLI C/ RABICHO PRETO                  </t>
  </si>
  <si>
    <t xml:space="preserve">1164/1 ARANDELA POLI C/ RABICHO BRANCO                 </t>
  </si>
  <si>
    <t xml:space="preserve">1164/1 ARANDELA POLI C/ RABICHO CHAMPAGNE              </t>
  </si>
  <si>
    <t xml:space="preserve">1165/1 ARANDELA POLI C/ INTERRUPTOR PRETO              </t>
  </si>
  <si>
    <t xml:space="preserve">1165/1 ARANDELA POLI C/ INTERRUPTOR BRANCO             </t>
  </si>
  <si>
    <t xml:space="preserve">1165/1 ARANDELA POLI C/ INTERRUPTOR CHAMPAGNE          </t>
  </si>
  <si>
    <t xml:space="preserve">1166/1 ARANDELA ALT C/ RABICHO PRETO                   </t>
  </si>
  <si>
    <t xml:space="preserve">1166/1 ARANDELA ALT C/ RABICHO BRANCO                  </t>
  </si>
  <si>
    <t xml:space="preserve">1166/1 ARANDELA ALT C/ RABICHO CHAMPAGNE               </t>
  </si>
  <si>
    <t xml:space="preserve">1167/1 ARANDELA ALT C/ INTERRUPTOR BRANCO              </t>
  </si>
  <si>
    <t xml:space="preserve">1167/1 ARANDELA ALT C/ INTERRUPTOR PRETO               </t>
  </si>
  <si>
    <t xml:space="preserve">1167/1 ARANDELA ALT C/ INTERRUPTOR CHAMPAGNE           </t>
  </si>
  <si>
    <t xml:space="preserve">1154/1 ARANDELA CORE PRETO 3000K                       </t>
  </si>
  <si>
    <t xml:space="preserve">1154/1 ARANDELA CORE BRANCO 3000K                      </t>
  </si>
  <si>
    <t xml:space="preserve">1154/1 ARANDELA CORE CHAMPAGNE 3000K                   </t>
  </si>
  <si>
    <t xml:space="preserve">1152/1 EMBUTIDO POINT 2W BRANCO 3000K                  </t>
  </si>
  <si>
    <t xml:space="preserve">1152/1 EMBUTIDO POINT 2W PRETO 3000K                   </t>
  </si>
  <si>
    <t xml:space="preserve">1152/1 EMBUTIDO POINT 2W BRANCO/PRETO 3000K            </t>
  </si>
  <si>
    <t xml:space="preserve">1152/1 EMBUTIDO POINT 2W DOURADO ONO 3000K             </t>
  </si>
  <si>
    <t xml:space="preserve">1152/2 EMBUTIDO POINT 4W BRANCO 3000K                  </t>
  </si>
  <si>
    <t xml:space="preserve">1152/2 EMBUTIDO POINT 4W PRETO 3000K                   </t>
  </si>
  <si>
    <t xml:space="preserve">1152/2 EMBUTIDO POINT 4W BRANCO/PRETO 3000K            </t>
  </si>
  <si>
    <t xml:space="preserve">1152/2 EMBUTIDO POINT 4W DOURADO ONO 3000K             </t>
  </si>
  <si>
    <t xml:space="preserve">1152/5 EMBUTIDO POINT 10W BRANCO 3000K                 </t>
  </si>
  <si>
    <t xml:space="preserve">1152/5 EMBUTIDO POINT 10W PRETO 3000K                  </t>
  </si>
  <si>
    <t xml:space="preserve">1152/5 EMBUTIDO POINT 10W BRANCO/PRETO 3000K           </t>
  </si>
  <si>
    <t xml:space="preserve">1152/5 EMBUTIDO POINT 10W DOURADO ONO 3000K            </t>
  </si>
  <si>
    <t xml:space="preserve">1159/1 EMBUTIDO POINT DIFUSO 10W BRANCO 3000K          </t>
  </si>
  <si>
    <t xml:space="preserve">1159/1 EMBUTIDO POINT DIFUSO 10W PRETO 3000K           </t>
  </si>
  <si>
    <t xml:space="preserve">1159/1 EMBUTIDO POINT DIFUSO 10W DOURADO ONO 3000K     </t>
  </si>
  <si>
    <t xml:space="preserve">1171/40 PENDENTE CLOUD PRETO 3000K                     </t>
  </si>
  <si>
    <t xml:space="preserve">1171/40 PENDENTE CLOUD CHAMPAGNE 3000K                 </t>
  </si>
  <si>
    <t xml:space="preserve">1171/62 PENDENTE CLOUD PRETO 3000K                     </t>
  </si>
  <si>
    <t xml:space="preserve">1171/62 PENDENTE CLOUD CHAMPAGNE 3000K                 </t>
  </si>
  <si>
    <t xml:space="preserve">1172/40 PLAFON CLOUD BRANCO 3000K                      </t>
  </si>
  <si>
    <t xml:space="preserve">1172/40 PLAFON CLOUD PRETO 3000K                       </t>
  </si>
  <si>
    <t xml:space="preserve">1172/40 PLAFON CLOUD CHAMPAGNE 3000K                   </t>
  </si>
  <si>
    <t xml:space="preserve">1172/62 PLAFON CLOUD BRANCO 3000K                      </t>
  </si>
  <si>
    <t xml:space="preserve">1172/62 PLAFON CLOUD PRETO 3000K                       </t>
  </si>
  <si>
    <t xml:space="preserve">1172/62 PLAFON CLOUD CHAMPAGNE 3000K                   </t>
  </si>
  <si>
    <t xml:space="preserve">1174/1 LUMINARIA DE MESA BOX PRETO 3000K               </t>
  </si>
  <si>
    <t xml:space="preserve">1174/1 LUMINARIA DE MESA BOX BRANCO 3000K              </t>
  </si>
  <si>
    <t xml:space="preserve">1174/1 LUMINARIA DE MESA BOX CHAMPAGNE 3000K           </t>
  </si>
  <si>
    <t xml:space="preserve">1228/25 LUMINARIA DE MESA FUNGI BRANCO MR16            </t>
  </si>
  <si>
    <t xml:space="preserve">1228/25 LUMINARIA DE MESA FUNGI PRETO MR16             </t>
  </si>
  <si>
    <t xml:space="preserve">1228/25 LUMINARIA DE MESA FUNGI CHAMPAGNE MR16         </t>
  </si>
  <si>
    <t xml:space="preserve">1228/25 LUMINARIA DE MESA FUNGI TERRACOTA MR16         </t>
  </si>
  <si>
    <t xml:space="preserve">1228/25 LUMINARIA DE MESA FUNGI ALGODAO MR16           </t>
  </si>
  <si>
    <t xml:space="preserve">1220/1 PENDENTE DELPH ALGODAO G9                       </t>
  </si>
  <si>
    <t xml:space="preserve">1220/1 PENDENTE DELPH PRETO G9                         </t>
  </si>
  <si>
    <t xml:space="preserve">1220/1 PENDENTE DELPH VERDE BIO G9                     </t>
  </si>
  <si>
    <t xml:space="preserve">1220/1 PENDENTE DELPH TERRACOTA G9                     </t>
  </si>
  <si>
    <t xml:space="preserve">1220/1 PENDENTE DELPH CHAMPAGNE G9                     </t>
  </si>
  <si>
    <t xml:space="preserve">1221/33 PLAFON FLAT BRANCO 3000K                       </t>
  </si>
  <si>
    <t xml:space="preserve">1221/33 PLAFON FLAT PRETO 3000K                        </t>
  </si>
  <si>
    <t xml:space="preserve">1221/33 PLAFON FLAT CHAMPAGNE 3000K                    </t>
  </si>
  <si>
    <t xml:space="preserve">1173/1 PLAFON CLOUD BRANCO 3000K                     </t>
  </si>
  <si>
    <t xml:space="preserve">1173/1 PLAFON CLOUD PRETO 3000K                      </t>
  </si>
  <si>
    <t xml:space="preserve">1173/1 PLAFON CLOUD CHAMPAGNE 3000K                  </t>
  </si>
  <si>
    <t>1044/35 PLAFON VALE BRANCO  3000K</t>
  </si>
  <si>
    <t xml:space="preserve">1185/1 PLAFON GAVI BRANCO 3000K                        </t>
  </si>
  <si>
    <t xml:space="preserve">1185/1 PLAFON GAVI BRANCO/PRETO 3000K                  </t>
  </si>
  <si>
    <t xml:space="preserve">1185/1 PLAFON GAVI CHAMPAGNE 3000K                     </t>
  </si>
  <si>
    <t xml:space="preserve">1185/1 PLAFON GAVI PRETO 3000K                         </t>
  </si>
  <si>
    <t xml:space="preserve">1225/35 PENDENTE TOKYO DOURADO ESCOVADO CUP BEGE 3000K </t>
  </si>
  <si>
    <t xml:space="preserve">1225/35 PENDENTE TOKYO PRETO CUPULA CINZA 3000K        </t>
  </si>
  <si>
    <t xml:space="preserve">1225/35 PENDENTE TOKYO PRETA CUPULA PRETA 3000K        </t>
  </si>
  <si>
    <t xml:space="preserve">1225/30 PENDENTE TOKYO DOURADO ESCOVADO CUP BEGE 3000K </t>
  </si>
  <si>
    <t xml:space="preserve">1225/30 PENDENTE TOKYO PRETO CUPULA CINZA 3000K        </t>
  </si>
  <si>
    <t xml:space="preserve">1225/30 PENDENTE TOKYO PRETO CUPULA PRETA 3000K        </t>
  </si>
  <si>
    <t xml:space="preserve">1226/24 COLUNA TOKYO PRETO CUPULA BEGE 3000K           </t>
  </si>
  <si>
    <t xml:space="preserve">1226/24 COLUNA TOKYO DOURADO ESCOVADO CUP VERDE 3000K  </t>
  </si>
  <si>
    <t xml:space="preserve">1226/24 COLUNA TOKYO PRETO CUPULA PRETA 3000K          </t>
  </si>
  <si>
    <t xml:space="preserve">1227/16 LUMINARIA DE MESA TOKYO PRETO CUP BEGE 3000K   </t>
  </si>
  <si>
    <t>1227/16 LUMINARIA DE MESA TOKYO DR ESCOV CUP VERD 3000K</t>
  </si>
  <si>
    <t xml:space="preserve">1227/16 LUMINARIA DE MESA TOKYO PRETO CUP PRETA 3000K  </t>
  </si>
  <si>
    <t xml:space="preserve">1225/30 PENDENTE TOKYO CHAMPAGNE CUPULA PRETA 3000K    </t>
  </si>
  <si>
    <t xml:space="preserve">1225/30 PENDENTE TOKYO CHAMPAGNE CUPULA BEGE 3000K     </t>
  </si>
  <si>
    <t xml:space="preserve">1225/30 PENDENTE TOKYO CHAMPAGNE CUPULA CINZA 3000K    </t>
  </si>
  <si>
    <t xml:space="preserve">1225/35 PENDENTE TOKYO CHAMPAGNE CUPULA PRETA 3000K    </t>
  </si>
  <si>
    <t xml:space="preserve">1225/35 PENDENTE TOKYO CHAMPAGNE CUPULA BEGE 3000K     </t>
  </si>
  <si>
    <t xml:space="preserve">1225/35 PENDENTE TOKYO CHAMPAGNE CUPULA CINZA 3000K    </t>
  </si>
  <si>
    <t xml:space="preserve">1226/24 COLUNA TOKYO CHAMPAGNE CUPULA BEGE 3000K       </t>
  </si>
  <si>
    <t>1226/24 COLUNA TOKYO DOURADO ESCOVADO CUPULA BEGE 3000K</t>
  </si>
  <si>
    <t>1227/16 LUMINARIA DE MESA TOKYO CHAMPAGNE CUP BEG 3000K</t>
  </si>
  <si>
    <t>1227/16 LUMINARIA DE MESA TOKYO DR ESCOV CUP BEGE 3000K</t>
  </si>
  <si>
    <t>6 X MR16</t>
  </si>
  <si>
    <t>8 X G9</t>
  </si>
  <si>
    <t>12 X G9</t>
  </si>
  <si>
    <t>2 X MR11</t>
  </si>
  <si>
    <t>19 WATTS</t>
  </si>
  <si>
    <t xml:space="preserve">1223/95 PENDENTE LINEAR RECTA SLIM BRANCO 3000K        </t>
  </si>
  <si>
    <t xml:space="preserve">1223/95 PENDENTE LINEAR RECTA SLIM PRETO 3000K         </t>
  </si>
  <si>
    <t xml:space="preserve">1255/1 SPOT FLOW PRETO MR11 HASTE 4,5 CM               </t>
  </si>
  <si>
    <t xml:space="preserve">1255/1 SPOT FLOW BRANCO MR11 HASTE 4,5 CM              </t>
  </si>
  <si>
    <t xml:space="preserve">1255/1 SPOT FLOW DOURADO ONO MR11 HASTE 4,5 CM         </t>
  </si>
  <si>
    <t xml:space="preserve">1256/1 SPOT FLOW PRETO MR16 HASTE 4,5 CM               </t>
  </si>
  <si>
    <t xml:space="preserve">1256/1 SPOT FLOW BRANCO MR16 HASTE 4,5 CM              </t>
  </si>
  <si>
    <t xml:space="preserve">1256/1 SPOT FLOW DOURADO ONO MR16 HASTE 4,5 CM         </t>
  </si>
  <si>
    <t xml:space="preserve">1257/120 PENDENTE LINEAR RECTA BRANCO 3000 K           </t>
  </si>
  <si>
    <t xml:space="preserve">1257/120 PENDENTE LINEAR RECTA PRETO 3000 K            </t>
  </si>
  <si>
    <t xml:space="preserve">1257/120 PENDENTE LINEAR RECTA DOURADO ONO 3000 K      </t>
  </si>
  <si>
    <t xml:space="preserve">1180/2 PENDENTE DUETTO BRANCO                          </t>
  </si>
  <si>
    <t xml:space="preserve">1180/2 PENDENTE DUETTO PRETO                           </t>
  </si>
  <si>
    <t xml:space="preserve">1180/2 PENDENTE DUETTO CHAMPAGNE                       </t>
  </si>
  <si>
    <t xml:space="preserve">1217/2 COLUNA DUETTO BRANCO                            </t>
  </si>
  <si>
    <t xml:space="preserve">1217/2 COLUNA DUETTO PRETO                             </t>
  </si>
  <si>
    <t xml:space="preserve">1217/2 COLUNA DUETTO CHAMPAGNE                         </t>
  </si>
  <si>
    <t>15 WATTS</t>
  </si>
  <si>
    <t>115MM</t>
  </si>
  <si>
    <t>248MM</t>
  </si>
  <si>
    <t>414,5MM</t>
  </si>
  <si>
    <t>1481,7MM</t>
  </si>
  <si>
    <t>363MM</t>
  </si>
  <si>
    <t>227,7MM</t>
  </si>
  <si>
    <t>223,7MM</t>
  </si>
  <si>
    <t>55,7MM</t>
  </si>
  <si>
    <t>N/A</t>
  </si>
  <si>
    <t>63MM</t>
  </si>
  <si>
    <t>360,6MM</t>
  </si>
  <si>
    <t>390,5MM</t>
  </si>
  <si>
    <t>221,2MM</t>
  </si>
  <si>
    <t>196,5MM</t>
  </si>
  <si>
    <t>1494,5MM</t>
  </si>
  <si>
    <t>106MM</t>
  </si>
  <si>
    <t>47,4MM</t>
  </si>
  <si>
    <t>82,6MM</t>
  </si>
  <si>
    <t>93,1MM</t>
  </si>
  <si>
    <t>136,3MM</t>
  </si>
  <si>
    <t>216MM</t>
  </si>
  <si>
    <t>147,1MM</t>
  </si>
  <si>
    <t>269,6MM</t>
  </si>
  <si>
    <t>165,7MM</t>
  </si>
  <si>
    <t>252,8MM</t>
  </si>
  <si>
    <t>125MM</t>
  </si>
  <si>
    <t>256,5MM</t>
  </si>
  <si>
    <t>500,5MM</t>
  </si>
  <si>
    <t>209MM</t>
  </si>
  <si>
    <t>904,2MM</t>
  </si>
  <si>
    <t>296,4MM</t>
  </si>
  <si>
    <t>626,2MM</t>
  </si>
  <si>
    <t>781,6MM</t>
  </si>
  <si>
    <t>248,7MM</t>
  </si>
  <si>
    <t>402,1MM</t>
  </si>
  <si>
    <t>1482,4MM</t>
  </si>
  <si>
    <t>363,3MM</t>
  </si>
  <si>
    <t>413,9MM</t>
  </si>
  <si>
    <t>233,6MM</t>
  </si>
  <si>
    <t>95,0MM</t>
  </si>
  <si>
    <t>172MM</t>
  </si>
  <si>
    <t>352MM</t>
  </si>
  <si>
    <t>474,5MM</t>
  </si>
  <si>
    <t>228MM</t>
  </si>
  <si>
    <t>207,3MM</t>
  </si>
  <si>
    <t>99,2MM</t>
  </si>
  <si>
    <t>217,2MM</t>
  </si>
  <si>
    <t>155MM</t>
  </si>
  <si>
    <t>131,2MM</t>
  </si>
  <si>
    <t>432MM</t>
  </si>
  <si>
    <t>24,7MM</t>
  </si>
  <si>
    <t>632MM</t>
  </si>
  <si>
    <t>408MM</t>
  </si>
  <si>
    <t>83MM</t>
  </si>
  <si>
    <t>46,7MM</t>
  </si>
  <si>
    <t>708MM</t>
  </si>
  <si>
    <t>155,3MM</t>
  </si>
  <si>
    <t>1053MM</t>
  </si>
  <si>
    <t>443,5MM</t>
  </si>
  <si>
    <t>320,1MM</t>
  </si>
  <si>
    <t>214,8MM</t>
  </si>
  <si>
    <t>33MM</t>
  </si>
  <si>
    <t>198MM</t>
  </si>
  <si>
    <t>32,4MM</t>
  </si>
  <si>
    <t>1100,4MM</t>
  </si>
  <si>
    <t>391,5MM</t>
  </si>
  <si>
    <t>439,7MM</t>
  </si>
  <si>
    <t>45,8MM</t>
  </si>
  <si>
    <t>75,8MM</t>
  </si>
  <si>
    <t>148,3MM</t>
  </si>
  <si>
    <t>41,5MM</t>
  </si>
  <si>
    <t>398MM</t>
  </si>
  <si>
    <t>28 WATTS</t>
  </si>
  <si>
    <t>21 WATS
8 WATTS</t>
  </si>
  <si>
    <t>12 WATS
4 WATTS</t>
  </si>
  <si>
    <t>139,4MM</t>
  </si>
  <si>
    <t>397MM</t>
  </si>
  <si>
    <t>620MM</t>
  </si>
  <si>
    <t>18 WATS
6 WATTS</t>
  </si>
  <si>
    <t>20 WATS
4 WATTS</t>
  </si>
  <si>
    <t>42 WATS
6 WATTS</t>
  </si>
  <si>
    <t>600M</t>
  </si>
  <si>
    <t>155,4MM</t>
  </si>
  <si>
    <t>155,1MM</t>
  </si>
  <si>
    <t>374,6MM</t>
  </si>
  <si>
    <t>132MM</t>
  </si>
  <si>
    <t>231,7mm</t>
  </si>
  <si>
    <t>186,1MM</t>
  </si>
  <si>
    <t>49MM</t>
  </si>
  <si>
    <t>328MM</t>
  </si>
  <si>
    <t>25 WATTS</t>
  </si>
  <si>
    <t>131,4MM</t>
  </si>
  <si>
    <t>25,4MM</t>
  </si>
  <si>
    <t>141,9MM</t>
  </si>
  <si>
    <t>150,9MM</t>
  </si>
  <si>
    <t>154,4MM</t>
  </si>
  <si>
    <t>163,4MM</t>
  </si>
  <si>
    <t>990MM</t>
  </si>
  <si>
    <t>16,3MM</t>
  </si>
  <si>
    <t>1 x MR16</t>
  </si>
  <si>
    <t>59 WATTS</t>
  </si>
  <si>
    <t>1117/24 ARANDELA DOT PRETO 3000 K</t>
  </si>
  <si>
    <t>1117/33 ARANDELA DOT PRETO 3000 K</t>
  </si>
  <si>
    <t>1118/24 PLAFON DOT PRETO 3000 K</t>
  </si>
  <si>
    <t>1118/33 PLAFON DOT PRETO 3000 K</t>
  </si>
  <si>
    <t>1117/24 ARANDELA DOT BRANCO 3000 K</t>
  </si>
  <si>
    <t>1117/24 ARANDELA DOT DOURADO ONO 3000 K</t>
  </si>
  <si>
    <t>1117/24 ARANDELA DOT TERRACOTA 3000 K</t>
  </si>
  <si>
    <t>1117/24 ARANDELA DOT ALGODÃO 3000 K</t>
  </si>
  <si>
    <t>1117/24 ARANDELA DOT VERDE BIO 3000 K</t>
  </si>
  <si>
    <t>1117/24 ARANDELA DOT AZUL MAR 3000 K</t>
  </si>
  <si>
    <t>1117/33 ARANDELA DOT BRANCO 3000 K</t>
  </si>
  <si>
    <t>1117/33 ARANDELA DOT DOURADO ONO 3000 K</t>
  </si>
  <si>
    <t>1117/33 ARANDELA DOT TERRACOTA 3000 K</t>
  </si>
  <si>
    <t>1117/33 ARANDELA DOT ALGODÃO 3000 K</t>
  </si>
  <si>
    <t>1117/33 ARANDELA DOT VERDE BIO 3000 K</t>
  </si>
  <si>
    <t>1117/33 ARANDELA DOT AZUL MAR 3000 K</t>
  </si>
  <si>
    <t>1118/24 PLAFON DOT BRANCO 3000 K</t>
  </si>
  <si>
    <t>1118/24 PLAFON DOT DOURADO ONO 3000 K</t>
  </si>
  <si>
    <t>1118/24 PLAFON DOT TERRACOTA 3000 K</t>
  </si>
  <si>
    <t>1118/24 PLAFON DOT ALGODÃO 3000 K</t>
  </si>
  <si>
    <t>1118/24 PLAFON DOT VERDE BIO 3000 K</t>
  </si>
  <si>
    <t>1118/24 PLAFON DOT AZUL MAR 3000 K</t>
  </si>
  <si>
    <t>1118/33 PLAFON DOT BRANCO 3000 K</t>
  </si>
  <si>
    <t>1118/33 PLAFON DOT DOURADO ONO 3000 K</t>
  </si>
  <si>
    <t>1118/33 PLAFON DOT TERRACOTA 3000 K</t>
  </si>
  <si>
    <t>1118/33 PLAFON DOT ALGODÃO 3000 K</t>
  </si>
  <si>
    <t>1118/33 PLAFON DOT VERDE BIO 3000 K</t>
  </si>
  <si>
    <t>1118/33 PLAFON DOT AZUL MAR 3000 K</t>
  </si>
  <si>
    <t>307,9MM</t>
  </si>
  <si>
    <t>533,4MM</t>
  </si>
  <si>
    <t>203,7MM</t>
  </si>
  <si>
    <t>552MM</t>
  </si>
  <si>
    <t xml:space="preserve">1127/2 PERFIL NO FRAME TETTO DUPLO BRANCO 2 METROS     </t>
  </si>
  <si>
    <t xml:space="preserve">1127/3 PERFIL NO FRAME TETTO DUPLO BRANCO 3 METROS     </t>
  </si>
  <si>
    <t xml:space="preserve">1125/2 PERFIL NO FRAME TETTO BRANCO 2 METROS           </t>
  </si>
  <si>
    <t xml:space="preserve">1125/3 PERFIL NO FRAME TETTO BRANCO 3 METROS           </t>
  </si>
  <si>
    <t>282MM</t>
  </si>
  <si>
    <t>DIMERIZAVEL</t>
  </si>
  <si>
    <t>1142/1 LUMINARIA DE MESA MIDDLE BRANCO MULTICOR</t>
  </si>
  <si>
    <t>1142/1 LUMINARIA DE MESA MIDDLE PRETO MULTICOR</t>
  </si>
  <si>
    <t>1142/1 LUMINARIA DE MESA MIDDLE CHAMPAGNE MULTICOR</t>
  </si>
  <si>
    <t>1142/1 LUMINARIA DE MESA MIDDLE TERRACOTA MULTICOR</t>
  </si>
  <si>
    <t>1142/1 LUMINARIA DE MESA MIDDLE VERDE BIO/DR ESCO MULTICOR</t>
  </si>
  <si>
    <t>1142/1 LUMINARIA DE MESA MIDDLE DOURADO ESCOVADO MULTICOR</t>
  </si>
  <si>
    <t>1142/1 LUMINARIA DE MESA MIDDLE ALGODAO MULTICOR</t>
  </si>
  <si>
    <t>98MM</t>
  </si>
  <si>
    <t>169MM</t>
  </si>
  <si>
    <t>1517MM</t>
  </si>
  <si>
    <t>308MM</t>
  </si>
  <si>
    <t>194MM</t>
  </si>
  <si>
    <t>612MM</t>
  </si>
  <si>
    <t>75,9MM</t>
  </si>
  <si>
    <t>1003MM</t>
  </si>
  <si>
    <t>1503MM</t>
  </si>
  <si>
    <t>229MM</t>
  </si>
  <si>
    <t>67MM</t>
  </si>
  <si>
    <t xml:space="preserve">837/1 COLUNA MADRI DOURADO LIXADO   </t>
  </si>
  <si>
    <t>1320MM</t>
  </si>
  <si>
    <t>640MM</t>
  </si>
  <si>
    <t>520MM</t>
  </si>
  <si>
    <t>165MM</t>
  </si>
  <si>
    <t xml:space="preserve">1199/1 PENDENTE TUBO MOD SLIM 2 WATTS BIV BRANCO 3000K </t>
  </si>
  <si>
    <t xml:space="preserve">1199/1 PENDENTE TUBO MOD SLIM 2 WATTS BIV PRETO 3000K  </t>
  </si>
  <si>
    <t xml:space="preserve">1199/1 PENDENTE TUBO MOD SLIM 2 WATTS BIV DR ONO 3000K </t>
  </si>
  <si>
    <t xml:space="preserve">1223/95 PENDENTE LINEAR RECTA SLIM DOURADO ONO 3000K         </t>
  </si>
  <si>
    <t xml:space="preserve">1052/50 PLAFON ELEGANCE PRETO E BRANCO 3000K QUATRO FOCOS </t>
  </si>
  <si>
    <t>36 WATTS</t>
  </si>
  <si>
    <t xml:space="preserve">827/30-30 PENDENTE CASE BRANCO3000K                       </t>
  </si>
  <si>
    <t xml:space="preserve">827/30-30 PENDENTE CASE PRETO3000K                        </t>
  </si>
  <si>
    <t xml:space="preserve">827/30-30 PENDENTE CASE DOURADO ONO 3000K                 </t>
  </si>
  <si>
    <t xml:space="preserve">827/30-30 PENDENTE CASE DOURADO ONO 4000K                 </t>
  </si>
  <si>
    <t xml:space="preserve">827/30-30 PENDENTE CASE PRETO 4000K                       </t>
  </si>
  <si>
    <t xml:space="preserve">827/30-30 PENDENTE CASE BRANCO 4000K                      </t>
  </si>
  <si>
    <t>861/1 COLUNA FOCO DOURDO ONO</t>
  </si>
  <si>
    <t>860/1 LUMINARIA DE MESA FOCO DOURADO ONO</t>
  </si>
  <si>
    <t>866/1 LUMINARIA DE MESA SUMMER DOURADO ONO</t>
  </si>
  <si>
    <t>887/1 ARANDELA STRING DOURADO ONO CUPULA CRU</t>
  </si>
  <si>
    <t>1193/2 PERFIL SOBREPOR SLIM TAMPA CEGA 2 METROS DR ONO</t>
  </si>
  <si>
    <t>1193/3 PERFIL SOBREPOR SLIM TAMPA CEGA 3 METROS DR ONO</t>
  </si>
  <si>
    <t>1194/2 PERFIL SOBREPOR SLIM LENTE DIFUSA 2 METROS DR ONO - 4PCS</t>
  </si>
  <si>
    <t>1194/3 PERFIL SOBREPOR SLIM LENTE DIFUSA 3 METROS DR ONO -  4PCS</t>
  </si>
  <si>
    <t>1198/1 SPOT SCALA MODULO SLIM 2 WATTS BIVOLT DOURADO ONO 3000K</t>
  </si>
  <si>
    <t>1208/2 TAMPA CEGA MODULO SLIM 2MT DOURADO ONO</t>
  </si>
  <si>
    <t>1208/3 TAMPA CEGA MODULO SLIM 3MT DOURADO ONO</t>
  </si>
  <si>
    <t xml:space="preserve">1059/35 PLAFON CAVITY PRETO 3000K                      </t>
  </si>
  <si>
    <t xml:space="preserve">1059/35 PLAFON CAVITY DOURADO ONO 3000K                </t>
  </si>
  <si>
    <t xml:space="preserve">1059/50 PLAFON CAVITY PRETO 3000K                      </t>
  </si>
  <si>
    <t xml:space="preserve">1059/50 PLAFON CAVITY BRANCO 3000K                     </t>
  </si>
  <si>
    <t xml:space="preserve">1059/50 PLAFON CAVITY DOURADO ONO 3000K                </t>
  </si>
  <si>
    <t xml:space="preserve">1059/35 PLAFON CAVITY BRANCO/DOURADO ONO 3000K                </t>
  </si>
  <si>
    <t xml:space="preserve">1059/50 PLAFON CAVITY BRANCO/DOURADO ONO 3000K                </t>
  </si>
  <si>
    <t xml:space="preserve">1060/37 EMBUTIDO CAVITY PRETO 3000K                    </t>
  </si>
  <si>
    <t xml:space="preserve">1060/37 EMBUTIDO CAVITY BRANCO 3000K                   </t>
  </si>
  <si>
    <t xml:space="preserve">1060/37 EMBUTIDO CAVITY DOURADO ONO 3000K              </t>
  </si>
  <si>
    <t>1060/37 EMBUTIDO CAVITY BRANCO/DOURADO ONO 3000K</t>
  </si>
  <si>
    <t xml:space="preserve">1060/50 EMBUTIDO CAVITY PRETO 3000K                    </t>
  </si>
  <si>
    <t xml:space="preserve">1060/50 EMBUTIDO CAVITY BRANCO 3000K                   </t>
  </si>
  <si>
    <t xml:space="preserve">1060/50 EMBUTIDO CAVITY DOURADO ONO 3000K              </t>
  </si>
  <si>
    <t>1060/50 EMBUTIDO CAVITY BRANCO/DOURADO ONO 3000K</t>
  </si>
  <si>
    <t># Referência</t>
  </si>
  <si>
    <t>SKU</t>
  </si>
  <si>
    <t>091986</t>
  </si>
  <si>
    <t>091987</t>
  </si>
  <si>
    <t>091988</t>
  </si>
  <si>
    <t>091989</t>
  </si>
  <si>
    <t>091990</t>
  </si>
  <si>
    <t>091991</t>
  </si>
  <si>
    <t>091992</t>
  </si>
  <si>
    <t>091993</t>
  </si>
  <si>
    <t>091994</t>
  </si>
  <si>
    <t>091995</t>
  </si>
  <si>
    <t>091996</t>
  </si>
  <si>
    <t>091997</t>
  </si>
  <si>
    <t>092020</t>
  </si>
  <si>
    <t>092021</t>
  </si>
  <si>
    <t>092022</t>
  </si>
  <si>
    <t>092023</t>
  </si>
  <si>
    <t>092024</t>
  </si>
  <si>
    <t>092025</t>
  </si>
  <si>
    <t>092026</t>
  </si>
  <si>
    <t>092027</t>
  </si>
  <si>
    <t>092028</t>
  </si>
  <si>
    <t>092032</t>
  </si>
  <si>
    <t>092033</t>
  </si>
  <si>
    <t>092034</t>
  </si>
  <si>
    <t>092035</t>
  </si>
  <si>
    <t>092036</t>
  </si>
  <si>
    <t>092037</t>
  </si>
  <si>
    <t>092038</t>
  </si>
  <si>
    <t>092040</t>
  </si>
  <si>
    <t>092041</t>
  </si>
  <si>
    <t>092042</t>
  </si>
  <si>
    <t>092043</t>
  </si>
  <si>
    <t>092044</t>
  </si>
  <si>
    <t>092046</t>
  </si>
  <si>
    <t>092047</t>
  </si>
  <si>
    <t>092048</t>
  </si>
  <si>
    <t>092049</t>
  </si>
  <si>
    <t>092050</t>
  </si>
  <si>
    <t>092051</t>
  </si>
  <si>
    <t>092052</t>
  </si>
  <si>
    <t>092053</t>
  </si>
  <si>
    <t>092054</t>
  </si>
  <si>
    <t>092056</t>
  </si>
  <si>
    <t>092057</t>
  </si>
  <si>
    <t>092058</t>
  </si>
  <si>
    <t>092059</t>
  </si>
  <si>
    <t>092061</t>
  </si>
  <si>
    <t>092062</t>
  </si>
  <si>
    <t>092063</t>
  </si>
  <si>
    <t>092064</t>
  </si>
  <si>
    <t>092065</t>
  </si>
  <si>
    <t>092066</t>
  </si>
  <si>
    <t>092067</t>
  </si>
  <si>
    <t>092068</t>
  </si>
  <si>
    <t>092069</t>
  </si>
  <si>
    <t>092071</t>
  </si>
  <si>
    <t>092072</t>
  </si>
  <si>
    <t>092073</t>
  </si>
  <si>
    <t>092074</t>
  </si>
  <si>
    <t>092075</t>
  </si>
  <si>
    <t>092076</t>
  </si>
  <si>
    <t>092077</t>
  </si>
  <si>
    <t>092078</t>
  </si>
  <si>
    <t>092079</t>
  </si>
  <si>
    <t>092080</t>
  </si>
  <si>
    <t>092081</t>
  </si>
  <si>
    <t>092082</t>
  </si>
  <si>
    <t>092083</t>
  </si>
  <si>
    <t>092084</t>
  </si>
  <si>
    <t>092086</t>
  </si>
  <si>
    <t>092087</t>
  </si>
  <si>
    <t>092088</t>
  </si>
  <si>
    <t>092089</t>
  </si>
  <si>
    <t>092090</t>
  </si>
  <si>
    <t>092091</t>
  </si>
  <si>
    <t>092092</t>
  </si>
  <si>
    <t>092093</t>
  </si>
  <si>
    <t>092095</t>
  </si>
  <si>
    <t>092096</t>
  </si>
  <si>
    <t>092097</t>
  </si>
  <si>
    <t>092098</t>
  </si>
  <si>
    <t>092099</t>
  </si>
  <si>
    <t>092100</t>
  </si>
  <si>
    <t>092101</t>
  </si>
  <si>
    <t>092102</t>
  </si>
  <si>
    <t>092103</t>
  </si>
  <si>
    <t>092105</t>
  </si>
  <si>
    <t>092107</t>
  </si>
  <si>
    <t>092108</t>
  </si>
  <si>
    <t>092109</t>
  </si>
  <si>
    <t>092110</t>
  </si>
  <si>
    <t>092111</t>
  </si>
  <si>
    <t>092112</t>
  </si>
  <si>
    <t>092114</t>
  </si>
  <si>
    <t>092115</t>
  </si>
  <si>
    <t>092116</t>
  </si>
  <si>
    <t>092118</t>
  </si>
  <si>
    <t>092119</t>
  </si>
  <si>
    <t>092121</t>
  </si>
  <si>
    <t>092122</t>
  </si>
  <si>
    <t>092123</t>
  </si>
  <si>
    <t>092124</t>
  </si>
  <si>
    <t>092125</t>
  </si>
  <si>
    <t>092126</t>
  </si>
  <si>
    <t>092127</t>
  </si>
  <si>
    <t>092128</t>
  </si>
  <si>
    <t>092129</t>
  </si>
  <si>
    <t>092130</t>
  </si>
  <si>
    <t>092131</t>
  </si>
  <si>
    <t>092132</t>
  </si>
  <si>
    <t>092133</t>
  </si>
  <si>
    <t>092134</t>
  </si>
  <si>
    <t>092135</t>
  </si>
  <si>
    <t>092136</t>
  </si>
  <si>
    <t>092138</t>
  </si>
  <si>
    <t>092139</t>
  </si>
  <si>
    <t>092140</t>
  </si>
  <si>
    <t>092141</t>
  </si>
  <si>
    <t>092142</t>
  </si>
  <si>
    <t>092143</t>
  </si>
  <si>
    <t>092144</t>
  </si>
  <si>
    <t>092146</t>
  </si>
  <si>
    <t>092147</t>
  </si>
  <si>
    <t>092148</t>
  </si>
  <si>
    <t>092149</t>
  </si>
  <si>
    <t>092150</t>
  </si>
  <si>
    <t>092151</t>
  </si>
  <si>
    <t>092152</t>
  </si>
  <si>
    <t>092153</t>
  </si>
  <si>
    <t>092154</t>
  </si>
  <si>
    <t>092155</t>
  </si>
  <si>
    <t>092156</t>
  </si>
  <si>
    <t>092157</t>
  </si>
  <si>
    <t>092158</t>
  </si>
  <si>
    <t>092159</t>
  </si>
  <si>
    <t>092160</t>
  </si>
  <si>
    <t>092161</t>
  </si>
  <si>
    <t>092162</t>
  </si>
  <si>
    <t>092163</t>
  </si>
  <si>
    <t>092164</t>
  </si>
  <si>
    <t>092165</t>
  </si>
  <si>
    <t>092166</t>
  </si>
  <si>
    <t>092167</t>
  </si>
  <si>
    <t>092168</t>
  </si>
  <si>
    <t>092169</t>
  </si>
  <si>
    <t>092170</t>
  </si>
  <si>
    <t>092171</t>
  </si>
  <si>
    <t>092172</t>
  </si>
  <si>
    <t>092173</t>
  </si>
  <si>
    <t>092174</t>
  </si>
  <si>
    <t>092179</t>
  </si>
  <si>
    <t>092180</t>
  </si>
  <si>
    <t>092181</t>
  </si>
  <si>
    <t>092182</t>
  </si>
  <si>
    <t>092183</t>
  </si>
  <si>
    <t>092184</t>
  </si>
  <si>
    <t>092185</t>
  </si>
  <si>
    <t>092186</t>
  </si>
  <si>
    <t>092187</t>
  </si>
  <si>
    <t>092188</t>
  </si>
  <si>
    <t>092189</t>
  </si>
  <si>
    <t>092190</t>
  </si>
  <si>
    <t>092191</t>
  </si>
  <si>
    <t>092192</t>
  </si>
  <si>
    <t>092193</t>
  </si>
  <si>
    <t>092194</t>
  </si>
  <si>
    <t>092195</t>
  </si>
  <si>
    <t>092196</t>
  </si>
  <si>
    <t>092198</t>
  </si>
  <si>
    <t>092199</t>
  </si>
  <si>
    <t>092200</t>
  </si>
  <si>
    <t>349</t>
  </si>
  <si>
    <t>092214</t>
  </si>
  <si>
    <t>092215</t>
  </si>
  <si>
    <t>092216</t>
  </si>
  <si>
    <t>092217</t>
  </si>
  <si>
    <t>092218</t>
  </si>
  <si>
    <t>092219</t>
  </si>
  <si>
    <t>092220</t>
  </si>
  <si>
    <t>092221</t>
  </si>
  <si>
    <t>092222</t>
  </si>
  <si>
    <t>092223</t>
  </si>
  <si>
    <t>092224</t>
  </si>
  <si>
    <t>092250</t>
  </si>
  <si>
    <t>092251</t>
  </si>
  <si>
    <t>092252</t>
  </si>
  <si>
    <t>092253</t>
  </si>
  <si>
    <t>092254</t>
  </si>
  <si>
    <t>092255</t>
  </si>
  <si>
    <t>092256</t>
  </si>
  <si>
    <t>092257</t>
  </si>
  <si>
    <t>092258</t>
  </si>
  <si>
    <t>092259</t>
  </si>
  <si>
    <t>092260</t>
  </si>
  <si>
    <t>092261</t>
  </si>
  <si>
    <t>092262</t>
  </si>
  <si>
    <t>092263</t>
  </si>
  <si>
    <t>092264</t>
  </si>
  <si>
    <t>092265</t>
  </si>
  <si>
    <t>092266</t>
  </si>
  <si>
    <t>092267</t>
  </si>
  <si>
    <t>092268</t>
  </si>
  <si>
    <t>092269</t>
  </si>
  <si>
    <t>092270</t>
  </si>
  <si>
    <t>092271</t>
  </si>
  <si>
    <t>092272</t>
  </si>
  <si>
    <t>092273</t>
  </si>
  <si>
    <t>092274</t>
  </si>
  <si>
    <t>092275</t>
  </si>
  <si>
    <t>092276</t>
  </si>
  <si>
    <t>092277</t>
  </si>
  <si>
    <t>092278</t>
  </si>
  <si>
    <t>092279</t>
  </si>
  <si>
    <t>092280</t>
  </si>
  <si>
    <t>092281</t>
  </si>
  <si>
    <t>092282</t>
  </si>
  <si>
    <t>092283</t>
  </si>
  <si>
    <t>092284</t>
  </si>
  <si>
    <t>092285</t>
  </si>
  <si>
    <t>092286</t>
  </si>
  <si>
    <t>092287</t>
  </si>
  <si>
    <t>092288</t>
  </si>
  <si>
    <t>092289</t>
  </si>
  <si>
    <t>092290</t>
  </si>
  <si>
    <t>092291</t>
  </si>
  <si>
    <t>092292</t>
  </si>
  <si>
    <t>092293</t>
  </si>
  <si>
    <t>092294</t>
  </si>
  <si>
    <t>092295</t>
  </si>
  <si>
    <t>092296</t>
  </si>
  <si>
    <t>092297</t>
  </si>
  <si>
    <t>092298</t>
  </si>
  <si>
    <t>092299</t>
  </si>
  <si>
    <t>092300</t>
  </si>
  <si>
    <t>092301</t>
  </si>
  <si>
    <t>092303</t>
  </si>
  <si>
    <t>092304</t>
  </si>
  <si>
    <t>092305</t>
  </si>
  <si>
    <t>092306</t>
  </si>
  <si>
    <t>092307</t>
  </si>
  <si>
    <t>092309</t>
  </si>
  <si>
    <t>092310</t>
  </si>
  <si>
    <t>092311</t>
  </si>
  <si>
    <t>092313</t>
  </si>
  <si>
    <t>092314</t>
  </si>
  <si>
    <t>092315</t>
  </si>
  <si>
    <t>092316</t>
  </si>
  <si>
    <t>092318</t>
  </si>
  <si>
    <t>092328</t>
  </si>
  <si>
    <t>092329</t>
  </si>
  <si>
    <t>092330</t>
  </si>
  <si>
    <t>092331</t>
  </si>
  <si>
    <t>092332</t>
  </si>
  <si>
    <t>092333</t>
  </si>
  <si>
    <t>092334</t>
  </si>
  <si>
    <t>092335</t>
  </si>
  <si>
    <t>092336</t>
  </si>
  <si>
    <t>092346</t>
  </si>
  <si>
    <t>092347</t>
  </si>
  <si>
    <t>092348</t>
  </si>
  <si>
    <t>092349</t>
  </si>
  <si>
    <t>092350</t>
  </si>
  <si>
    <t>092351</t>
  </si>
  <si>
    <t>092353</t>
  </si>
  <si>
    <t>092368</t>
  </si>
  <si>
    <t>092369</t>
  </si>
  <si>
    <t>092370</t>
  </si>
  <si>
    <t>092371</t>
  </si>
  <si>
    <t>092372</t>
  </si>
  <si>
    <t>092373</t>
  </si>
  <si>
    <t>092374</t>
  </si>
  <si>
    <t>092376</t>
  </si>
  <si>
    <t>092377</t>
  </si>
  <si>
    <t>092378</t>
  </si>
  <si>
    <t>092379</t>
  </si>
  <si>
    <t>092380</t>
  </si>
  <si>
    <t>092381</t>
  </si>
  <si>
    <t>092383</t>
  </si>
  <si>
    <t>092384</t>
  </si>
  <si>
    <t>092385</t>
  </si>
  <si>
    <t>092386</t>
  </si>
  <si>
    <t>092387</t>
  </si>
  <si>
    <t>092388</t>
  </si>
  <si>
    <t>092389</t>
  </si>
  <si>
    <t>092391</t>
  </si>
  <si>
    <t>092392</t>
  </si>
  <si>
    <t>092393</t>
  </si>
  <si>
    <t>092394</t>
  </si>
  <si>
    <t>092395</t>
  </si>
  <si>
    <t>092396</t>
  </si>
  <si>
    <t>092397</t>
  </si>
  <si>
    <t>092398</t>
  </si>
  <si>
    <t>092399</t>
  </si>
  <si>
    <t>092400</t>
  </si>
  <si>
    <t>092401</t>
  </si>
  <si>
    <t>092402</t>
  </si>
  <si>
    <t>092403</t>
  </si>
  <si>
    <t>092404</t>
  </si>
  <si>
    <t>092406</t>
  </si>
  <si>
    <t>092407</t>
  </si>
  <si>
    <t>092408</t>
  </si>
  <si>
    <t>092409</t>
  </si>
  <si>
    <t>092410</t>
  </si>
  <si>
    <t>092411</t>
  </si>
  <si>
    <t>092412</t>
  </si>
  <si>
    <t>092413</t>
  </si>
  <si>
    <t>092414</t>
  </si>
  <si>
    <t>092416</t>
  </si>
  <si>
    <t>092417</t>
  </si>
  <si>
    <t>092418</t>
  </si>
  <si>
    <t>092419</t>
  </si>
  <si>
    <t>092420</t>
  </si>
  <si>
    <t>092422</t>
  </si>
  <si>
    <t>092423</t>
  </si>
  <si>
    <t>092424</t>
  </si>
  <si>
    <t>092425</t>
  </si>
  <si>
    <t>092426</t>
  </si>
  <si>
    <t>092427</t>
  </si>
  <si>
    <t>092428</t>
  </si>
  <si>
    <t>092429</t>
  </si>
  <si>
    <t>092430</t>
  </si>
  <si>
    <t>092431</t>
  </si>
  <si>
    <t>092432</t>
  </si>
  <si>
    <t>092433</t>
  </si>
  <si>
    <t>092434</t>
  </si>
  <si>
    <t>092435</t>
  </si>
  <si>
    <t>092436</t>
  </si>
  <si>
    <t>092437</t>
  </si>
  <si>
    <t>092438</t>
  </si>
  <si>
    <t>092439</t>
  </si>
  <si>
    <t>092440</t>
  </si>
  <si>
    <t>092441</t>
  </si>
  <si>
    <t>092442</t>
  </si>
  <si>
    <t>092443</t>
  </si>
  <si>
    <t>092444</t>
  </si>
  <si>
    <t>092445</t>
  </si>
  <si>
    <t>092446</t>
  </si>
  <si>
    <t>092447</t>
  </si>
  <si>
    <t>092448</t>
  </si>
  <si>
    <t>092449</t>
  </si>
  <si>
    <t>092450</t>
  </si>
  <si>
    <t>092451</t>
  </si>
  <si>
    <t>092452</t>
  </si>
  <si>
    <t>092453</t>
  </si>
  <si>
    <t>092454</t>
  </si>
  <si>
    <t>092488</t>
  </si>
  <si>
    <t>092498</t>
  </si>
  <si>
    <t>092499</t>
  </si>
  <si>
    <t>092500</t>
  </si>
  <si>
    <t>092501</t>
  </si>
  <si>
    <t>092502</t>
  </si>
  <si>
    <t>092503</t>
  </si>
  <si>
    <t>092504</t>
  </si>
  <si>
    <t>092505</t>
  </si>
  <si>
    <t>092506</t>
  </si>
  <si>
    <t>092507</t>
  </si>
  <si>
    <t>092508</t>
  </si>
  <si>
    <t>092509</t>
  </si>
  <si>
    <t>092510</t>
  </si>
  <si>
    <t>092520</t>
  </si>
  <si>
    <t>092521</t>
  </si>
  <si>
    <t>092522</t>
  </si>
  <si>
    <t>092523</t>
  </si>
  <si>
    <t>092524</t>
  </si>
  <si>
    <t>092525</t>
  </si>
  <si>
    <t>092526</t>
  </si>
  <si>
    <t>092527</t>
  </si>
  <si>
    <t>092528</t>
  </si>
  <si>
    <t>092529</t>
  </si>
  <si>
    <t>092530</t>
  </si>
  <si>
    <t>092531</t>
  </si>
  <si>
    <t>092532</t>
  </si>
  <si>
    <t>092533</t>
  </si>
  <si>
    <t>092534</t>
  </si>
  <si>
    <t>092535</t>
  </si>
  <si>
    <t>092536</t>
  </si>
  <si>
    <t>092537</t>
  </si>
  <si>
    <t>092538</t>
  </si>
  <si>
    <t>092539</t>
  </si>
  <si>
    <t>092543</t>
  </si>
  <si>
    <t>092545</t>
  </si>
  <si>
    <t>092546</t>
  </si>
  <si>
    <t>092547</t>
  </si>
  <si>
    <t>092561</t>
  </si>
  <si>
    <t>092562</t>
  </si>
  <si>
    <t>092563</t>
  </si>
  <si>
    <t>092564</t>
  </si>
  <si>
    <t>092565</t>
  </si>
  <si>
    <t>092566</t>
  </si>
  <si>
    <t>092567</t>
  </si>
  <si>
    <t>092568</t>
  </si>
  <si>
    <t>092569</t>
  </si>
  <si>
    <t>092570</t>
  </si>
  <si>
    <t>092571</t>
  </si>
  <si>
    <t>092572</t>
  </si>
  <si>
    <t>092573</t>
  </si>
  <si>
    <t>092574</t>
  </si>
  <si>
    <t>092575</t>
  </si>
  <si>
    <t>092576</t>
  </si>
  <si>
    <t>092577</t>
  </si>
  <si>
    <t>092578</t>
  </si>
  <si>
    <t>092579</t>
  </si>
  <si>
    <t>092580</t>
  </si>
  <si>
    <t>092581</t>
  </si>
  <si>
    <t>092582</t>
  </si>
  <si>
    <t>092583</t>
  </si>
  <si>
    <t>092584</t>
  </si>
  <si>
    <t>092585</t>
  </si>
  <si>
    <t>092586</t>
  </si>
  <si>
    <t>092587</t>
  </si>
  <si>
    <t>092588</t>
  </si>
  <si>
    <t>092589</t>
  </si>
  <si>
    <t>092590</t>
  </si>
  <si>
    <t>092591</t>
  </si>
  <si>
    <t>092592</t>
  </si>
  <si>
    <t>092593</t>
  </si>
  <si>
    <t>092594</t>
  </si>
  <si>
    <t>092595</t>
  </si>
  <si>
    <t>092596</t>
  </si>
  <si>
    <t>092597</t>
  </si>
  <si>
    <t>092610</t>
  </si>
  <si>
    <t>092611</t>
  </si>
  <si>
    <t>092612</t>
  </si>
  <si>
    <t>092613</t>
  </si>
  <si>
    <t>092614</t>
  </si>
  <si>
    <t>092615</t>
  </si>
  <si>
    <t>092616</t>
  </si>
  <si>
    <t>092617</t>
  </si>
  <si>
    <t>092618</t>
  </si>
  <si>
    <t>092619</t>
  </si>
  <si>
    <t>092621</t>
  </si>
  <si>
    <t>092622</t>
  </si>
  <si>
    <t>092623</t>
  </si>
  <si>
    <t>092624</t>
  </si>
  <si>
    <t>092626</t>
  </si>
  <si>
    <t>092627</t>
  </si>
  <si>
    <t>092628</t>
  </si>
  <si>
    <t>092629</t>
  </si>
  <si>
    <t>092630</t>
  </si>
  <si>
    <t>092631</t>
  </si>
  <si>
    <t>092632</t>
  </si>
  <si>
    <t>092633</t>
  </si>
  <si>
    <t>092634</t>
  </si>
  <si>
    <t>092635</t>
  </si>
  <si>
    <t>092636</t>
  </si>
  <si>
    <t>092637</t>
  </si>
  <si>
    <t>092638</t>
  </si>
  <si>
    <t>092639</t>
  </si>
  <si>
    <t>092640</t>
  </si>
  <si>
    <t>092641</t>
  </si>
  <si>
    <t>092642</t>
  </si>
  <si>
    <t>092643</t>
  </si>
  <si>
    <t>092644</t>
  </si>
  <si>
    <t>092645</t>
  </si>
  <si>
    <t>092646</t>
  </si>
  <si>
    <t>092647</t>
  </si>
  <si>
    <t>092648</t>
  </si>
  <si>
    <t>092649</t>
  </si>
  <si>
    <t>092650</t>
  </si>
  <si>
    <t>092651</t>
  </si>
  <si>
    <t>092652</t>
  </si>
  <si>
    <t>092653</t>
  </si>
  <si>
    <t>092654</t>
  </si>
  <si>
    <t>092655</t>
  </si>
  <si>
    <t>092656</t>
  </si>
  <si>
    <t>092657</t>
  </si>
  <si>
    <t>092658</t>
  </si>
  <si>
    <t>092659</t>
  </si>
  <si>
    <t>092660</t>
  </si>
  <si>
    <t>092661</t>
  </si>
  <si>
    <t>092662</t>
  </si>
  <si>
    <t>092663</t>
  </si>
  <si>
    <t>092664</t>
  </si>
  <si>
    <t>092665</t>
  </si>
  <si>
    <t>092666</t>
  </si>
  <si>
    <t>092667</t>
  </si>
  <si>
    <t>092668</t>
  </si>
  <si>
    <t>092669</t>
  </si>
  <si>
    <t>092670</t>
  </si>
  <si>
    <t>092671</t>
  </si>
  <si>
    <t>092672</t>
  </si>
  <si>
    <t>092673</t>
  </si>
  <si>
    <t>092674</t>
  </si>
  <si>
    <t>092675</t>
  </si>
  <si>
    <t>092676</t>
  </si>
  <si>
    <t>092677</t>
  </si>
  <si>
    <t>092678</t>
  </si>
  <si>
    <t>092679</t>
  </si>
  <si>
    <t>092680</t>
  </si>
  <si>
    <t>092681</t>
  </si>
  <si>
    <t>092682</t>
  </si>
  <si>
    <t>092683</t>
  </si>
  <si>
    <t>092684</t>
  </si>
  <si>
    <t>092685</t>
  </si>
  <si>
    <t>092686</t>
  </si>
  <si>
    <t>092687</t>
  </si>
  <si>
    <t>092688</t>
  </si>
  <si>
    <t>092689</t>
  </si>
  <si>
    <t>092690</t>
  </si>
  <si>
    <t>092691</t>
  </si>
  <si>
    <t>092692</t>
  </si>
  <si>
    <t>092693</t>
  </si>
  <si>
    <t>092694</t>
  </si>
  <si>
    <t>092695</t>
  </si>
  <si>
    <t>092696</t>
  </si>
  <si>
    <t>092697</t>
  </si>
  <si>
    <t>092698</t>
  </si>
  <si>
    <t>092699</t>
  </si>
  <si>
    <t>092700</t>
  </si>
  <si>
    <t>092701</t>
  </si>
  <si>
    <t>092702</t>
  </si>
  <si>
    <t>092703</t>
  </si>
  <si>
    <t>092704</t>
  </si>
  <si>
    <t>092705</t>
  </si>
  <si>
    <t>092706</t>
  </si>
  <si>
    <t>092707</t>
  </si>
  <si>
    <t>092708</t>
  </si>
  <si>
    <t>092709</t>
  </si>
  <si>
    <t>092710</t>
  </si>
  <si>
    <t>092711</t>
  </si>
  <si>
    <t>092712</t>
  </si>
  <si>
    <t>092713</t>
  </si>
  <si>
    <t>092714</t>
  </si>
  <si>
    <t>092715</t>
  </si>
  <si>
    <t>092716</t>
  </si>
  <si>
    <t>092717</t>
  </si>
  <si>
    <t>092718</t>
  </si>
  <si>
    <t>092719</t>
  </si>
  <si>
    <t>092720</t>
  </si>
  <si>
    <t>092721</t>
  </si>
  <si>
    <t>092722</t>
  </si>
  <si>
    <t>092723</t>
  </si>
  <si>
    <t>092724</t>
  </si>
  <si>
    <t>092725</t>
  </si>
  <si>
    <t>092726</t>
  </si>
  <si>
    <t>092727</t>
  </si>
  <si>
    <t>092728</t>
  </si>
  <si>
    <t>092729</t>
  </si>
  <si>
    <t>092730</t>
  </si>
  <si>
    <t>092731</t>
  </si>
  <si>
    <t>092732</t>
  </si>
  <si>
    <t>092733</t>
  </si>
  <si>
    <t>092734</t>
  </si>
  <si>
    <t>092735</t>
  </si>
  <si>
    <t>092736</t>
  </si>
  <si>
    <t>092737</t>
  </si>
  <si>
    <t>092738</t>
  </si>
  <si>
    <t>092739</t>
  </si>
  <si>
    <t>092740</t>
  </si>
  <si>
    <t>092741</t>
  </si>
  <si>
    <t>092742</t>
  </si>
  <si>
    <t>092743</t>
  </si>
  <si>
    <t>092744</t>
  </si>
  <si>
    <t>092745</t>
  </si>
  <si>
    <t>092747</t>
  </si>
  <si>
    <t>092748</t>
  </si>
  <si>
    <t>092749</t>
  </si>
  <si>
    <t>092750</t>
  </si>
  <si>
    <t>092751</t>
  </si>
  <si>
    <t>092752</t>
  </si>
  <si>
    <t>092753</t>
  </si>
  <si>
    <t>092754</t>
  </si>
  <si>
    <t>092755</t>
  </si>
  <si>
    <t>092756</t>
  </si>
  <si>
    <t>092757</t>
  </si>
  <si>
    <t>092758</t>
  </si>
  <si>
    <t>092759</t>
  </si>
  <si>
    <t>092760</t>
  </si>
  <si>
    <t>092761</t>
  </si>
  <si>
    <t>092762</t>
  </si>
  <si>
    <t>092763</t>
  </si>
  <si>
    <t>092764</t>
  </si>
  <si>
    <t>092765</t>
  </si>
  <si>
    <t>092766</t>
  </si>
  <si>
    <t>092767</t>
  </si>
  <si>
    <t>092768</t>
  </si>
  <si>
    <t>092769</t>
  </si>
  <si>
    <t>092770</t>
  </si>
  <si>
    <t>092771</t>
  </si>
  <si>
    <t>092772</t>
  </si>
  <si>
    <t>092773</t>
  </si>
  <si>
    <t>092774</t>
  </si>
  <si>
    <t>092775</t>
  </si>
  <si>
    <t>092776</t>
  </si>
  <si>
    <t>092777</t>
  </si>
  <si>
    <t>092778</t>
  </si>
  <si>
    <t>092779</t>
  </si>
  <si>
    <t>092780</t>
  </si>
  <si>
    <t>092781</t>
  </si>
  <si>
    <t>092782</t>
  </si>
  <si>
    <t>092783</t>
  </si>
  <si>
    <t>092784</t>
  </si>
  <si>
    <t>092785</t>
  </si>
  <si>
    <t>092786</t>
  </si>
  <si>
    <t>092787</t>
  </si>
  <si>
    <t>092788</t>
  </si>
  <si>
    <t>092789</t>
  </si>
  <si>
    <t>092790</t>
  </si>
  <si>
    <t>092792</t>
  </si>
  <si>
    <t>092794</t>
  </si>
  <si>
    <t>092797</t>
  </si>
  <si>
    <t>092798</t>
  </si>
  <si>
    <t>092799</t>
  </si>
  <si>
    <t>092800</t>
  </si>
  <si>
    <t>092801</t>
  </si>
  <si>
    <t>092802</t>
  </si>
  <si>
    <t>092803</t>
  </si>
  <si>
    <t>092804</t>
  </si>
  <si>
    <t>092805</t>
  </si>
  <si>
    <t>092806</t>
  </si>
  <si>
    <t>092807</t>
  </si>
  <si>
    <t>092808</t>
  </si>
  <si>
    <t>092809</t>
  </si>
  <si>
    <t>092810</t>
  </si>
  <si>
    <t>092811</t>
  </si>
  <si>
    <t>092812</t>
  </si>
  <si>
    <t>092813</t>
  </si>
  <si>
    <t>092816</t>
  </si>
  <si>
    <t>092817</t>
  </si>
  <si>
    <t>092818</t>
  </si>
  <si>
    <t>092819</t>
  </si>
  <si>
    <t>092820</t>
  </si>
  <si>
    <t>092821</t>
  </si>
  <si>
    <t>092822</t>
  </si>
  <si>
    <t>092823</t>
  </si>
  <si>
    <t>092824</t>
  </si>
  <si>
    <t>092825</t>
  </si>
  <si>
    <t>092826</t>
  </si>
  <si>
    <t>092827</t>
  </si>
  <si>
    <t>092829</t>
  </si>
  <si>
    <t>092830</t>
  </si>
  <si>
    <t>092831</t>
  </si>
  <si>
    <t>092832</t>
  </si>
  <si>
    <t>092833</t>
  </si>
  <si>
    <t>092834</t>
  </si>
  <si>
    <t>092835</t>
  </si>
  <si>
    <t>092836</t>
  </si>
  <si>
    <t>092837</t>
  </si>
  <si>
    <t>092860</t>
  </si>
  <si>
    <t>092861</t>
  </si>
  <si>
    <t>092862</t>
  </si>
  <si>
    <t>092863</t>
  </si>
  <si>
    <t>092864</t>
  </si>
  <si>
    <t>092865</t>
  </si>
  <si>
    <t>092866</t>
  </si>
  <si>
    <t>092867</t>
  </si>
  <si>
    <t>092868</t>
  </si>
  <si>
    <t>092869</t>
  </si>
  <si>
    <t>092870</t>
  </si>
  <si>
    <t>092871</t>
  </si>
  <si>
    <t>092872</t>
  </si>
  <si>
    <t>092873</t>
  </si>
  <si>
    <t>092874</t>
  </si>
  <si>
    <t>092875</t>
  </si>
  <si>
    <t>092876</t>
  </si>
  <si>
    <t>092877</t>
  </si>
  <si>
    <t>092878</t>
  </si>
  <si>
    <t>092879</t>
  </si>
  <si>
    <t>092880</t>
  </si>
  <si>
    <t>092881</t>
  </si>
  <si>
    <t>092882</t>
  </si>
  <si>
    <t>092883</t>
  </si>
  <si>
    <t>092884</t>
  </si>
  <si>
    <t>092885</t>
  </si>
  <si>
    <t>092886</t>
  </si>
  <si>
    <t>092887</t>
  </si>
  <si>
    <t>092894</t>
  </si>
  <si>
    <t>092895</t>
  </si>
  <si>
    <t>092896</t>
  </si>
  <si>
    <t>092897</t>
  </si>
  <si>
    <t>092898</t>
  </si>
  <si>
    <t>092899</t>
  </si>
  <si>
    <t>092900</t>
  </si>
  <si>
    <t>092901</t>
  </si>
  <si>
    <t>092902</t>
  </si>
  <si>
    <t>092903</t>
  </si>
  <si>
    <t>092904</t>
  </si>
  <si>
    <t>092905</t>
  </si>
  <si>
    <t>092906</t>
  </si>
  <si>
    <t>092907</t>
  </si>
  <si>
    <t>092908</t>
  </si>
  <si>
    <t>092909</t>
  </si>
  <si>
    <t>092910</t>
  </si>
  <si>
    <t>092911</t>
  </si>
  <si>
    <t>092912</t>
  </si>
  <si>
    <t>092913</t>
  </si>
  <si>
    <t>092914</t>
  </si>
  <si>
    <t>092915</t>
  </si>
  <si>
    <t>092916</t>
  </si>
  <si>
    <t>092917</t>
  </si>
  <si>
    <t>092918</t>
  </si>
  <si>
    <t>092919</t>
  </si>
  <si>
    <t>092921</t>
  </si>
  <si>
    <t>092922</t>
  </si>
  <si>
    <t>092923</t>
  </si>
  <si>
    <t>092924</t>
  </si>
  <si>
    <t>092925</t>
  </si>
  <si>
    <t>092926</t>
  </si>
  <si>
    <t>092927</t>
  </si>
  <si>
    <t>092928</t>
  </si>
  <si>
    <t>092929</t>
  </si>
  <si>
    <t>092930</t>
  </si>
  <si>
    <t>092931</t>
  </si>
  <si>
    <t>092932</t>
  </si>
  <si>
    <t>092933</t>
  </si>
  <si>
    <t>092934</t>
  </si>
  <si>
    <t>092935</t>
  </si>
  <si>
    <t>092936</t>
  </si>
  <si>
    <t>092937</t>
  </si>
  <si>
    <t>092938</t>
  </si>
  <si>
    <t>092939</t>
  </si>
  <si>
    <t>092940</t>
  </si>
  <si>
    <t>092941</t>
  </si>
  <si>
    <t>092942</t>
  </si>
  <si>
    <t>092943</t>
  </si>
  <si>
    <t>092944</t>
  </si>
  <si>
    <t>092945</t>
  </si>
  <si>
    <t>092946</t>
  </si>
  <si>
    <t>092947</t>
  </si>
  <si>
    <t>092948</t>
  </si>
  <si>
    <t>092949</t>
  </si>
  <si>
    <t>092950</t>
  </si>
  <si>
    <t>092951</t>
  </si>
  <si>
    <t>092952</t>
  </si>
  <si>
    <t>092953</t>
  </si>
  <si>
    <t>092954</t>
  </si>
  <si>
    <t>092955</t>
  </si>
  <si>
    <t>092956</t>
  </si>
  <si>
    <t>092957</t>
  </si>
  <si>
    <t>092958</t>
  </si>
  <si>
    <t>092959</t>
  </si>
  <si>
    <t>092960</t>
  </si>
  <si>
    <t>092961</t>
  </si>
  <si>
    <t>092962</t>
  </si>
  <si>
    <t>092963</t>
  </si>
  <si>
    <t>092964</t>
  </si>
  <si>
    <t>092966</t>
  </si>
  <si>
    <t>092967</t>
  </si>
  <si>
    <t>092968</t>
  </si>
  <si>
    <t>092969</t>
  </si>
  <si>
    <t>092970</t>
  </si>
  <si>
    <t>092971</t>
  </si>
  <si>
    <t>092972</t>
  </si>
  <si>
    <t>092976</t>
  </si>
  <si>
    <t>092977</t>
  </si>
  <si>
    <t>092978</t>
  </si>
  <si>
    <t>092979</t>
  </si>
  <si>
    <t>092980</t>
  </si>
  <si>
    <t>092981</t>
  </si>
  <si>
    <t>092982</t>
  </si>
  <si>
    <t>092983</t>
  </si>
  <si>
    <t>092984</t>
  </si>
  <si>
    <t>092985</t>
  </si>
  <si>
    <t>092986</t>
  </si>
  <si>
    <t>092987</t>
  </si>
  <si>
    <t>092988</t>
  </si>
  <si>
    <t>092989</t>
  </si>
  <si>
    <t>092990</t>
  </si>
  <si>
    <t>092991</t>
  </si>
  <si>
    <t>092992</t>
  </si>
  <si>
    <t>092993</t>
  </si>
  <si>
    <t>092994</t>
  </si>
  <si>
    <t>092995</t>
  </si>
  <si>
    <t>092996</t>
  </si>
  <si>
    <t>092997</t>
  </si>
  <si>
    <t>092998</t>
  </si>
  <si>
    <t>092999</t>
  </si>
  <si>
    <t>093000</t>
  </si>
  <si>
    <t>093001</t>
  </si>
  <si>
    <t>093002</t>
  </si>
  <si>
    <t>093003</t>
  </si>
  <si>
    <t>093004</t>
  </si>
  <si>
    <t>093005</t>
  </si>
  <si>
    <t>093006</t>
  </si>
  <si>
    <t>093007</t>
  </si>
  <si>
    <t>093008</t>
  </si>
  <si>
    <t>093009</t>
  </si>
  <si>
    <t>093010</t>
  </si>
  <si>
    <t>093011</t>
  </si>
  <si>
    <t>093012</t>
  </si>
  <si>
    <t>093013</t>
  </si>
  <si>
    <t>093014</t>
  </si>
  <si>
    <t>093015</t>
  </si>
  <si>
    <t>093016</t>
  </si>
  <si>
    <t>093017</t>
  </si>
  <si>
    <t>093018</t>
  </si>
  <si>
    <t>093019</t>
  </si>
  <si>
    <t>093037</t>
  </si>
  <si>
    <t>093038</t>
  </si>
  <si>
    <t>093039</t>
  </si>
  <si>
    <t>093040</t>
  </si>
  <si>
    <t>093041</t>
  </si>
  <si>
    <t>093042</t>
  </si>
  <si>
    <t>093043</t>
  </si>
  <si>
    <t>093044</t>
  </si>
  <si>
    <t>093045</t>
  </si>
  <si>
    <t>093046</t>
  </si>
  <si>
    <t>093047</t>
  </si>
  <si>
    <t>093048</t>
  </si>
  <si>
    <t>093049</t>
  </si>
  <si>
    <t>093050</t>
  </si>
  <si>
    <t>093051</t>
  </si>
  <si>
    <t>093052</t>
  </si>
  <si>
    <t>093053</t>
  </si>
  <si>
    <t>093054</t>
  </si>
  <si>
    <t>093055</t>
  </si>
  <si>
    <t>093056</t>
  </si>
  <si>
    <t>093057</t>
  </si>
  <si>
    <t>093058</t>
  </si>
  <si>
    <t>093083</t>
  </si>
  <si>
    <t>093084</t>
  </si>
  <si>
    <t>093085</t>
  </si>
  <si>
    <t>093086</t>
  </si>
  <si>
    <t>093087</t>
  </si>
  <si>
    <t>093088</t>
  </si>
  <si>
    <t>093089</t>
  </si>
  <si>
    <t>093098</t>
  </si>
  <si>
    <t>093099</t>
  </si>
  <si>
    <t>093100</t>
  </si>
  <si>
    <t>093101</t>
  </si>
  <si>
    <t>093102</t>
  </si>
  <si>
    <t>4744</t>
  </si>
  <si>
    <t>093103</t>
  </si>
  <si>
    <t>093104</t>
  </si>
  <si>
    <t>093105</t>
  </si>
  <si>
    <t>093106</t>
  </si>
  <si>
    <t>093107</t>
  </si>
  <si>
    <t>093108</t>
  </si>
  <si>
    <t>093109</t>
  </si>
  <si>
    <t>093110</t>
  </si>
  <si>
    <t>093111</t>
  </si>
  <si>
    <t>093112</t>
  </si>
  <si>
    <t>093113</t>
  </si>
  <si>
    <t>093114</t>
  </si>
  <si>
    <t>093115</t>
  </si>
  <si>
    <t>093116</t>
  </si>
  <si>
    <t>093117</t>
  </si>
  <si>
    <t>093118</t>
  </si>
  <si>
    <t>093119</t>
  </si>
  <si>
    <t>093120</t>
  </si>
  <si>
    <t>093121</t>
  </si>
  <si>
    <t>093122</t>
  </si>
  <si>
    <t>093123</t>
  </si>
  <si>
    <t>093124</t>
  </si>
  <si>
    <t>093125</t>
  </si>
  <si>
    <t>093126</t>
  </si>
  <si>
    <t>093127</t>
  </si>
  <si>
    <t>093128</t>
  </si>
  <si>
    <t>093129</t>
  </si>
  <si>
    <t>093130</t>
  </si>
  <si>
    <t>093131</t>
  </si>
  <si>
    <t>093132</t>
  </si>
  <si>
    <t>093133</t>
  </si>
  <si>
    <t>093134</t>
  </si>
  <si>
    <t>093135</t>
  </si>
  <si>
    <t>093136</t>
  </si>
  <si>
    <t>093137</t>
  </si>
  <si>
    <t>093138</t>
  </si>
  <si>
    <t>093139</t>
  </si>
  <si>
    <t>093140</t>
  </si>
  <si>
    <t>093141</t>
  </si>
  <si>
    <t>093142</t>
  </si>
  <si>
    <t>093143</t>
  </si>
  <si>
    <t>093144</t>
  </si>
  <si>
    <t>093145</t>
  </si>
  <si>
    <t>093146</t>
  </si>
  <si>
    <t>093147</t>
  </si>
  <si>
    <t>093148</t>
  </si>
  <si>
    <t>093149</t>
  </si>
  <si>
    <t>093150</t>
  </si>
  <si>
    <t>093151</t>
  </si>
  <si>
    <t>093152</t>
  </si>
  <si>
    <t>093153</t>
  </si>
  <si>
    <t>093154</t>
  </si>
  <si>
    <t>093155</t>
  </si>
  <si>
    <t>093156</t>
  </si>
  <si>
    <t>093157</t>
  </si>
  <si>
    <t>093158</t>
  </si>
  <si>
    <t>093159</t>
  </si>
  <si>
    <t>093160</t>
  </si>
  <si>
    <t>093161</t>
  </si>
  <si>
    <t>093162</t>
  </si>
  <si>
    <t>093163</t>
  </si>
  <si>
    <t>093164</t>
  </si>
  <si>
    <t>093165</t>
  </si>
  <si>
    <t>093172</t>
  </si>
  <si>
    <t>093173</t>
  </si>
  <si>
    <t>093174</t>
  </si>
  <si>
    <t>093175</t>
  </si>
  <si>
    <t>093176</t>
  </si>
  <si>
    <t>093177</t>
  </si>
  <si>
    <t>093178</t>
  </si>
  <si>
    <t>093179</t>
  </si>
  <si>
    <t>093180</t>
  </si>
  <si>
    <t>093181</t>
  </si>
  <si>
    <t>093182</t>
  </si>
  <si>
    <t>093183</t>
  </si>
  <si>
    <t>093184</t>
  </si>
  <si>
    <t>093185</t>
  </si>
  <si>
    <t>093186</t>
  </si>
  <si>
    <t>093187</t>
  </si>
  <si>
    <t>093188</t>
  </si>
  <si>
    <t>093189</t>
  </si>
  <si>
    <t>093190</t>
  </si>
  <si>
    <t>093191</t>
  </si>
  <si>
    <t>093192</t>
  </si>
  <si>
    <t>093193</t>
  </si>
  <si>
    <t>093194</t>
  </si>
  <si>
    <t>093195</t>
  </si>
  <si>
    <t>093196</t>
  </si>
  <si>
    <t>093197</t>
  </si>
  <si>
    <t>093198</t>
  </si>
  <si>
    <t>093199</t>
  </si>
  <si>
    <t>093200</t>
  </si>
  <si>
    <t>093201</t>
  </si>
  <si>
    <t>093202</t>
  </si>
  <si>
    <t>093203</t>
  </si>
  <si>
    <t>093204</t>
  </si>
  <si>
    <t>093205</t>
  </si>
  <si>
    <t>093218</t>
  </si>
  <si>
    <t>093219</t>
  </si>
  <si>
    <t>093220</t>
  </si>
  <si>
    <t>093221</t>
  </si>
  <si>
    <t>093222</t>
  </si>
  <si>
    <t>093223</t>
  </si>
  <si>
    <t>093224</t>
  </si>
  <si>
    <t>093225</t>
  </si>
  <si>
    <t>093226</t>
  </si>
  <si>
    <t>093227</t>
  </si>
  <si>
    <t>093228</t>
  </si>
  <si>
    <t>093229</t>
  </si>
  <si>
    <t>093230</t>
  </si>
  <si>
    <t>093231</t>
  </si>
  <si>
    <t>093240</t>
  </si>
  <si>
    <t>093241</t>
  </si>
  <si>
    <t>093242</t>
  </si>
  <si>
    <t>093243</t>
  </si>
  <si>
    <t>093244</t>
  </si>
  <si>
    <t>093250</t>
  </si>
  <si>
    <t>093251</t>
  </si>
  <si>
    <t>093252</t>
  </si>
  <si>
    <t>093253</t>
  </si>
  <si>
    <t>093254</t>
  </si>
  <si>
    <t>093255</t>
  </si>
  <si>
    <t>093267</t>
  </si>
  <si>
    <t>093268</t>
  </si>
  <si>
    <t>093269</t>
  </si>
  <si>
    <t>093270</t>
  </si>
  <si>
    <t>093271</t>
  </si>
  <si>
    <t>093272</t>
  </si>
  <si>
    <t>093273</t>
  </si>
  <si>
    <t>093274</t>
  </si>
  <si>
    <t>093275</t>
  </si>
  <si>
    <t>093276</t>
  </si>
  <si>
    <t>093277</t>
  </si>
  <si>
    <t>093278</t>
  </si>
  <si>
    <t>093279</t>
  </si>
  <si>
    <t>093280</t>
  </si>
  <si>
    <t>093281</t>
  </si>
  <si>
    <t>093282</t>
  </si>
  <si>
    <t>093299</t>
  </si>
  <si>
    <t>093300</t>
  </si>
  <si>
    <t>093301</t>
  </si>
  <si>
    <t>093302</t>
  </si>
  <si>
    <t>093307</t>
  </si>
  <si>
    <t>093308</t>
  </si>
  <si>
    <t>093309</t>
  </si>
  <si>
    <t>093310</t>
  </si>
  <si>
    <t>093315</t>
  </si>
  <si>
    <t>093316</t>
  </si>
  <si>
    <t>093317</t>
  </si>
  <si>
    <t>093318</t>
  </si>
  <si>
    <t>093319</t>
  </si>
  <si>
    <t>093320</t>
  </si>
  <si>
    <t>093321</t>
  </si>
  <si>
    <t>093322</t>
  </si>
  <si>
    <t>093323</t>
  </si>
  <si>
    <t>093324</t>
  </si>
  <si>
    <t>093325</t>
  </si>
  <si>
    <t>093326</t>
  </si>
  <si>
    <t>093327</t>
  </si>
  <si>
    <t>093328</t>
  </si>
  <si>
    <t>093329</t>
  </si>
  <si>
    <t>093330</t>
  </si>
  <si>
    <t>093331</t>
  </si>
  <si>
    <t>093332</t>
  </si>
  <si>
    <t>093333</t>
  </si>
  <si>
    <t>093334</t>
  </si>
  <si>
    <t>093335</t>
  </si>
  <si>
    <t>093336</t>
  </si>
  <si>
    <t>093337</t>
  </si>
  <si>
    <t>093338</t>
  </si>
  <si>
    <t>093339</t>
  </si>
  <si>
    <t>093340</t>
  </si>
  <si>
    <t>093341</t>
  </si>
  <si>
    <t>093342</t>
  </si>
  <si>
    <t>093343</t>
  </si>
  <si>
    <t>093344</t>
  </si>
  <si>
    <t>093345</t>
  </si>
  <si>
    <t>093346</t>
  </si>
  <si>
    <t>093347</t>
  </si>
  <si>
    <t>093348</t>
  </si>
  <si>
    <t>093349</t>
  </si>
  <si>
    <t>093350</t>
  </si>
  <si>
    <t>093351</t>
  </si>
  <si>
    <t>093352</t>
  </si>
  <si>
    <t>093353</t>
  </si>
  <si>
    <t>093354</t>
  </si>
  <si>
    <t>093355</t>
  </si>
  <si>
    <t>093356</t>
  </si>
  <si>
    <t>093357</t>
  </si>
  <si>
    <t>093358</t>
  </si>
  <si>
    <t>093359</t>
  </si>
  <si>
    <t>093360</t>
  </si>
  <si>
    <t>093361</t>
  </si>
  <si>
    <t>093362</t>
  </si>
  <si>
    <t>093363</t>
  </si>
  <si>
    <t>093364</t>
  </si>
  <si>
    <t>093365</t>
  </si>
  <si>
    <t>093366</t>
  </si>
  <si>
    <t>093367</t>
  </si>
  <si>
    <t>093368</t>
  </si>
  <si>
    <t>093369</t>
  </si>
  <si>
    <t>093370</t>
  </si>
  <si>
    <t>093371</t>
  </si>
  <si>
    <t>093372</t>
  </si>
  <si>
    <t>093373</t>
  </si>
  <si>
    <t>093374</t>
  </si>
  <si>
    <t>093375</t>
  </si>
  <si>
    <t>093376</t>
  </si>
  <si>
    <t>093377</t>
  </si>
  <si>
    <t>093378</t>
  </si>
  <si>
    <t>093379</t>
  </si>
  <si>
    <t>093380</t>
  </si>
  <si>
    <t>093381</t>
  </si>
  <si>
    <t>093382</t>
  </si>
  <si>
    <t>093383</t>
  </si>
  <si>
    <t>093384</t>
  </si>
  <si>
    <t>093385</t>
  </si>
  <si>
    <t>093386</t>
  </si>
  <si>
    <t>093387</t>
  </si>
  <si>
    <t>093388</t>
  </si>
  <si>
    <t>093389</t>
  </si>
  <si>
    <t>093390</t>
  </si>
  <si>
    <t>093391</t>
  </si>
  <si>
    <t>093392</t>
  </si>
  <si>
    <t>093397</t>
  </si>
  <si>
    <t>093398</t>
  </si>
  <si>
    <t>093399</t>
  </si>
  <si>
    <t>093400</t>
  </si>
  <si>
    <t>093401</t>
  </si>
  <si>
    <t>093402</t>
  </si>
  <si>
    <t>093403</t>
  </si>
  <si>
    <t>093404</t>
  </si>
  <si>
    <t>2532</t>
  </si>
  <si>
    <t>093429</t>
  </si>
  <si>
    <t>093430</t>
  </si>
  <si>
    <t>093431</t>
  </si>
  <si>
    <t>093432</t>
  </si>
  <si>
    <t>093433</t>
  </si>
  <si>
    <t>093434</t>
  </si>
  <si>
    <t>093435</t>
  </si>
  <si>
    <t>093436</t>
  </si>
  <si>
    <t>093437</t>
  </si>
  <si>
    <t>093438</t>
  </si>
  <si>
    <t>093439</t>
  </si>
  <si>
    <t>093440</t>
  </si>
  <si>
    <t>093441</t>
  </si>
  <si>
    <t>093442</t>
  </si>
  <si>
    <t>093443</t>
  </si>
  <si>
    <t>093444</t>
  </si>
  <si>
    <t>093445</t>
  </si>
  <si>
    <t>093446</t>
  </si>
  <si>
    <t>093447</t>
  </si>
  <si>
    <t>093448</t>
  </si>
  <si>
    <t>093449</t>
  </si>
  <si>
    <t>093450</t>
  </si>
  <si>
    <t>093451</t>
  </si>
  <si>
    <t>093452</t>
  </si>
  <si>
    <t>093453</t>
  </si>
  <si>
    <t>093454</t>
  </si>
  <si>
    <t>093455</t>
  </si>
  <si>
    <t>093456</t>
  </si>
  <si>
    <t>093457</t>
  </si>
  <si>
    <t>093458</t>
  </si>
  <si>
    <t>093459</t>
  </si>
  <si>
    <t>093460</t>
  </si>
  <si>
    <t>093467</t>
  </si>
  <si>
    <t>093468</t>
  </si>
  <si>
    <t>093469</t>
  </si>
  <si>
    <t>093470</t>
  </si>
  <si>
    <t>093471</t>
  </si>
  <si>
    <t>093472</t>
  </si>
  <si>
    <t>093473</t>
  </si>
  <si>
    <t>093474</t>
  </si>
  <si>
    <t>093475</t>
  </si>
  <si>
    <t>093476</t>
  </si>
  <si>
    <t>093477</t>
  </si>
  <si>
    <t>093478</t>
  </si>
  <si>
    <t>093479</t>
  </si>
  <si>
    <t>093480</t>
  </si>
  <si>
    <t>093481</t>
  </si>
  <si>
    <t>093482</t>
  </si>
  <si>
    <t>093483</t>
  </si>
  <si>
    <t>093484</t>
  </si>
  <si>
    <t>093485</t>
  </si>
  <si>
    <t>093486</t>
  </si>
  <si>
    <t>093487</t>
  </si>
  <si>
    <t>093488</t>
  </si>
  <si>
    <t>093489</t>
  </si>
  <si>
    <t>093490</t>
  </si>
  <si>
    <t>093491</t>
  </si>
  <si>
    <t>093492</t>
  </si>
  <si>
    <t>093493</t>
  </si>
  <si>
    <t>093494</t>
  </si>
  <si>
    <t>093495</t>
  </si>
  <si>
    <t>093496</t>
  </si>
  <si>
    <t>093497</t>
  </si>
  <si>
    <t>093498</t>
  </si>
  <si>
    <t>093499</t>
  </si>
  <si>
    <t>093500</t>
  </si>
  <si>
    <t>093501</t>
  </si>
  <si>
    <t>093502</t>
  </si>
  <si>
    <t>093503</t>
  </si>
  <si>
    <t>093504</t>
  </si>
  <si>
    <t>093505</t>
  </si>
  <si>
    <t>093506</t>
  </si>
  <si>
    <t>093507</t>
  </si>
  <si>
    <t>093508</t>
  </si>
  <si>
    <t>093509</t>
  </si>
  <si>
    <t>093510</t>
  </si>
  <si>
    <t>093511</t>
  </si>
  <si>
    <t>093512</t>
  </si>
  <si>
    <t>093513</t>
  </si>
  <si>
    <t>093514</t>
  </si>
  <si>
    <t>093529</t>
  </si>
  <si>
    <t>093530</t>
  </si>
  <si>
    <t>093531</t>
  </si>
  <si>
    <t>093532</t>
  </si>
  <si>
    <t>093533</t>
  </si>
  <si>
    <t>093534</t>
  </si>
  <si>
    <t>093535</t>
  </si>
  <si>
    <t>093536</t>
  </si>
  <si>
    <t>093537</t>
  </si>
  <si>
    <t>093538</t>
  </si>
  <si>
    <t>093539</t>
  </si>
  <si>
    <t>093540</t>
  </si>
  <si>
    <t>093541</t>
  </si>
  <si>
    <t>093542</t>
  </si>
  <si>
    <t>093543</t>
  </si>
  <si>
    <t>093544</t>
  </si>
  <si>
    <t>778/1</t>
  </si>
  <si>
    <t>129335</t>
  </si>
  <si>
    <t>820/1</t>
  </si>
  <si>
    <t>129336</t>
  </si>
  <si>
    <t>129519</t>
  </si>
  <si>
    <t>2012/40</t>
  </si>
  <si>
    <t>141787</t>
  </si>
  <si>
    <t>277</t>
  </si>
  <si>
    <t>142218</t>
  </si>
  <si>
    <t>278</t>
  </si>
  <si>
    <t>142219</t>
  </si>
  <si>
    <t>279</t>
  </si>
  <si>
    <t>142220</t>
  </si>
  <si>
    <t>280</t>
  </si>
  <si>
    <t>142221</t>
  </si>
  <si>
    <t>281</t>
  </si>
  <si>
    <t>142222</t>
  </si>
  <si>
    <t>282</t>
  </si>
  <si>
    <t>142223</t>
  </si>
  <si>
    <t>283</t>
  </si>
  <si>
    <t>142224</t>
  </si>
  <si>
    <t>285</t>
  </si>
  <si>
    <t>142225</t>
  </si>
  <si>
    <t>286</t>
  </si>
  <si>
    <t>142227</t>
  </si>
  <si>
    <t>290</t>
  </si>
  <si>
    <t>142228</t>
  </si>
  <si>
    <t>291</t>
  </si>
  <si>
    <t>142229</t>
  </si>
  <si>
    <t>294</t>
  </si>
  <si>
    <t>142230</t>
  </si>
  <si>
    <t>295</t>
  </si>
  <si>
    <t>142231</t>
  </si>
  <si>
    <t>296</t>
  </si>
  <si>
    <t>142232</t>
  </si>
  <si>
    <t>297</t>
  </si>
  <si>
    <t>142233</t>
  </si>
  <si>
    <t>284</t>
  </si>
  <si>
    <t>142234</t>
  </si>
  <si>
    <t>499/1</t>
  </si>
  <si>
    <t>176792</t>
  </si>
  <si>
    <t>6091</t>
  </si>
  <si>
    <t>177261</t>
  </si>
  <si>
    <t>6049</t>
  </si>
  <si>
    <t>177494</t>
  </si>
  <si>
    <t>5456</t>
  </si>
  <si>
    <t>177531</t>
  </si>
  <si>
    <t>5452</t>
  </si>
  <si>
    <t>177532</t>
  </si>
  <si>
    <t>7516</t>
  </si>
  <si>
    <t>177533</t>
  </si>
  <si>
    <t>7517</t>
  </si>
  <si>
    <t>177534</t>
  </si>
  <si>
    <t>7518</t>
  </si>
  <si>
    <t>177536</t>
  </si>
  <si>
    <t>7519</t>
  </si>
  <si>
    <t>177537</t>
  </si>
  <si>
    <t>7520</t>
  </si>
  <si>
    <t>177538</t>
  </si>
  <si>
    <t>7521</t>
  </si>
  <si>
    <t>177539</t>
  </si>
  <si>
    <t>5446</t>
  </si>
  <si>
    <t>177557</t>
  </si>
  <si>
    <t>7505</t>
  </si>
  <si>
    <t>177558</t>
  </si>
  <si>
    <t>7522</t>
  </si>
  <si>
    <t>177559</t>
  </si>
  <si>
    <t>7524</t>
  </si>
  <si>
    <t>177560</t>
  </si>
  <si>
    <t>7513</t>
  </si>
  <si>
    <t>177561</t>
  </si>
  <si>
    <t>7509</t>
  </si>
  <si>
    <t>177564</t>
  </si>
  <si>
    <t>6115</t>
  </si>
  <si>
    <t>177565</t>
  </si>
  <si>
    <t>177588</t>
  </si>
  <si>
    <t>5411</t>
  </si>
  <si>
    <t>177604</t>
  </si>
  <si>
    <t>177624</t>
  </si>
  <si>
    <t>6074</t>
  </si>
  <si>
    <t>177649</t>
  </si>
  <si>
    <t>6438</t>
  </si>
  <si>
    <t>177685</t>
  </si>
  <si>
    <t>6439</t>
  </si>
  <si>
    <t>177686</t>
  </si>
  <si>
    <t>6443</t>
  </si>
  <si>
    <t>177687</t>
  </si>
  <si>
    <t>6442</t>
  </si>
  <si>
    <t>177688</t>
  </si>
  <si>
    <t>6440</t>
  </si>
  <si>
    <t>177689</t>
  </si>
  <si>
    <t>6441</t>
  </si>
  <si>
    <t>177690</t>
  </si>
  <si>
    <t>6444</t>
  </si>
  <si>
    <t>177691</t>
  </si>
  <si>
    <t>6445</t>
  </si>
  <si>
    <t>177692</t>
  </si>
  <si>
    <t>6446</t>
  </si>
  <si>
    <t>177693</t>
  </si>
  <si>
    <t>6447</t>
  </si>
  <si>
    <t>177694</t>
  </si>
  <si>
    <t>6448</t>
  </si>
  <si>
    <t>177695</t>
  </si>
  <si>
    <t>6800</t>
  </si>
  <si>
    <t>177824</t>
  </si>
  <si>
    <t>6796</t>
  </si>
  <si>
    <t>177825</t>
  </si>
  <si>
    <t>6801</t>
  </si>
  <si>
    <t>177827</t>
  </si>
  <si>
    <t>6052</t>
  </si>
  <si>
    <t>177859</t>
  </si>
  <si>
    <t>5798</t>
  </si>
  <si>
    <t>177860</t>
  </si>
  <si>
    <t>5909</t>
  </si>
  <si>
    <t>177861</t>
  </si>
  <si>
    <t>5554</t>
  </si>
  <si>
    <t>177873</t>
  </si>
  <si>
    <t>5562</t>
  </si>
  <si>
    <t>177874</t>
  </si>
  <si>
    <t>5570</t>
  </si>
  <si>
    <t>177875</t>
  </si>
  <si>
    <t>6051</t>
  </si>
  <si>
    <t>177925</t>
  </si>
  <si>
    <t>44</t>
  </si>
  <si>
    <t>177938</t>
  </si>
  <si>
    <t>154</t>
  </si>
  <si>
    <t>177939</t>
  </si>
  <si>
    <t>177966</t>
  </si>
  <si>
    <t>312</t>
  </si>
  <si>
    <t>178052</t>
  </si>
  <si>
    <t>5668</t>
  </si>
  <si>
    <t>178053</t>
  </si>
  <si>
    <t>5277</t>
  </si>
  <si>
    <t>178054</t>
  </si>
  <si>
    <t>399</t>
  </si>
  <si>
    <t>178183</t>
  </si>
  <si>
    <t>2028</t>
  </si>
  <si>
    <t>178236</t>
  </si>
  <si>
    <t>178237</t>
  </si>
  <si>
    <t>5799</t>
  </si>
  <si>
    <t>178238</t>
  </si>
  <si>
    <t>178244</t>
  </si>
  <si>
    <t>2072</t>
  </si>
  <si>
    <t>178262</t>
  </si>
  <si>
    <t>2075</t>
  </si>
  <si>
    <t>178263</t>
  </si>
  <si>
    <t>2076</t>
  </si>
  <si>
    <t>178264</t>
  </si>
  <si>
    <t>2058</t>
  </si>
  <si>
    <t>178265</t>
  </si>
  <si>
    <t>255</t>
  </si>
  <si>
    <t>178303</t>
  </si>
  <si>
    <t>372</t>
  </si>
  <si>
    <t>178304</t>
  </si>
  <si>
    <t>254</t>
  </si>
  <si>
    <t>178305</t>
  </si>
  <si>
    <t>253</t>
  </si>
  <si>
    <t>178306</t>
  </si>
  <si>
    <t>172</t>
  </si>
  <si>
    <t>178307</t>
  </si>
  <si>
    <t>377</t>
  </si>
  <si>
    <t>178308</t>
  </si>
  <si>
    <t>171</t>
  </si>
  <si>
    <t>178309</t>
  </si>
  <si>
    <t>170</t>
  </si>
  <si>
    <t>178310</t>
  </si>
  <si>
    <t>178311</t>
  </si>
  <si>
    <t>178312</t>
  </si>
  <si>
    <t>178313</t>
  </si>
  <si>
    <t>178314</t>
  </si>
  <si>
    <t>178315</t>
  </si>
  <si>
    <t>178316</t>
  </si>
  <si>
    <t>178317</t>
  </si>
  <si>
    <t>178318</t>
  </si>
  <si>
    <t>178319</t>
  </si>
  <si>
    <t>178320</t>
  </si>
  <si>
    <t>178321</t>
  </si>
  <si>
    <t>178322</t>
  </si>
  <si>
    <t>178323</t>
  </si>
  <si>
    <t>178324</t>
  </si>
  <si>
    <t>178325</t>
  </si>
  <si>
    <t>178326</t>
  </si>
  <si>
    <t>1218/40</t>
  </si>
  <si>
    <t>178376</t>
  </si>
  <si>
    <t>7826</t>
  </si>
  <si>
    <t>178512</t>
  </si>
  <si>
    <t>6046</t>
  </si>
  <si>
    <t>178557</t>
  </si>
  <si>
    <t>7946</t>
  </si>
  <si>
    <t>178607</t>
  </si>
  <si>
    <t>5844</t>
  </si>
  <si>
    <t>178631</t>
  </si>
  <si>
    <t>5840</t>
  </si>
  <si>
    <t>178632</t>
  </si>
  <si>
    <t>5243</t>
  </si>
  <si>
    <t>178634</t>
  </si>
  <si>
    <t>7838</t>
  </si>
  <si>
    <t>178637</t>
  </si>
  <si>
    <t>2064</t>
  </si>
  <si>
    <t>178772</t>
  </si>
  <si>
    <t>5419</t>
  </si>
  <si>
    <t>178789</t>
  </si>
  <si>
    <t>178792</t>
  </si>
  <si>
    <t>315</t>
  </si>
  <si>
    <t>178793</t>
  </si>
  <si>
    <t>7976</t>
  </si>
  <si>
    <t>178818</t>
  </si>
  <si>
    <t>385</t>
  </si>
  <si>
    <t>179124</t>
  </si>
  <si>
    <t>4314</t>
  </si>
  <si>
    <t>179126</t>
  </si>
  <si>
    <t>179183</t>
  </si>
  <si>
    <t>179267</t>
  </si>
  <si>
    <t>7932</t>
  </si>
  <si>
    <t>179286</t>
  </si>
  <si>
    <t>7880</t>
  </si>
  <si>
    <t>179391</t>
  </si>
  <si>
    <t>1125/3</t>
  </si>
  <si>
    <t>179393</t>
  </si>
  <si>
    <t>7837</t>
  </si>
  <si>
    <t>179405</t>
  </si>
  <si>
    <t>6047</t>
  </si>
  <si>
    <t>179408</t>
  </si>
  <si>
    <t>7987</t>
  </si>
  <si>
    <t>179426</t>
  </si>
  <si>
    <t>7981</t>
  </si>
  <si>
    <t>179450</t>
  </si>
  <si>
    <t>7997</t>
  </si>
  <si>
    <t>179480</t>
  </si>
  <si>
    <t>7885</t>
  </si>
  <si>
    <t>179496</t>
  </si>
  <si>
    <t>1111</t>
  </si>
  <si>
    <t>179518</t>
  </si>
  <si>
    <t>7780</t>
  </si>
  <si>
    <t>179520</t>
  </si>
  <si>
    <t>5032</t>
  </si>
  <si>
    <t>179521</t>
  </si>
  <si>
    <t>184-418-2</t>
  </si>
  <si>
    <t>185-418-2</t>
  </si>
  <si>
    <t>2346-418-2</t>
  </si>
  <si>
    <t>3053-418-2</t>
  </si>
  <si>
    <t>3054-418-2</t>
  </si>
  <si>
    <t>186-418-3</t>
  </si>
  <si>
    <t>187-418-3</t>
  </si>
  <si>
    <t>189-418-3</t>
  </si>
  <si>
    <t>192-418-3</t>
  </si>
  <si>
    <t>193-418-3</t>
  </si>
  <si>
    <t>194-418-3</t>
  </si>
  <si>
    <t>2701-418-3</t>
  </si>
  <si>
    <t>480-658-1</t>
  </si>
  <si>
    <t>2742-658-1</t>
  </si>
  <si>
    <t>482-658-2</t>
  </si>
  <si>
    <t>485-658-2</t>
  </si>
  <si>
    <t>486-658-2</t>
  </si>
  <si>
    <t>2744-658-2</t>
  </si>
  <si>
    <t>487-658-3</t>
  </si>
  <si>
    <t>491-658-3</t>
  </si>
  <si>
    <t>493-658-3</t>
  </si>
  <si>
    <t>84-385-2</t>
  </si>
  <si>
    <t>85-385-2</t>
  </si>
  <si>
    <t>86-385-2</t>
  </si>
  <si>
    <t>88-385-2</t>
  </si>
  <si>
    <t>90-385-2</t>
  </si>
  <si>
    <t>3214-385-2</t>
  </si>
  <si>
    <t>3215-385-2</t>
  </si>
  <si>
    <t>97-385-3</t>
  </si>
  <si>
    <t>98-385-3</t>
  </si>
  <si>
    <t>99-385-3</t>
  </si>
  <si>
    <t>101-385-3</t>
  </si>
  <si>
    <t>103-385-3</t>
  </si>
  <si>
    <t>4722-385-3</t>
  </si>
  <si>
    <t>5000-385-3</t>
  </si>
  <si>
    <t>110-385-5</t>
  </si>
  <si>
    <t>111-385-5</t>
  </si>
  <si>
    <t>112-385-5</t>
  </si>
  <si>
    <t>2205-385-5</t>
  </si>
  <si>
    <t>116-385-5</t>
  </si>
  <si>
    <t>3766-385-5</t>
  </si>
  <si>
    <t>5061-385-5</t>
  </si>
  <si>
    <t>873-735-25</t>
  </si>
  <si>
    <t>877-735-25</t>
  </si>
  <si>
    <t>879-735-25</t>
  </si>
  <si>
    <t>2376-735-25</t>
  </si>
  <si>
    <t>876-735-25</t>
  </si>
  <si>
    <t>878-735-25</t>
  </si>
  <si>
    <t>880-735-25</t>
  </si>
  <si>
    <t>4989-735-25</t>
  </si>
  <si>
    <t>4990-735-25</t>
  </si>
  <si>
    <t>882-735-35</t>
  </si>
  <si>
    <t>884-735-35</t>
  </si>
  <si>
    <t>889-735-35</t>
  </si>
  <si>
    <t>891-735-35</t>
  </si>
  <si>
    <t>883-735-35</t>
  </si>
  <si>
    <t>885-735-35</t>
  </si>
  <si>
    <t>890-735-35</t>
  </si>
  <si>
    <t>4991-735-35</t>
  </si>
  <si>
    <t>892-735-35</t>
  </si>
  <si>
    <t>894-735-50</t>
  </si>
  <si>
    <t>899-735-50</t>
  </si>
  <si>
    <t>901-735-50</t>
  </si>
  <si>
    <t>4992-735-50</t>
  </si>
  <si>
    <t>4993-735-50</t>
  </si>
  <si>
    <t>895-735-50</t>
  </si>
  <si>
    <t>896-735-50</t>
  </si>
  <si>
    <t>900-735-50</t>
  </si>
  <si>
    <t>902-735-50</t>
  </si>
  <si>
    <t>1349-812-60</t>
  </si>
  <si>
    <t>1350-812-60</t>
  </si>
  <si>
    <t>1351-812-60</t>
  </si>
  <si>
    <t>4324-812-60</t>
  </si>
  <si>
    <t>1901-812-60</t>
  </si>
  <si>
    <t>2207-812-60</t>
  </si>
  <si>
    <t>4968-812-60</t>
  </si>
  <si>
    <t>4969-812-60</t>
  </si>
  <si>
    <t>1875-812-120</t>
  </si>
  <si>
    <t>1893-812-120</t>
  </si>
  <si>
    <t>2041-812-120</t>
  </si>
  <si>
    <t>1900-812-120</t>
  </si>
  <si>
    <t>4970-812-120</t>
  </si>
  <si>
    <t>4971-812-120</t>
  </si>
  <si>
    <t>2111-812-120</t>
  </si>
  <si>
    <t>1433-824-30</t>
  </si>
  <si>
    <t>1434-824-30</t>
  </si>
  <si>
    <t>2537-824-30</t>
  </si>
  <si>
    <t>1435-824-30</t>
  </si>
  <si>
    <t>2252-824-30</t>
  </si>
  <si>
    <t>4912-824-30</t>
  </si>
  <si>
    <t>1438-824-30-30</t>
  </si>
  <si>
    <t>1439-824-30-30</t>
  </si>
  <si>
    <t>2206-824-30-30</t>
  </si>
  <si>
    <t>1437-824-30-30</t>
  </si>
  <si>
    <t>1440-824-30-30</t>
  </si>
  <si>
    <t>2452-824-30-30</t>
  </si>
  <si>
    <t>1441-824-30-40</t>
  </si>
  <si>
    <t>1443-824-30-40</t>
  </si>
  <si>
    <t>1445-824-30-40</t>
  </si>
  <si>
    <t>1446-824-30-40</t>
  </si>
  <si>
    <t>1444-824-30-40</t>
  </si>
  <si>
    <t>4915-824-30-40</t>
  </si>
  <si>
    <t>1447-825-30</t>
  </si>
  <si>
    <t>1449-825-30</t>
  </si>
  <si>
    <t>1892-825-30</t>
  </si>
  <si>
    <t>1450-825-30</t>
  </si>
  <si>
    <t>4967-825-30</t>
  </si>
  <si>
    <t>1451-825-30</t>
  </si>
  <si>
    <t>122-386-3</t>
  </si>
  <si>
    <t>123-386-3</t>
  </si>
  <si>
    <t>124-386-3</t>
  </si>
  <si>
    <t>126-386-3</t>
  </si>
  <si>
    <t>3538-386-3</t>
  </si>
  <si>
    <t>3211-386-3</t>
  </si>
  <si>
    <t>5005-386-3</t>
  </si>
  <si>
    <t>131-386-5</t>
  </si>
  <si>
    <t>132-386-5</t>
  </si>
  <si>
    <t>133-386-5</t>
  </si>
  <si>
    <t>3537-386-5</t>
  </si>
  <si>
    <t>135-386-5</t>
  </si>
  <si>
    <t>5002-386-5</t>
  </si>
  <si>
    <t>5003-386-5</t>
  </si>
  <si>
    <t>166-415-1</t>
  </si>
  <si>
    <t>167-415-1</t>
  </si>
  <si>
    <t>169-415-1</t>
  </si>
  <si>
    <t>170-415-1</t>
  </si>
  <si>
    <t>172-415-1</t>
  </si>
  <si>
    <t>173-415-1</t>
  </si>
  <si>
    <t>174-415-1</t>
  </si>
  <si>
    <t>2519-415-1</t>
  </si>
  <si>
    <t>217-432-1</t>
  </si>
  <si>
    <t>218-432-1</t>
  </si>
  <si>
    <t>2954-432-1</t>
  </si>
  <si>
    <t>3731-432-1</t>
  </si>
  <si>
    <t>5013-432-1</t>
  </si>
  <si>
    <t>220-432-4</t>
  </si>
  <si>
    <t>227-432-4</t>
  </si>
  <si>
    <t>228-432-4</t>
  </si>
  <si>
    <t>223-432-4</t>
  </si>
  <si>
    <t>2240-432-4</t>
  </si>
  <si>
    <t>2468-432-4</t>
  </si>
  <si>
    <t>299-499-1</t>
  </si>
  <si>
    <t>300-499-1</t>
  </si>
  <si>
    <t>301-499-1</t>
  </si>
  <si>
    <t>302-499-1</t>
  </si>
  <si>
    <t>304-499-1</t>
  </si>
  <si>
    <t>305-499-1</t>
  </si>
  <si>
    <t>306-499-1</t>
  </si>
  <si>
    <t>1942-499-1</t>
  </si>
  <si>
    <t>330-633-1</t>
  </si>
  <si>
    <t>2723-633-1</t>
  </si>
  <si>
    <t>331-633-1</t>
  </si>
  <si>
    <t>332-633-1</t>
  </si>
  <si>
    <t>2725-633-1</t>
  </si>
  <si>
    <t>2082-633-1</t>
  </si>
  <si>
    <t>2238-633-1</t>
  </si>
  <si>
    <t>338-633-3</t>
  </si>
  <si>
    <t>339-633-3</t>
  </si>
  <si>
    <t>340-633-3</t>
  </si>
  <si>
    <t>2255-633-3</t>
  </si>
  <si>
    <t>2724-633-3</t>
  </si>
  <si>
    <t>4676-633-3</t>
  </si>
  <si>
    <t>4880-633-3</t>
  </si>
  <si>
    <t>342-634-1</t>
  </si>
  <si>
    <t>344-634-1</t>
  </si>
  <si>
    <t>346-634-1</t>
  </si>
  <si>
    <t>4985-634-1</t>
  </si>
  <si>
    <t>343-634-1</t>
  </si>
  <si>
    <t>345-634-1</t>
  </si>
  <si>
    <t>2050-634-1</t>
  </si>
  <si>
    <t>350-636-1</t>
  </si>
  <si>
    <t>351-636-1</t>
  </si>
  <si>
    <t>2261-636-1</t>
  </si>
  <si>
    <t>3614-636-1</t>
  </si>
  <si>
    <t>352-636-3</t>
  </si>
  <si>
    <t>353-636-3</t>
  </si>
  <si>
    <t>355-636-3</t>
  </si>
  <si>
    <t>1871-636-3</t>
  </si>
  <si>
    <t>2666-636-3</t>
  </si>
  <si>
    <t>2836-636-3</t>
  </si>
  <si>
    <t>810-723-8</t>
  </si>
  <si>
    <t>811-723-8</t>
  </si>
  <si>
    <t>812-723-8</t>
  </si>
  <si>
    <t>813-723-8</t>
  </si>
  <si>
    <t>815-723-8</t>
  </si>
  <si>
    <t>816-723-8</t>
  </si>
  <si>
    <t>817-723-8</t>
  </si>
  <si>
    <t>2481-723-8</t>
  </si>
  <si>
    <t>809-723-8</t>
  </si>
  <si>
    <t>4988-723-8</t>
  </si>
  <si>
    <t>796-723-12</t>
  </si>
  <si>
    <t>797-723-12</t>
  </si>
  <si>
    <t>798-723-12</t>
  </si>
  <si>
    <t>799-723-12</t>
  </si>
  <si>
    <t>800-723-12</t>
  </si>
  <si>
    <t>802-723-12</t>
  </si>
  <si>
    <t>804-723-12</t>
  </si>
  <si>
    <t>805-723-12</t>
  </si>
  <si>
    <t>2482-723-12</t>
  </si>
  <si>
    <t>2563-723-12</t>
  </si>
  <si>
    <t>3723-723-12</t>
  </si>
  <si>
    <t>837-732-1</t>
  </si>
  <si>
    <t>838-732-1</t>
  </si>
  <si>
    <t>840-732-1</t>
  </si>
  <si>
    <t>841-732-1</t>
  </si>
  <si>
    <t>843-732-1</t>
  </si>
  <si>
    <t>844-732-1</t>
  </si>
  <si>
    <t>846-732-1</t>
  </si>
  <si>
    <t>847-732-1</t>
  </si>
  <si>
    <t>849-733-3</t>
  </si>
  <si>
    <t>851-733-3</t>
  </si>
  <si>
    <t>852-733-3</t>
  </si>
  <si>
    <t>854-733-3</t>
  </si>
  <si>
    <t>855-733-3</t>
  </si>
  <si>
    <t>856-733-3</t>
  </si>
  <si>
    <t>858-733-3</t>
  </si>
  <si>
    <t>859-733-3</t>
  </si>
  <si>
    <t>2353-733-3</t>
  </si>
  <si>
    <t>2998-733-3</t>
  </si>
  <si>
    <t>860-733-6</t>
  </si>
  <si>
    <t>861-733-6</t>
  </si>
  <si>
    <t>862-733-6</t>
  </si>
  <si>
    <t>863-733-6</t>
  </si>
  <si>
    <t>865-733-6</t>
  </si>
  <si>
    <t>866-733-6</t>
  </si>
  <si>
    <t>867-733-6</t>
  </si>
  <si>
    <t>868-733-6</t>
  </si>
  <si>
    <t>870-733-6</t>
  </si>
  <si>
    <t>871-733-6</t>
  </si>
  <si>
    <t>903-736-35</t>
  </si>
  <si>
    <t>905-736-35</t>
  </si>
  <si>
    <t>4994-736-35</t>
  </si>
  <si>
    <t>908-736-35</t>
  </si>
  <si>
    <t>904-736-35</t>
  </si>
  <si>
    <t>906-736-35</t>
  </si>
  <si>
    <t>907-736-35</t>
  </si>
  <si>
    <t>909-736-35</t>
  </si>
  <si>
    <t>911-736-50</t>
  </si>
  <si>
    <t>913-736-50</t>
  </si>
  <si>
    <t>4997-736-50</t>
  </si>
  <si>
    <t>916-736-50</t>
  </si>
  <si>
    <t>912-736-50</t>
  </si>
  <si>
    <t>914-736-50</t>
  </si>
  <si>
    <t>915-736-50</t>
  </si>
  <si>
    <t>917-736-50</t>
  </si>
  <si>
    <t>928-743-6</t>
  </si>
  <si>
    <t>930-743-6</t>
  </si>
  <si>
    <t>932-743-6</t>
  </si>
  <si>
    <t>933-743-6</t>
  </si>
  <si>
    <t>934-743-6</t>
  </si>
  <si>
    <t>935-743-6</t>
  </si>
  <si>
    <t>936-743-6</t>
  </si>
  <si>
    <t>937-743-6</t>
  </si>
  <si>
    <t>1887-743-6</t>
  </si>
  <si>
    <t>1007-778-1</t>
  </si>
  <si>
    <t>1010-778-1</t>
  </si>
  <si>
    <t>1011-778-1</t>
  </si>
  <si>
    <t>1014-778-1</t>
  </si>
  <si>
    <t>1015-778-1</t>
  </si>
  <si>
    <t>1018-778-1</t>
  </si>
  <si>
    <t>1020-778-1</t>
  </si>
  <si>
    <t>1041-779-1</t>
  </si>
  <si>
    <t>1044-779-1</t>
  </si>
  <si>
    <t>1045-779-1</t>
  </si>
  <si>
    <t>1048-779-1</t>
  </si>
  <si>
    <t>1049-779-1</t>
  </si>
  <si>
    <t>1037-779-1</t>
  </si>
  <si>
    <t>1035-779-1</t>
  </si>
  <si>
    <t>1055-782-20</t>
  </si>
  <si>
    <t>1056-782-20</t>
  </si>
  <si>
    <t>1057-782-20</t>
  </si>
  <si>
    <t>1058-782-20</t>
  </si>
  <si>
    <t>1925-782-20</t>
  </si>
  <si>
    <t>1948-782-20</t>
  </si>
  <si>
    <t>3073-782-20</t>
  </si>
  <si>
    <t>1059-782-25</t>
  </si>
  <si>
    <t>1060-782-25</t>
  </si>
  <si>
    <t>1061-782-25</t>
  </si>
  <si>
    <t>1062-782-25</t>
  </si>
  <si>
    <t>1969-782-25</t>
  </si>
  <si>
    <t>2196-782-25</t>
  </si>
  <si>
    <t>2807-782-25</t>
  </si>
  <si>
    <t>1064-784-2</t>
  </si>
  <si>
    <t>1065-784-2</t>
  </si>
  <si>
    <t>1066-784-2</t>
  </si>
  <si>
    <t>1067-784-2</t>
  </si>
  <si>
    <t>1068-784-2</t>
  </si>
  <si>
    <t>1069-784-2</t>
  </si>
  <si>
    <t>1071-784-2</t>
  </si>
  <si>
    <t>1924-784-2</t>
  </si>
  <si>
    <t>4938-784-2</t>
  </si>
  <si>
    <t>2317-784-2</t>
  </si>
  <si>
    <t>2022-786-1</t>
  </si>
  <si>
    <t>2155-786-1</t>
  </si>
  <si>
    <t>2158-786-1</t>
  </si>
  <si>
    <t>4944-786-1</t>
  </si>
  <si>
    <t>2159-786-1</t>
  </si>
  <si>
    <t>1077-786-1</t>
  </si>
  <si>
    <t>1081-786-1</t>
  </si>
  <si>
    <t>1082-786-1</t>
  </si>
  <si>
    <t>1086-786-1</t>
  </si>
  <si>
    <t>1888-786-1</t>
  </si>
  <si>
    <t>2328-786-1</t>
  </si>
  <si>
    <t>4945-786-1</t>
  </si>
  <si>
    <t>1073-786-1</t>
  </si>
  <si>
    <t>1075-786-1</t>
  </si>
  <si>
    <t>1076-786-1</t>
  </si>
  <si>
    <t>1080-786-1</t>
  </si>
  <si>
    <t>1085-786-1</t>
  </si>
  <si>
    <t>1089-786-1</t>
  </si>
  <si>
    <t>1162-795-1</t>
  </si>
  <si>
    <t>1163-795-1</t>
  </si>
  <si>
    <t>1166-795-1</t>
  </si>
  <si>
    <t>1170-795-1</t>
  </si>
  <si>
    <t>1185-799-1</t>
  </si>
  <si>
    <t>1187-799-1</t>
  </si>
  <si>
    <t>1189-799-1</t>
  </si>
  <si>
    <t>1191-799-1</t>
  </si>
  <si>
    <t>1193-799-1</t>
  </si>
  <si>
    <t>2233-799-1</t>
  </si>
  <si>
    <t>2343-799-1</t>
  </si>
  <si>
    <t>2639-799-1</t>
  </si>
  <si>
    <t>4738-799-1</t>
  </si>
  <si>
    <t>1184-799-1</t>
  </si>
  <si>
    <t>1186-799-1</t>
  </si>
  <si>
    <t>1188-799-1</t>
  </si>
  <si>
    <t>1190-799-1</t>
  </si>
  <si>
    <t>1192-799-1</t>
  </si>
  <si>
    <t>4340-799-1</t>
  </si>
  <si>
    <t>4850-799-1</t>
  </si>
  <si>
    <t>4954-799-1</t>
  </si>
  <si>
    <t>4887-799-1</t>
  </si>
  <si>
    <t>1194-800-2</t>
  </si>
  <si>
    <t>1195-800-2</t>
  </si>
  <si>
    <t>1196-800-2</t>
  </si>
  <si>
    <t>1197-800-2</t>
  </si>
  <si>
    <t>1199-800-2</t>
  </si>
  <si>
    <t>1200-800-2</t>
  </si>
  <si>
    <t>1201-800-2</t>
  </si>
  <si>
    <t>1202-800-2</t>
  </si>
  <si>
    <t>1203-800-2</t>
  </si>
  <si>
    <t>3834-800-2</t>
  </si>
  <si>
    <t>1250-804-3</t>
  </si>
  <si>
    <t>3727-804-4</t>
  </si>
  <si>
    <t>1252-804-4</t>
  </si>
  <si>
    <t>1257-804-4</t>
  </si>
  <si>
    <t>1258-804-4</t>
  </si>
  <si>
    <t>1262-804-4</t>
  </si>
  <si>
    <t>1255-804-4</t>
  </si>
  <si>
    <t>1251-804-4</t>
  </si>
  <si>
    <t>1260-804-4</t>
  </si>
  <si>
    <t>3072-804-4</t>
  </si>
  <si>
    <t>4927-804-4</t>
  </si>
  <si>
    <t>4926-804-4</t>
  </si>
  <si>
    <t>4928-804-4</t>
  </si>
  <si>
    <t>4929-804-4</t>
  </si>
  <si>
    <t>1273-806-3</t>
  </si>
  <si>
    <t>1275-806-3</t>
  </si>
  <si>
    <t>1276-806-3</t>
  </si>
  <si>
    <t>1277-806-3</t>
  </si>
  <si>
    <t>1278-806-3</t>
  </si>
  <si>
    <t>1279-806-3</t>
  </si>
  <si>
    <t>1280-806-3</t>
  </si>
  <si>
    <t>1281-806-3</t>
  </si>
  <si>
    <t>1926-806-3</t>
  </si>
  <si>
    <t>1282-806-5</t>
  </si>
  <si>
    <t>1286-806-5</t>
  </si>
  <si>
    <t>1288-806-5</t>
  </si>
  <si>
    <t>1289-806-5</t>
  </si>
  <si>
    <t>3255-806-5</t>
  </si>
  <si>
    <t>2324-806-5</t>
  </si>
  <si>
    <t>1290-806-5</t>
  </si>
  <si>
    <t>1297-806-5</t>
  </si>
  <si>
    <t>1285-806-5</t>
  </si>
  <si>
    <t>1299-807-4</t>
  </si>
  <si>
    <t>1301-807-4</t>
  </si>
  <si>
    <t>1305-807-4</t>
  </si>
  <si>
    <t>1307-807-4</t>
  </si>
  <si>
    <t>1944-807-4</t>
  </si>
  <si>
    <t>3866-807-4</t>
  </si>
  <si>
    <t>1332-810-120</t>
  </si>
  <si>
    <t>1333-810-120</t>
  </si>
  <si>
    <t>1848-810-120</t>
  </si>
  <si>
    <t>4879-810-120</t>
  </si>
  <si>
    <t>2584-810-120</t>
  </si>
  <si>
    <t>1334-810-120</t>
  </si>
  <si>
    <t>4327-810-120</t>
  </si>
  <si>
    <t>4978-810-120</t>
  </si>
  <si>
    <t>1335-810-60</t>
  </si>
  <si>
    <t>1338-810-60</t>
  </si>
  <si>
    <t>5045-810-60</t>
  </si>
  <si>
    <t>5046-810-60</t>
  </si>
  <si>
    <t>1339-810-60</t>
  </si>
  <si>
    <t>1336-810-60</t>
  </si>
  <si>
    <t>5047-810-60</t>
  </si>
  <si>
    <t>5048-810-60</t>
  </si>
  <si>
    <t>1340-811-60</t>
  </si>
  <si>
    <t>1344-811-60</t>
  </si>
  <si>
    <t>1937-811-60</t>
  </si>
  <si>
    <t>2025-811-120</t>
  </si>
  <si>
    <t>2138-811-120</t>
  </si>
  <si>
    <t>2264-811-120</t>
  </si>
  <si>
    <t>2265-811-120</t>
  </si>
  <si>
    <t>2494-811-120</t>
  </si>
  <si>
    <t>1341-811-120</t>
  </si>
  <si>
    <t>1342-811-120</t>
  </si>
  <si>
    <t>1343-811-120</t>
  </si>
  <si>
    <t>1345-811-120</t>
  </si>
  <si>
    <t>1346-811-120</t>
  </si>
  <si>
    <t>1347-811-120</t>
  </si>
  <si>
    <t>1870-811-120</t>
  </si>
  <si>
    <t>2184-811-120</t>
  </si>
  <si>
    <t>4400-811-120</t>
  </si>
  <si>
    <t>1364-814-120</t>
  </si>
  <si>
    <t>2019-814-120</t>
  </si>
  <si>
    <t>1361-814-120</t>
  </si>
  <si>
    <t>1365-814-120</t>
  </si>
  <si>
    <t>2253-828-2</t>
  </si>
  <si>
    <t>3178-828-2</t>
  </si>
  <si>
    <t>3893-828-2</t>
  </si>
  <si>
    <t>4686-828-2</t>
  </si>
  <si>
    <t>1459-828-2</t>
  </si>
  <si>
    <t>1460-828-2</t>
  </si>
  <si>
    <t>1461-828-2</t>
  </si>
  <si>
    <t>1913-828-2</t>
  </si>
  <si>
    <t>1456-827-30</t>
  </si>
  <si>
    <t>1457-827-30</t>
  </si>
  <si>
    <t>2359-827-30</t>
  </si>
  <si>
    <t>2373-827-30</t>
  </si>
  <si>
    <t>1880-827-30</t>
  </si>
  <si>
    <t>2201-827-30</t>
  </si>
  <si>
    <t>1462-829-3</t>
  </si>
  <si>
    <t>3068-829-3</t>
  </si>
  <si>
    <t>3253-829-3</t>
  </si>
  <si>
    <t>2208-829-3</t>
  </si>
  <si>
    <t>4972-829-3</t>
  </si>
  <si>
    <t>3011-829-3</t>
  </si>
  <si>
    <t>1463-830-1</t>
  </si>
  <si>
    <t>1465-830-1</t>
  </si>
  <si>
    <t>1466-830-1</t>
  </si>
  <si>
    <t>1467-830-1</t>
  </si>
  <si>
    <t>1468-830-1</t>
  </si>
  <si>
    <t>1861-830-1</t>
  </si>
  <si>
    <t>2124-830-1</t>
  </si>
  <si>
    <t>2164-830-1</t>
  </si>
  <si>
    <t>4709-830-1</t>
  </si>
  <si>
    <t>4867-830-1</t>
  </si>
  <si>
    <t>2125-830-1</t>
  </si>
  <si>
    <t>2140-830-1</t>
  </si>
  <si>
    <t>2203-830-1</t>
  </si>
  <si>
    <t>2204-830-1</t>
  </si>
  <si>
    <t>3136-830-1</t>
  </si>
  <si>
    <t>4973-830-1</t>
  </si>
  <si>
    <t>4974-830-1</t>
  </si>
  <si>
    <t>4975-830-1</t>
  </si>
  <si>
    <t>4976-830-1</t>
  </si>
  <si>
    <t>4977-830-1</t>
  </si>
  <si>
    <t>1475-832-1</t>
  </si>
  <si>
    <t>1476-832-1</t>
  </si>
  <si>
    <t>1478-832-1</t>
  </si>
  <si>
    <t>1479-832-1</t>
  </si>
  <si>
    <t>1480-832-1</t>
  </si>
  <si>
    <t>1481-832-1</t>
  </si>
  <si>
    <t>1482-832-1</t>
  </si>
  <si>
    <t>2825-832-1</t>
  </si>
  <si>
    <t>4389-832-1</t>
  </si>
  <si>
    <t>716-709-1</t>
  </si>
  <si>
    <t>718-709-1</t>
  </si>
  <si>
    <t>719-709-1</t>
  </si>
  <si>
    <t>725-709-1</t>
  </si>
  <si>
    <t>728-709-1</t>
  </si>
  <si>
    <t>729-709-1</t>
  </si>
  <si>
    <t>730-709-1</t>
  </si>
  <si>
    <t>1656-709-1</t>
  </si>
  <si>
    <t>1657-709-1</t>
  </si>
  <si>
    <t>1863-709-1</t>
  </si>
  <si>
    <t>1994-709-1</t>
  </si>
  <si>
    <t>2566-709-1</t>
  </si>
  <si>
    <t>2573-709-1</t>
  </si>
  <si>
    <t>2640-709-1</t>
  </si>
  <si>
    <t>3034-709-1</t>
  </si>
  <si>
    <t>4698-709-</t>
  </si>
  <si>
    <t>820-727-1</t>
  </si>
  <si>
    <t>821-727-1</t>
  </si>
  <si>
    <t>824-727-1</t>
  </si>
  <si>
    <t>828-727-1</t>
  </si>
  <si>
    <t>829-727-1</t>
  </si>
  <si>
    <t>831-727-1</t>
  </si>
  <si>
    <t>832-727-1</t>
  </si>
  <si>
    <t>833-727-1</t>
  </si>
  <si>
    <t>834-727-1</t>
  </si>
  <si>
    <t>836-727-1</t>
  </si>
  <si>
    <t>2200-727-1</t>
  </si>
  <si>
    <t>2491-727-1</t>
  </si>
  <si>
    <t>2575-727-1</t>
  </si>
  <si>
    <t>2822-727-1</t>
  </si>
  <si>
    <t>965-757-1</t>
  </si>
  <si>
    <t>966-757-1</t>
  </si>
  <si>
    <t>967-757-1</t>
  </si>
  <si>
    <t>968-757-1</t>
  </si>
  <si>
    <t>969-757-1</t>
  </si>
  <si>
    <t>971-757-1</t>
  </si>
  <si>
    <t>3193-757-1</t>
  </si>
  <si>
    <t>974-761-1</t>
  </si>
  <si>
    <t>975-761-1</t>
  </si>
  <si>
    <t>977-761-1</t>
  </si>
  <si>
    <t>978-761-1</t>
  </si>
  <si>
    <t>980-761-1</t>
  </si>
  <si>
    <t>982-761-1</t>
  </si>
  <si>
    <t>2088-761-1</t>
  </si>
  <si>
    <t>997-777-1</t>
  </si>
  <si>
    <t>999-777-1</t>
  </si>
  <si>
    <t>1000-777-1</t>
  </si>
  <si>
    <t>1001-777-1</t>
  </si>
  <si>
    <t>1002-777-1</t>
  </si>
  <si>
    <t>1003-777-1</t>
  </si>
  <si>
    <t>1004-777-1</t>
  </si>
  <si>
    <t>1090-787-2</t>
  </si>
  <si>
    <t>1091-787-2</t>
  </si>
  <si>
    <t>1093-787-2</t>
  </si>
  <si>
    <t>1094-787-2</t>
  </si>
  <si>
    <t>1095-787-2</t>
  </si>
  <si>
    <t>1096-787-2</t>
  </si>
  <si>
    <t>2003-787-2</t>
  </si>
  <si>
    <t>2076-787-2</t>
  </si>
  <si>
    <t>2316-787-2</t>
  </si>
  <si>
    <t>2672-787-2</t>
  </si>
  <si>
    <t>1098-788-3</t>
  </si>
  <si>
    <t>1099-788-3</t>
  </si>
  <si>
    <t>1100-788-3</t>
  </si>
  <si>
    <t>1101-788-3</t>
  </si>
  <si>
    <t>1102-788-3</t>
  </si>
  <si>
    <t>1103-788-3</t>
  </si>
  <si>
    <t>1936-788-3</t>
  </si>
  <si>
    <t>2053-788-3</t>
  </si>
  <si>
    <t>2072-788-3</t>
  </si>
  <si>
    <t>2256-788-3</t>
  </si>
  <si>
    <t>1115-790-1</t>
  </si>
  <si>
    <t>1116-790-1</t>
  </si>
  <si>
    <t>1118-790-1</t>
  </si>
  <si>
    <t>1122-790-1</t>
  </si>
  <si>
    <t>1124-790-1</t>
  </si>
  <si>
    <t>1127-790-1</t>
  </si>
  <si>
    <t>1117-790-1</t>
  </si>
  <si>
    <t>1119-790-1</t>
  </si>
  <si>
    <t>1123-790-1</t>
  </si>
  <si>
    <t>4955-790-1</t>
  </si>
  <si>
    <t>2120-790-1</t>
  </si>
  <si>
    <t>2121-790-1</t>
  </si>
  <si>
    <t>1120-790-1</t>
  </si>
  <si>
    <t>1128-790-1</t>
  </si>
  <si>
    <t>4956-790-1</t>
  </si>
  <si>
    <t>2496-790-1</t>
  </si>
  <si>
    <t>2621-790-1</t>
  </si>
  <si>
    <t>1130-791-1</t>
  </si>
  <si>
    <t>1131-791-1</t>
  </si>
  <si>
    <t>1132-791-1</t>
  </si>
  <si>
    <t>1133-791-1</t>
  </si>
  <si>
    <t>1134-791-1</t>
  </si>
  <si>
    <t>1135-791-1</t>
  </si>
  <si>
    <t>1136-791-1</t>
  </si>
  <si>
    <t>1137-791-1</t>
  </si>
  <si>
    <t>1138-791-1</t>
  </si>
  <si>
    <t>3878-791-1</t>
  </si>
  <si>
    <t>1150-793-1</t>
  </si>
  <si>
    <t>1151-793-1</t>
  </si>
  <si>
    <t>1152-793-1</t>
  </si>
  <si>
    <t>1153-793-1</t>
  </si>
  <si>
    <t>1154-793-1</t>
  </si>
  <si>
    <t>1155-793-1</t>
  </si>
  <si>
    <t>1156-793-1</t>
  </si>
  <si>
    <t>1157-793-1</t>
  </si>
  <si>
    <t>1158-794-1</t>
  </si>
  <si>
    <t>1159-794-1</t>
  </si>
  <si>
    <t>1160-794-1</t>
  </si>
  <si>
    <t>1903-794-1</t>
  </si>
  <si>
    <t>2115-794-1</t>
  </si>
  <si>
    <t>2150-794-1</t>
  </si>
  <si>
    <t>3270-794-1</t>
  </si>
  <si>
    <t>4320-794-1</t>
  </si>
  <si>
    <t>4383-794-1</t>
  </si>
  <si>
    <t>1225-803-1</t>
  </si>
  <si>
    <t>1226-803-1</t>
  </si>
  <si>
    <t>1227-803-1</t>
  </si>
  <si>
    <t>1229-803-1</t>
  </si>
  <si>
    <t>1230-803-1</t>
  </si>
  <si>
    <t>1231-803-1</t>
  </si>
  <si>
    <t>1232-803-1</t>
  </si>
  <si>
    <t>1233-803-1</t>
  </si>
  <si>
    <t>1909-803-1</t>
  </si>
  <si>
    <t>2040-803-1</t>
  </si>
  <si>
    <t>2165-803-1</t>
  </si>
  <si>
    <t>2186-803-1</t>
  </si>
  <si>
    <t>2627-803-1</t>
  </si>
  <si>
    <t>4895-803-1</t>
  </si>
  <si>
    <t>1370-815-1</t>
  </si>
  <si>
    <t>1372-815-1</t>
  </si>
  <si>
    <t>1388-817-1</t>
  </si>
  <si>
    <t>1390-817-1</t>
  </si>
  <si>
    <t>1391-817-1</t>
  </si>
  <si>
    <t>1945-817-1</t>
  </si>
  <si>
    <t>1951-817-1</t>
  </si>
  <si>
    <t>2130-817-1</t>
  </si>
  <si>
    <t>2182-817-1</t>
  </si>
  <si>
    <t>2574-817-1</t>
  </si>
  <si>
    <t>2616-817-1</t>
  </si>
  <si>
    <t>2995-817-1</t>
  </si>
  <si>
    <t>1398-820-1</t>
  </si>
  <si>
    <t>1399-820-1</t>
  </si>
  <si>
    <t>1400-820-1</t>
  </si>
  <si>
    <t>1401-820-1</t>
  </si>
  <si>
    <t>1402-820-1</t>
  </si>
  <si>
    <t>1404-820-1</t>
  </si>
  <si>
    <t>1406-820-1</t>
  </si>
  <si>
    <t>1902-821-1</t>
  </si>
  <si>
    <t>1410-821-1</t>
  </si>
  <si>
    <t>1412-821-1</t>
  </si>
  <si>
    <t>1413-821-1</t>
  </si>
  <si>
    <t>4925-821-1</t>
  </si>
  <si>
    <t>1411-821-1</t>
  </si>
  <si>
    <t>1409-821-1</t>
  </si>
  <si>
    <t>1415-821-1</t>
  </si>
  <si>
    <t>4933-821-1</t>
  </si>
  <si>
    <t>2585-821-1</t>
  </si>
  <si>
    <t>4934-821-1</t>
  </si>
  <si>
    <t>4935-821-1</t>
  </si>
  <si>
    <t>4937-821-1</t>
  </si>
  <si>
    <t>1417-822-2</t>
  </si>
  <si>
    <t>1419-822-2</t>
  </si>
  <si>
    <t>1868-822-2</t>
  </si>
  <si>
    <t>2775-822-2</t>
  </si>
  <si>
    <t>1949-822-2</t>
  </si>
  <si>
    <t>2213-822-2</t>
  </si>
  <si>
    <t>4979-822-2</t>
  </si>
  <si>
    <t>2632-822-2</t>
  </si>
  <si>
    <t>1429-823-60</t>
  </si>
  <si>
    <t>1430-823-60</t>
  </si>
  <si>
    <t>1431-823-60</t>
  </si>
  <si>
    <t>1847-823-60</t>
  </si>
  <si>
    <t>1432-823-60</t>
  </si>
  <si>
    <t>4984-823-60</t>
  </si>
  <si>
    <t>2062-823-60</t>
  </si>
  <si>
    <t>3229-823-60</t>
  </si>
  <si>
    <t>1495-835-1</t>
  </si>
  <si>
    <t>1496-835-1</t>
  </si>
  <si>
    <t>1498-835-1</t>
  </si>
  <si>
    <t>1499-835-1</t>
  </si>
  <si>
    <t>1500-835-1</t>
  </si>
  <si>
    <t>1501-835-1</t>
  </si>
  <si>
    <t>1502-835-1</t>
  </si>
  <si>
    <t>1503-835-1</t>
  </si>
  <si>
    <t>1504-835-1</t>
  </si>
  <si>
    <t>2063-835-1</t>
  </si>
  <si>
    <t>2064-835-1</t>
  </si>
  <si>
    <t>2091-835-1</t>
  </si>
  <si>
    <t>2109-835-1</t>
  </si>
  <si>
    <t>2174-835-1</t>
  </si>
  <si>
    <t>2234-835-1</t>
  </si>
  <si>
    <t>2254-835-1</t>
  </si>
  <si>
    <t>2454-835-1</t>
  </si>
  <si>
    <t>3060-835-1</t>
  </si>
  <si>
    <t>3203-835-1</t>
  </si>
  <si>
    <t>4520-835-1</t>
  </si>
  <si>
    <t>513-665-1</t>
  </si>
  <si>
    <t>516-665-1</t>
  </si>
  <si>
    <t>518-665-1</t>
  </si>
  <si>
    <t>521-665-1</t>
  </si>
  <si>
    <t>522-665-1</t>
  </si>
  <si>
    <t>523-665-1</t>
  </si>
  <si>
    <t>983-765-1</t>
  </si>
  <si>
    <t>984-765-1</t>
  </si>
  <si>
    <t>985-765-1</t>
  </si>
  <si>
    <t>986-765-1</t>
  </si>
  <si>
    <t>987-765-1</t>
  </si>
  <si>
    <t>988-765-1</t>
  </si>
  <si>
    <t>989-765-1</t>
  </si>
  <si>
    <t>1507-836-1</t>
  </si>
  <si>
    <t>4937-836-1</t>
  </si>
  <si>
    <t>1509-836-1</t>
  </si>
  <si>
    <t>1511-836-1</t>
  </si>
  <si>
    <t>1505-836-1</t>
  </si>
  <si>
    <t>4947-836-1</t>
  </si>
  <si>
    <t>1510-836-1</t>
  </si>
  <si>
    <t>2195-836-1</t>
  </si>
  <si>
    <t>1512-836-1</t>
  </si>
  <si>
    <t>4940-836-1</t>
  </si>
  <si>
    <t>2145-836-1</t>
  </si>
  <si>
    <t>4948-836-1</t>
  </si>
  <si>
    <t>4949-836-1</t>
  </si>
  <si>
    <t>1508-836-1</t>
  </si>
  <si>
    <t>263-449-1</t>
  </si>
  <si>
    <t>265-449-1</t>
  </si>
  <si>
    <t>267-449-1</t>
  </si>
  <si>
    <t>3677-449-1</t>
  </si>
  <si>
    <t>5015-449-1</t>
  </si>
  <si>
    <t>2028-449-1</t>
  </si>
  <si>
    <t>398-646-1</t>
  </si>
  <si>
    <t>401-646-1</t>
  </si>
  <si>
    <t>406-646-1</t>
  </si>
  <si>
    <t>409-646-1</t>
  </si>
  <si>
    <t>2014-646-1</t>
  </si>
  <si>
    <t>2079-646-1</t>
  </si>
  <si>
    <t>2367-646-1</t>
  </si>
  <si>
    <t>2626-646-1</t>
  </si>
  <si>
    <t>413-647-1</t>
  </si>
  <si>
    <t>414-647-1</t>
  </si>
  <si>
    <t>416-647-1</t>
  </si>
  <si>
    <t>417-647-1</t>
  </si>
  <si>
    <t>420-647-1</t>
  </si>
  <si>
    <t>423-647-1</t>
  </si>
  <si>
    <t>424-647-1</t>
  </si>
  <si>
    <t>442-651-1</t>
  </si>
  <si>
    <t>443-651-1</t>
  </si>
  <si>
    <t>450-651-1</t>
  </si>
  <si>
    <t>451-651-1</t>
  </si>
  <si>
    <t>524-666-1</t>
  </si>
  <si>
    <t>525-666-1</t>
  </si>
  <si>
    <t>528-666-1</t>
  </si>
  <si>
    <t>530-666-1</t>
  </si>
  <si>
    <t>531-666-1</t>
  </si>
  <si>
    <t>1522-837-1</t>
  </si>
  <si>
    <t>3666-837-1</t>
  </si>
  <si>
    <t>1523-837-1</t>
  </si>
  <si>
    <t>1525-837-1</t>
  </si>
  <si>
    <t>1527-837-1</t>
  </si>
  <si>
    <t>2073-837-1</t>
  </si>
  <si>
    <t>1862-837-1</t>
  </si>
  <si>
    <t>4950-837-1</t>
  </si>
  <si>
    <t>1530-837-1</t>
  </si>
  <si>
    <t>2930-837-1</t>
  </si>
  <si>
    <t>4062-837-1</t>
  </si>
  <si>
    <t>4951-837-1</t>
  </si>
  <si>
    <t>4952-837-1</t>
  </si>
  <si>
    <t>4953-837-1</t>
  </si>
  <si>
    <t>1473-831-60</t>
  </si>
  <si>
    <t>1474-831-60</t>
  </si>
  <si>
    <t>2218-831-60</t>
  </si>
  <si>
    <t>1993-831-60</t>
  </si>
  <si>
    <t>3779-831-60</t>
  </si>
  <si>
    <t>4897-831-60</t>
  </si>
  <si>
    <t>2868-852-1</t>
  </si>
  <si>
    <t>2869-852-1</t>
  </si>
  <si>
    <t>2870-852-1</t>
  </si>
  <si>
    <t>2871-852-1</t>
  </si>
  <si>
    <t>2872-852-1</t>
  </si>
  <si>
    <t>2873-852-1</t>
  </si>
  <si>
    <t>4519-852-1</t>
  </si>
  <si>
    <t>2894-863-1</t>
  </si>
  <si>
    <t>2895-863-1</t>
  </si>
  <si>
    <t>2898-863-1</t>
  </si>
  <si>
    <t>4141-878-1</t>
  </si>
  <si>
    <t>4145-878-1</t>
  </si>
  <si>
    <t>4147-878-1</t>
  </si>
  <si>
    <t>4148-878-1</t>
  </si>
  <si>
    <t>4149-878-1</t>
  </si>
  <si>
    <t>4150-878-1</t>
  </si>
  <si>
    <t>4206-883-1</t>
  </si>
  <si>
    <t>4208-883-1</t>
  </si>
  <si>
    <t>4209-883-1</t>
  </si>
  <si>
    <t>4210-884-1</t>
  </si>
  <si>
    <t>4211-884-1</t>
  </si>
  <si>
    <t>4212-884-1</t>
  </si>
  <si>
    <t>4213-884-1</t>
  </si>
  <si>
    <t>4214-884-1</t>
  </si>
  <si>
    <t>4215-884-1</t>
  </si>
  <si>
    <t>4216-884-1</t>
  </si>
  <si>
    <t>4217-884-1</t>
  </si>
  <si>
    <t>4218-885-1</t>
  </si>
  <si>
    <t>4219-885-1</t>
  </si>
  <si>
    <t>4221-885-1</t>
  </si>
  <si>
    <t>4427-885-1</t>
  </si>
  <si>
    <t>4220-885-1</t>
  </si>
  <si>
    <t>4222-886-2</t>
  </si>
  <si>
    <t>4223-886-2</t>
  </si>
  <si>
    <t>4224-886-2</t>
  </si>
  <si>
    <t>4225-886-2</t>
  </si>
  <si>
    <t>4226-886-2</t>
  </si>
  <si>
    <t>4429-886-2</t>
  </si>
  <si>
    <t>4683-886-2</t>
  </si>
  <si>
    <t>4229-887-1</t>
  </si>
  <si>
    <t>4230-887-1</t>
  </si>
  <si>
    <t>4231-887-1</t>
  </si>
  <si>
    <t>4232-887-1</t>
  </si>
  <si>
    <t>4233-887-1</t>
  </si>
  <si>
    <t>4156-896-1</t>
  </si>
  <si>
    <t>4158-896-1</t>
  </si>
  <si>
    <t>4161-896-1</t>
  </si>
  <si>
    <t>4163-896-1</t>
  </si>
  <si>
    <t>4276-993-40</t>
  </si>
  <si>
    <t>4277-993-40</t>
  </si>
  <si>
    <t>4278-993-40</t>
  </si>
  <si>
    <t>4279-993-40</t>
  </si>
  <si>
    <t>4441-993-40</t>
  </si>
  <si>
    <t>4442-993-40</t>
  </si>
  <si>
    <t>4313-993-60</t>
  </si>
  <si>
    <t>4314-993-60</t>
  </si>
  <si>
    <t>4316-993-60</t>
  </si>
  <si>
    <t>4317-993-60</t>
  </si>
  <si>
    <t>4443-993-60</t>
  </si>
  <si>
    <t>4444-993-60</t>
  </si>
  <si>
    <t>4601-997-1</t>
  </si>
  <si>
    <t>4602-997-1</t>
  </si>
  <si>
    <t>4605-997-1</t>
  </si>
  <si>
    <t>4607-997-1</t>
  </si>
  <si>
    <t>4610-997-1</t>
  </si>
  <si>
    <t>4611-997-1</t>
  </si>
  <si>
    <t>4642-1002-1</t>
  </si>
  <si>
    <t>4643-1002-1</t>
  </si>
  <si>
    <t>4644-1002-1</t>
  </si>
  <si>
    <t>4645-1003-1</t>
  </si>
  <si>
    <t>4646-1003-1</t>
  </si>
  <si>
    <t>4647-1003-1</t>
  </si>
  <si>
    <t>4648-1003-1</t>
  </si>
  <si>
    <t>4565-1028-1</t>
  </si>
  <si>
    <t>4566-1028-1</t>
  </si>
  <si>
    <t>4567-1028-1</t>
  </si>
  <si>
    <t>4568-1028-1</t>
  </si>
  <si>
    <t>4743-1039-1</t>
  </si>
  <si>
    <t>4745-1039-1</t>
  </si>
  <si>
    <t>4746-1039-1</t>
  </si>
  <si>
    <t>4747-1039-1</t>
  </si>
  <si>
    <t>4748-1040-1</t>
  </si>
  <si>
    <t>4749-1040-1</t>
  </si>
  <si>
    <t>4750-1040-1</t>
  </si>
  <si>
    <t>4751-1040-1</t>
  </si>
  <si>
    <t>4868-1040-1</t>
  </si>
  <si>
    <t>4752-1040-1</t>
  </si>
  <si>
    <t>4753-1041-1</t>
  </si>
  <si>
    <t>4754-1041-1</t>
  </si>
  <si>
    <t>4755-1041-1</t>
  </si>
  <si>
    <t>4756-1041-1</t>
  </si>
  <si>
    <t>4757-1041-1</t>
  </si>
  <si>
    <t>4758-1041-1</t>
  </si>
  <si>
    <t>4759-1041-1</t>
  </si>
  <si>
    <t>4760-1041-1</t>
  </si>
  <si>
    <t>4761-1042-2</t>
  </si>
  <si>
    <t>4762-1042-2</t>
  </si>
  <si>
    <t>4763-1042-2</t>
  </si>
  <si>
    <t>4764-1042-2</t>
  </si>
  <si>
    <t>4765-1042-2</t>
  </si>
  <si>
    <t>4766-1042-2</t>
  </si>
  <si>
    <t>4767-1042-2</t>
  </si>
  <si>
    <t>4768-1042-2</t>
  </si>
  <si>
    <t>2845-845-1</t>
  </si>
  <si>
    <t>2846-845-1</t>
  </si>
  <si>
    <t>2847-845-1</t>
  </si>
  <si>
    <t>2848-845-1</t>
  </si>
  <si>
    <t>2853-849-1</t>
  </si>
  <si>
    <t>2854-849-1</t>
  </si>
  <si>
    <t>2855-849-1</t>
  </si>
  <si>
    <t>2856-849-1</t>
  </si>
  <si>
    <t>4323-849-1</t>
  </si>
  <si>
    <t>2861-851-1</t>
  </si>
  <si>
    <t>2862-851-1</t>
  </si>
  <si>
    <t>2863-851-1</t>
  </si>
  <si>
    <t>2864-851-1</t>
  </si>
  <si>
    <t>2865-851-1</t>
  </si>
  <si>
    <t>2866-851-1</t>
  </si>
  <si>
    <t>2867-851-1</t>
  </si>
  <si>
    <t>2908-856-1</t>
  </si>
  <si>
    <t>2909-856-1</t>
  </si>
  <si>
    <t>2910-856-1</t>
  </si>
  <si>
    <t>2911-856-1</t>
  </si>
  <si>
    <t>2912-856-1</t>
  </si>
  <si>
    <t>5135-856-1</t>
  </si>
  <si>
    <t>2906-858-120</t>
  </si>
  <si>
    <t>2907-858-120</t>
  </si>
  <si>
    <t>2951-858-120</t>
  </si>
  <si>
    <t>2952-858-120</t>
  </si>
  <si>
    <t>2913-859-3</t>
  </si>
  <si>
    <t>2914-859-3</t>
  </si>
  <si>
    <t>2915-859-3</t>
  </si>
  <si>
    <t>3057-859-3</t>
  </si>
  <si>
    <t>3058-859-3</t>
  </si>
  <si>
    <t>3059-859-3</t>
  </si>
  <si>
    <t>3977-859-3</t>
  </si>
  <si>
    <t>4321-859-3</t>
  </si>
  <si>
    <t>4728-859-3</t>
  </si>
  <si>
    <t>4729-859-3</t>
  </si>
  <si>
    <t>4730-859-3</t>
  </si>
  <si>
    <t>4152-879-1</t>
  </si>
  <si>
    <t>4153-879-1</t>
  </si>
  <si>
    <t>4154-879-1</t>
  </si>
  <si>
    <t>4155-879-1</t>
  </si>
  <si>
    <t>4157-879-1</t>
  </si>
  <si>
    <t>4159-879-1</t>
  </si>
  <si>
    <t>4160-879-1</t>
  </si>
  <si>
    <t>4162-880-1</t>
  </si>
  <si>
    <t>4164-880-1</t>
  </si>
  <si>
    <t>4165-880-1</t>
  </si>
  <si>
    <t>4167-880-1</t>
  </si>
  <si>
    <t>4168-880-1</t>
  </si>
  <si>
    <t>4425-880-1</t>
  </si>
  <si>
    <t>4172-881-1</t>
  </si>
  <si>
    <t>4174-881-1</t>
  </si>
  <si>
    <t>4175-881-1</t>
  </si>
  <si>
    <t>4177-881-1</t>
  </si>
  <si>
    <t>4178-881-1</t>
  </si>
  <si>
    <t>4179-881-1</t>
  </si>
  <si>
    <t>4180-881-1</t>
  </si>
  <si>
    <t>4182-882-1</t>
  </si>
  <si>
    <t>4200-882-1</t>
  </si>
  <si>
    <t>4201-882-1</t>
  </si>
  <si>
    <t>4202-882-1</t>
  </si>
  <si>
    <t>4203-882-1</t>
  </si>
  <si>
    <t>4204-882-1</t>
  </si>
  <si>
    <t>4205-882-1</t>
  </si>
  <si>
    <t>4234-888-1</t>
  </si>
  <si>
    <t>4235-888-1</t>
  </si>
  <si>
    <t>4237-888-1</t>
  </si>
  <si>
    <t>4238-888-1</t>
  </si>
  <si>
    <t>4239-888-1</t>
  </si>
  <si>
    <t>4241-888-1</t>
  </si>
  <si>
    <t>4242-888-1</t>
  </si>
  <si>
    <t>4661-1006-6</t>
  </si>
  <si>
    <t>4662-1006-6</t>
  </si>
  <si>
    <t>4663-1006-6</t>
  </si>
  <si>
    <t>4664-1006-6</t>
  </si>
  <si>
    <t>4665-1007-6</t>
  </si>
  <si>
    <t>4666-1007-6</t>
  </si>
  <si>
    <t>4667-1007-6</t>
  </si>
  <si>
    <t>4668-1007-6</t>
  </si>
  <si>
    <t>4669-1007-6</t>
  </si>
  <si>
    <t>4670-1007-6</t>
  </si>
  <si>
    <t>4671-1007-6</t>
  </si>
  <si>
    <t>4857-1007-6</t>
  </si>
  <si>
    <t>4869-1007-6</t>
  </si>
  <si>
    <t>4672-1007-6</t>
  </si>
  <si>
    <t>4587-1010-5</t>
  </si>
  <si>
    <t>4588-1010-5</t>
  </si>
  <si>
    <t>4589-1010-5</t>
  </si>
  <si>
    <t>4590-1010-5</t>
  </si>
  <si>
    <t>4591-1010-5</t>
  </si>
  <si>
    <t>4207-1018-1</t>
  </si>
  <si>
    <t>4426-1018-1</t>
  </si>
  <si>
    <t>4430-1018-1</t>
  </si>
  <si>
    <t>4431-1018-1</t>
  </si>
  <si>
    <t>4432-1018-1</t>
  </si>
  <si>
    <t>4433-1018-1</t>
  </si>
  <si>
    <t>4533-1024-1</t>
  </si>
  <si>
    <t>4534-1024-1</t>
  </si>
  <si>
    <t>4535-1024-1</t>
  </si>
  <si>
    <t>4536-1024-1</t>
  </si>
  <si>
    <t>4537-1024-1,5</t>
  </si>
  <si>
    <t>4538-1024-1,5</t>
  </si>
  <si>
    <t>4539-1024-1,5</t>
  </si>
  <si>
    <t>4540-1024-1,5</t>
  </si>
  <si>
    <t>4541-1025-1</t>
  </si>
  <si>
    <t>4542-1025-1</t>
  </si>
  <si>
    <t>4543-1025-1</t>
  </si>
  <si>
    <t>4544-1025-1</t>
  </si>
  <si>
    <t>4545-1025-1,5</t>
  </si>
  <si>
    <t>4546-1025-1,5</t>
  </si>
  <si>
    <t>4547-1025-1,5</t>
  </si>
  <si>
    <t>4548-1025-1,5</t>
  </si>
  <si>
    <t>4786-1043-35</t>
  </si>
  <si>
    <t>4787-1043-35</t>
  </si>
  <si>
    <t>4788-1043-35</t>
  </si>
  <si>
    <t>4789-1043-35</t>
  </si>
  <si>
    <t>4794-1043-50</t>
  </si>
  <si>
    <t>4795-1043-50</t>
  </si>
  <si>
    <t>4796-1043-50</t>
  </si>
  <si>
    <t>4797-1043-50</t>
  </si>
  <si>
    <t>5030-1048-1</t>
  </si>
  <si>
    <t>5031-1048-1</t>
  </si>
  <si>
    <t>5032-1048-1</t>
  </si>
  <si>
    <t>5033-1048-1</t>
  </si>
  <si>
    <t>5034-1048-1</t>
  </si>
  <si>
    <t>5035-1048-1</t>
  </si>
  <si>
    <t>2934-847-1</t>
  </si>
  <si>
    <t>2935-847-1</t>
  </si>
  <si>
    <t>2936-847-1</t>
  </si>
  <si>
    <t>2937-847-1</t>
  </si>
  <si>
    <t>2938-847-1</t>
  </si>
  <si>
    <t>2939-847-1</t>
  </si>
  <si>
    <t>2940-847-1</t>
  </si>
  <si>
    <t>2941-847-1</t>
  </si>
  <si>
    <t>2942-847-1</t>
  </si>
  <si>
    <t>2943-847-1</t>
  </si>
  <si>
    <t>2919-848-1</t>
  </si>
  <si>
    <t>2920-848-1</t>
  </si>
  <si>
    <t>2921-848-1</t>
  </si>
  <si>
    <t>2922-848-1</t>
  </si>
  <si>
    <t>4395-848-1</t>
  </si>
  <si>
    <t>2884-860-1</t>
  </si>
  <si>
    <t>2885-860-1</t>
  </si>
  <si>
    <t>2887-860-1</t>
  </si>
  <si>
    <t>2923-862-1</t>
  </si>
  <si>
    <t>2924-862-1</t>
  </si>
  <si>
    <t>2925-862-1</t>
  </si>
  <si>
    <t>2900-865-1</t>
  </si>
  <si>
    <t>2902-865-1</t>
  </si>
  <si>
    <t>2944-865-1</t>
  </si>
  <si>
    <t>2945-865-1</t>
  </si>
  <si>
    <t>2958-866-1</t>
  </si>
  <si>
    <t>2959-866-1</t>
  </si>
  <si>
    <t>2960-866-1</t>
  </si>
  <si>
    <t>4291-891-1</t>
  </si>
  <si>
    <t>4292-891-1</t>
  </si>
  <si>
    <t>4293-891-1</t>
  </si>
  <si>
    <t>4294-891-1</t>
  </si>
  <si>
    <t>4039-892-1</t>
  </si>
  <si>
    <t>4295-892-1</t>
  </si>
  <si>
    <t>4296-892-1</t>
  </si>
  <si>
    <t>4297-892-1</t>
  </si>
  <si>
    <t>4298-892-1</t>
  </si>
  <si>
    <t>4299-892-1</t>
  </si>
  <si>
    <t>4300-892-1</t>
  </si>
  <si>
    <t>4310-892-1</t>
  </si>
  <si>
    <t>4311-892-1</t>
  </si>
  <si>
    <t>4269-893-1</t>
  </si>
  <si>
    <t>4270-893-1</t>
  </si>
  <si>
    <t>4271-893-1</t>
  </si>
  <si>
    <t>4274-893-1</t>
  </si>
  <si>
    <t>4301-893-1</t>
  </si>
  <si>
    <t>4302-893-1</t>
  </si>
  <si>
    <t>4303-893-1</t>
  </si>
  <si>
    <t>4304-893-1</t>
  </si>
  <si>
    <t>4305-893-1</t>
  </si>
  <si>
    <t>4306-893-1</t>
  </si>
  <si>
    <t>4307-893-1</t>
  </si>
  <si>
    <t>4308-893-1</t>
  </si>
  <si>
    <t>4309-893-1</t>
  </si>
  <si>
    <t>4166-895-1</t>
  </si>
  <si>
    <t>4171-895-1</t>
  </si>
  <si>
    <t>4173-895-1</t>
  </si>
  <si>
    <t>4718-895-1</t>
  </si>
  <si>
    <t>4176-895-1</t>
  </si>
  <si>
    <t>5136-895-1</t>
  </si>
  <si>
    <t>4170-897-1</t>
  </si>
  <si>
    <t>4181-897-1</t>
  </si>
  <si>
    <t>4183-897-1</t>
  </si>
  <si>
    <t>4189-897-1</t>
  </si>
  <si>
    <t>4190-897-1</t>
  </si>
  <si>
    <t>4191-897-1</t>
  </si>
  <si>
    <t>4192-988-1</t>
  </si>
  <si>
    <t>4193-988-1</t>
  </si>
  <si>
    <t>4194-988-1</t>
  </si>
  <si>
    <t>4195-988-1</t>
  </si>
  <si>
    <t>4196-988-1</t>
  </si>
  <si>
    <t>4197-988-1</t>
  </si>
  <si>
    <t>4910-991-1</t>
  </si>
  <si>
    <t>4909-991-1</t>
  </si>
  <si>
    <t>4262-991-1</t>
  </si>
  <si>
    <t>4263-991-1</t>
  </si>
  <si>
    <t>4265-991-1</t>
  </si>
  <si>
    <t>4829-991-1</t>
  </si>
  <si>
    <t>4881-991-1</t>
  </si>
  <si>
    <t>4440-991-1</t>
  </si>
  <si>
    <t>2533-844-1</t>
  </si>
  <si>
    <t>2932-844-1</t>
  </si>
  <si>
    <t>4823-844-1</t>
  </si>
  <si>
    <t>2933-844-1</t>
  </si>
  <si>
    <t>2874-850-1</t>
  </si>
  <si>
    <t>2876-850-1</t>
  </si>
  <si>
    <t>2877-850-1</t>
  </si>
  <si>
    <t>2878-850-1</t>
  </si>
  <si>
    <t>2879-850-1</t>
  </si>
  <si>
    <t>2946-850-1</t>
  </si>
  <si>
    <t>2947-850-1</t>
  </si>
  <si>
    <t>2948-850-1</t>
  </si>
  <si>
    <t>2949-850-1</t>
  </si>
  <si>
    <t>2950-850-1</t>
  </si>
  <si>
    <t>2849-853-1</t>
  </si>
  <si>
    <t>2850-853-1</t>
  </si>
  <si>
    <t>2851-853-1</t>
  </si>
  <si>
    <t>2852-853-1</t>
  </si>
  <si>
    <t>4719-853-1</t>
  </si>
  <si>
    <t>2916-861-1</t>
  </si>
  <si>
    <t>2917-861-1</t>
  </si>
  <si>
    <t>2918-861-1</t>
  </si>
  <si>
    <t>2857-854-1</t>
  </si>
  <si>
    <t>2858-854-1</t>
  </si>
  <si>
    <t>2859-854-1</t>
  </si>
  <si>
    <t>2860-854-1</t>
  </si>
  <si>
    <t>4144-894-1</t>
  </si>
  <si>
    <t>4146-894-1</t>
  </si>
  <si>
    <t>4257-894-1</t>
  </si>
  <si>
    <t>4261-894-1</t>
  </si>
  <si>
    <t>4266-894-1</t>
  </si>
  <si>
    <t>2886-855-1</t>
  </si>
  <si>
    <t>2888-855-1</t>
  </si>
  <si>
    <t>3827-855-1</t>
  </si>
  <si>
    <t>2890-855-2</t>
  </si>
  <si>
    <t>2893-855-2</t>
  </si>
  <si>
    <t>2897-855-2</t>
  </si>
  <si>
    <t>2899-855-2</t>
  </si>
  <si>
    <t>3828-855-2</t>
  </si>
  <si>
    <t>2901-855-3</t>
  </si>
  <si>
    <t>2903-855-3</t>
  </si>
  <si>
    <t>2904-855-3</t>
  </si>
  <si>
    <t>2905-855-3</t>
  </si>
  <si>
    <t>3706-855-3</t>
  </si>
  <si>
    <t>4280-994-1</t>
  </si>
  <si>
    <t>4281-994-1</t>
  </si>
  <si>
    <t>4680-994-1</t>
  </si>
  <si>
    <t>4282-994-1</t>
  </si>
  <si>
    <t>4283-994-1</t>
  </si>
  <si>
    <t>4284-994-1</t>
  </si>
  <si>
    <t>5134-994-1</t>
  </si>
  <si>
    <t>4285-995-1</t>
  </si>
  <si>
    <t>4286-995-1</t>
  </si>
  <si>
    <t>4287-995-1</t>
  </si>
  <si>
    <t>4288-995-1</t>
  </si>
  <si>
    <t>4289-995-1</t>
  </si>
  <si>
    <t>4290-995-1</t>
  </si>
  <si>
    <t>4445-995-1</t>
  </si>
  <si>
    <t>4446-995-1</t>
  </si>
  <si>
    <t>4459-995-2</t>
  </si>
  <si>
    <t>4463-995-2</t>
  </si>
  <si>
    <t>4467-995-2</t>
  </si>
  <si>
    <t>4469-995-2</t>
  </si>
  <si>
    <t>4470-995-2</t>
  </si>
  <si>
    <t>4471-995-2</t>
  </si>
  <si>
    <t>4684-995-3</t>
  </si>
  <si>
    <t>4685-995-3</t>
  </si>
  <si>
    <t>4473-995-3</t>
  </si>
  <si>
    <t>4478-995-3</t>
  </si>
  <si>
    <t>4481-995-3</t>
  </si>
  <si>
    <t>4482-995-3</t>
  </si>
  <si>
    <t>4484-996-1</t>
  </si>
  <si>
    <t>4486-996-1</t>
  </si>
  <si>
    <t>4488-996-1</t>
  </si>
  <si>
    <t>4490-996-1</t>
  </si>
  <si>
    <t>4492-996-1</t>
  </si>
  <si>
    <t>4493-996-1</t>
  </si>
  <si>
    <t>4597-996-1</t>
  </si>
  <si>
    <t>4598-996-1</t>
  </si>
  <si>
    <t>4770-1044-35</t>
  </si>
  <si>
    <t>4771-1044-35</t>
  </si>
  <si>
    <t>4772-1044-35</t>
  </si>
  <si>
    <t>4773-1044-35</t>
  </si>
  <si>
    <t>4774-1044-35</t>
  </si>
  <si>
    <t>4775-1044-35</t>
  </si>
  <si>
    <t>4776-1044-35</t>
  </si>
  <si>
    <t>4777-1044-35</t>
  </si>
  <si>
    <t>4778-1044-50</t>
  </si>
  <si>
    <t>4779-1044-50</t>
  </si>
  <si>
    <t>4780-1044-50</t>
  </si>
  <si>
    <t>4781-1044-50</t>
  </si>
  <si>
    <t>4782-1044-50</t>
  </si>
  <si>
    <t>4783-1044-50</t>
  </si>
  <si>
    <t>4784-1044-50</t>
  </si>
  <si>
    <t>4785-1044-50</t>
  </si>
  <si>
    <t>Nome</t>
  </si>
  <si>
    <t>SPOT FLEX PTO TRILHO 2 x E27 300MM</t>
  </si>
  <si>
    <t>SPOT FLEX PTO / COBRE POL TRILHO 2 x E27 300MM</t>
  </si>
  <si>
    <t>SPOT FLEX BCO / COBRE POL TRILHO 2 x E27 300MM</t>
  </si>
  <si>
    <t>SPOT FLEX PTO / COBRE POL BASE 2 x E27 300MM</t>
  </si>
  <si>
    <t>SPOT FLEX BCO / COBRE POL BASE 2 x E27 300MM</t>
  </si>
  <si>
    <t>SPOT FLEX BCO TRILHO 3 x E27 500MM</t>
  </si>
  <si>
    <t>SPOT FLEX BCO / COBRE LIX TRILHO 3 x E27 500MM</t>
  </si>
  <si>
    <t>SPOT FLEX BCO / DOU POL TRILHO 3 x E27 500MM</t>
  </si>
  <si>
    <t>SPOT FLEX PTO TRILHO 3 x E27 500MM</t>
  </si>
  <si>
    <t>SPOT FLEX PTO</t>
  </si>
  <si>
    <t>SPOT FLEX BCO</t>
  </si>
  <si>
    <t>SPOT TROIA PTO</t>
  </si>
  <si>
    <t>SPOT TROIA PTO 1 x E27 120MM 120MM</t>
  </si>
  <si>
    <t>SPOT TROIA BCO BRILHANTE</t>
  </si>
  <si>
    <t>SPOT TROIA PTO TRILHO 2 x E27 300MM</t>
  </si>
  <si>
    <t>SPOT TROIA BCO</t>
  </si>
  <si>
    <t>SPOT TROIA PTO TRILHO 3 x E27 500MM</t>
  </si>
  <si>
    <t>PLAF SMART BCO 1 x E27 95MM 250MM 250MM</t>
  </si>
  <si>
    <t>PLAF SMART CAFÉ 2 x E27 95MM 250MM 250MM</t>
  </si>
  <si>
    <t>PLAF SMART COBRE POL 2 x E27 95MM 250MM 250MM</t>
  </si>
  <si>
    <t>PLAF SMART DOU POL 2 x E27 95MM 250MM 250MM</t>
  </si>
  <si>
    <t>PLAF SMART PTO 2 x E27 95MM 250MM 250MM</t>
  </si>
  <si>
    <t>PLAF SMART DOU ONO 2 x E27 95MM 250MM 250MM</t>
  </si>
  <si>
    <t>PLAF SMART COBRE ONO 2 x E27 95MM 250MM 250MM</t>
  </si>
  <si>
    <t>PLAF SMART BCO 3 x E27 95MM 350MM 350MM</t>
  </si>
  <si>
    <t>PLAF SMART CAFÉ 3 x E27 95MM 350MM 350MM</t>
  </si>
  <si>
    <t>PLAF SMART COBRE POL 3 x E27 95MM 350MM 350MM</t>
  </si>
  <si>
    <t>PLAF SMART DOU POL 3 x E27 95MM 350MM 350MM</t>
  </si>
  <si>
    <t>PLAF SMART PTO 3 x E27 95MM 350MM 350MM</t>
  </si>
  <si>
    <t>PLAF SMART DOU ONO 3 x E27 95MM 350MM 350MM</t>
  </si>
  <si>
    <t>PLAF SMART COBRE ONO 3 x E27 95MM 350MM 350MM</t>
  </si>
  <si>
    <t>PLAF SMART BCO 5 x E27 95MM 550MM 550MM</t>
  </si>
  <si>
    <t>PLAF SMART CAFÉ 5 x E27 95MM 550MM 550MM</t>
  </si>
  <si>
    <t>PLAF SMART COBRE POL 5 x E27 95MM 550MM 550MM</t>
  </si>
  <si>
    <t>PLAF SMART DOU POL 5 x E27 95MM 550MM 550MM</t>
  </si>
  <si>
    <t>PLAF SMART PTO 5 x E27 95MM 550MM 550MM</t>
  </si>
  <si>
    <t>PLAF SMART DOU ONO 5 x E27 95MM 550MM 550MM</t>
  </si>
  <si>
    <t>PLAF SMART COBRE ONO 5 x E27 95MM 550MM 550MM</t>
  </si>
  <si>
    <t>PLAF NEW SMART BCO 3000K LED BIV 18W 1350 50MM 250MM 250MM</t>
  </si>
  <si>
    <t>PLAF NEW SMART DOU POL 3000K LED BIV 18W 1350 50MM 250MM 250MM</t>
  </si>
  <si>
    <t>PLAF NEW SMART PTO 3000K LED BIV 18W 1350 50MM 250MM 250MM</t>
  </si>
  <si>
    <t>PLAF NEW SMART COBRE POL 3000K LED BIV 18W 1350 50MM 250MM 250MM</t>
  </si>
  <si>
    <t>PLAF NEW SMART COBRE POL 6000K LED BIV 18W 1350 50MM 250MM 250MM</t>
  </si>
  <si>
    <t>PLAF NEW SMART DOU POL 6000K LED BIV 18W 1350 50MM 250MM 250MM</t>
  </si>
  <si>
    <t>PLAF NEW SMART PTO 6000K LED BIV 18W 1350 50MM 250MM 250MM</t>
  </si>
  <si>
    <t>PLAF NEW SMART BCO 6000K LED BIV 18W 1350 50MM 250MM 250MM</t>
  </si>
  <si>
    <t>PLAF NEW SMART POL 6000K LED BIV 18W 1350 50MM 250MM 250MM</t>
  </si>
  <si>
    <t>PLAF NEW SMART BCO 3000K LED BIV 36W 2700 50MM 350MM 350MM</t>
  </si>
  <si>
    <t>PLAF NEW SMART COBRE POL 3000K LED BIV 36W 2700 50MM 350MM 350MM</t>
  </si>
  <si>
    <t>PLAF NEW SMART DOU POL 3000K LED BIV 36W 2700 50MM 350MM 350MM</t>
  </si>
  <si>
    <t>PLAF NEW SMART PTO 3000K LED BIV 36W 2700 50MM 350MM 350MM</t>
  </si>
  <si>
    <t>PLAF NEW SMART BCO 6000K LED BIV 36W 2700 50MM 350MM 350MM</t>
  </si>
  <si>
    <t>PLAF NEW SMART COBRE POL 6000K LED BIV 36W 2700 50MM 350MM 350MM</t>
  </si>
  <si>
    <t>PLAF NEW SMART DOU POL 6000K LED BIV 36W 2700 50MM 350MM 350MM</t>
  </si>
  <si>
    <t>PLAF NEW SMART POL 6000K LED BIV 36W 2700 50MM 350MM 350MM</t>
  </si>
  <si>
    <t>PLAF NEW SMART PTO 6000K LED BIV 36W 2700 50MM 350MM 350MM</t>
  </si>
  <si>
    <t>PLAF NEW SMART BCO 3000K LED BIV 50W 3750 50MM 500MM 500MM</t>
  </si>
  <si>
    <t>PLAF NEW SMART DOU POL 3000K LED BIV 50W 3750 50MM 500MM 500MM</t>
  </si>
  <si>
    <t>PLAF NEW SMART PTO 3000K LED BIV 50W 3750 50MM 500MM 500MM</t>
  </si>
  <si>
    <t>PLAF NEW SMART COBRE POL 3000K LED BIV 50W 3750 50MM 500MM 500MM</t>
  </si>
  <si>
    <t>PLAF NEW SMART POL 3000K LED BIV 50W 3750 50MM 500MM 500MM</t>
  </si>
  <si>
    <t>PLAF NEW SMART BCO 6000K LED BIV 50W 3750 50MM 500MM 500MM</t>
  </si>
  <si>
    <t>PLAF NEW SMART COBRE POL 6000K LED BIV 50W 3750 50MM 500MM 500MM</t>
  </si>
  <si>
    <t>PLAF NEW SMART DOU POL 6000K LED BIV 50W 3750 50MM 500MM 500MM</t>
  </si>
  <si>
    <t>PLAF NEW SMART PTO 6000K LED BIV 50W 3750 50MM 500MM 500MM</t>
  </si>
  <si>
    <t>PLAF KIT BCO 3000K LED BIV 18W 1350 80MM 120MM 750MM</t>
  </si>
  <si>
    <t>PLAF KIT DOU ONO 3000K LED BIV 18W 1350 80MM 120MM 750MM</t>
  </si>
  <si>
    <t>PLAF KIT PTO 3000K LED BIV 18W 1350 80MM 120MM 750MM</t>
  </si>
  <si>
    <t>PLAF KIT COBRE ONO 3000K LED BIV 18W 1350 80MM 120MM 750MM</t>
  </si>
  <si>
    <t>PLAF KIT BCO 4000K LED BIV 18W 1350 80MM 120MM 750MM</t>
  </si>
  <si>
    <t>PLAF KIT PTO 4000K LED BIV 18W 1350 80MM 120MM 750MM</t>
  </si>
  <si>
    <t>PLAF KIT DOU ONO 4000K LED BIV 18W 1350 80MM 120MM 750MM</t>
  </si>
  <si>
    <t>PLAF KIT COBRE ONO 4000K LED BIV 18W 1350 80MM 120MM 750MM</t>
  </si>
  <si>
    <t>PLAF KIT DOU ONO 3000K LED BIV 38W 2850 80MM 120MM 1660MM</t>
  </si>
  <si>
    <t>PLAF KIT COBRE ONO 3000K LED BIV 38W 2850 80MM 120MM 1660MM</t>
  </si>
  <si>
    <t>PLAF KIT BCO 3000K LED BIV 38W 2850 80MM 120MM 1660MM</t>
  </si>
  <si>
    <t>PLAF KIT PTO 4000K LED BIV 38W 2850 80MM 120MM 1660MM</t>
  </si>
  <si>
    <t>PLAF KIT DOU ONO 4000K LED BIV 38W 2850 80MM 120MM 1660MM</t>
  </si>
  <si>
    <t>PLAF KIT COBRE ONO 4000K LED BIV 38W 2850 80MM 120MM 1660MM</t>
  </si>
  <si>
    <t>PLAF KIT BCO 4000K LED BIV 38W 2850 80MM 120MM 1660MM</t>
  </si>
  <si>
    <t>PLAF CASE PTO 3000K LED BIV 22W 1650 80MM 300MM 300MM</t>
  </si>
  <si>
    <t>PLAF CASE BCO 3000K LED BIV 22W 1650 80MM 300MM 300MM</t>
  </si>
  <si>
    <t>PLAF CASE DOU ONO 3000K LED BIV 22W 1650 80MM 300MM 300MM</t>
  </si>
  <si>
    <t>PLAF CASE PTO 4000K LED BIV 22W 1650 80MM 300MM 300MM</t>
  </si>
  <si>
    <t>PLAF CASE BCO FOSCO 4000K LED BIV 22W 1650 80MM 300MM 300MM</t>
  </si>
  <si>
    <t>PLAF CASE DOU ONO 4000K LED BIV 22W 1650 80MM 300MM 300MM</t>
  </si>
  <si>
    <t>PLAF CASE DOU ONO 3000K LED BIV 40W 3000 80MM 450MM 450MM</t>
  </si>
  <si>
    <t>PLAF CASE PTO 3000K LED BIV 40W 3000 80MM 450MM 450MM</t>
  </si>
  <si>
    <t>PLAF CASE BCO 3000K LED BIV 40W 3000 80MM 450MM 450MM</t>
  </si>
  <si>
    <t>PLAF CASE BCO 4000K LED BIV 40W 3000 80MM 450MM 450MM</t>
  </si>
  <si>
    <t>PLAF CASE PTO 4000K LED BIV 40W 3000 80MM 450MM 450MM</t>
  </si>
  <si>
    <t>PLAF CASE DOU ONO 4000K LED BIV 40W 3000 80MM 450MM 450MM</t>
  </si>
  <si>
    <t>PLAF CASE PTO 3000K LED BIV 45W 3375 80MM 540MM 540MM</t>
  </si>
  <si>
    <t>PLAF CASE BCO 3000K LED BIV 45W 3375 80MM 540MM 540MM</t>
  </si>
  <si>
    <t>PLAF CASE DOU ONO 3000K LED BIV 45W 3375 80MM 540MM 540MM</t>
  </si>
  <si>
    <t>PLAF CASE PTO 4000K LED BIV 45W 3375 80MM 540MM 540MM</t>
  </si>
  <si>
    <t>PLAF CASE BCO 4000K LED BIV 45W 3375 80MM 450MM 450MM</t>
  </si>
  <si>
    <t>PLAF CASE DOU ONO 4000K LED BIV 45W 3375 80MM 450MM 450MM</t>
  </si>
  <si>
    <t>PLAF MAZE BCO 3000K LED BIV 22W 1650 80MM 530MM 530MM</t>
  </si>
  <si>
    <t>PLAF MAZE PTO 3000K LED BIV 22W 1650 80MM 530MM 530MM</t>
  </si>
  <si>
    <t>PLAF MAZE DOU ONO 3000 K LED BIV 22W 1650 80MM 530MM 530MM</t>
  </si>
  <si>
    <t>PLAF MAZE BCO 4000K LED BIV 22W 1650 80MM 530MM 530MM</t>
  </si>
  <si>
    <t>PLAF MAZE DOU ONO 4000 K LED BIV 22W 1650 80MM 530MM 530MM</t>
  </si>
  <si>
    <t>PLAF MAZE PTO4000K LED BIV 22W 1650 80MM 530MM 530MM</t>
  </si>
  <si>
    <t>PEND SMART BCO 1 x E27 95MM 350MM 350MM 1000MM</t>
  </si>
  <si>
    <t>PEND SMART CAFÉ 1 x E27 95MM 350MM 350MM 1000MM</t>
  </si>
  <si>
    <t>PEND SMART COBRE POL 1 x E27 95MM 350MM 350MM 1000MM</t>
  </si>
  <si>
    <t>PEND SMART PTO 1 x E27 95MM 350MM 350MM 1000MM</t>
  </si>
  <si>
    <t>PEND SMART DOU POL 1 x E27 95MM 350MM 350MM 1000MM</t>
  </si>
  <si>
    <t>PEND SMART DOU ONO 1 x E27 95MM 350MM 350MM 1000MM</t>
  </si>
  <si>
    <t>PEND SMART COBRE ONO 1 x E27 95MM 350MM 350MM 1000MM</t>
  </si>
  <si>
    <t>PEND SMART BCO 1 x E27 95MM 500MM 500MM 1000MM</t>
  </si>
  <si>
    <t>PEND SMART CAFÉ 1 x E27 95MM 500MM 500MM 1000MM</t>
  </si>
  <si>
    <t>PEND SMART COBRE POL 1 x E27 95MM 500MM 500MM 1000MM</t>
  </si>
  <si>
    <t>PEND SMART DOU POL 1 x E27 95MM 500MM 500MM 1000MM</t>
  </si>
  <si>
    <t>PEND SMART PTO 1 x E27 95MM 500MM 500MM 1000MM</t>
  </si>
  <si>
    <t>PEND SMART DOU ONO 1 x E27 95MM 500MM 500MM 1000MM</t>
  </si>
  <si>
    <t>PEND SMART COBRE ONO 1 x E27 95MM 500MM 500MM 1000MM</t>
  </si>
  <si>
    <t>PEND PRIME BCO 1 x E27 150MM 120MM 120MM 1500MM</t>
  </si>
  <si>
    <t>PEND PRIME BCO</t>
  </si>
  <si>
    <t>PEND PRIME COBRE POL 1 x E27 150MM 120MM 120MM 1500MM</t>
  </si>
  <si>
    <t>PEND PRIME DOU POL 1 x E27 150MM 120MM 120MM 1500MM</t>
  </si>
  <si>
    <t>PEND PRIME PTO 1 x E27 150MM 120MM 120MM 1500MM</t>
  </si>
  <si>
    <t>PEND PRIME PTO</t>
  </si>
  <si>
    <t>PEND KAMILLA LIX</t>
  </si>
  <si>
    <t>PEND KAMILLA PTO</t>
  </si>
  <si>
    <t>PEND KAMILLA DOU LIX</t>
  </si>
  <si>
    <t>PEND KAMILLA BCO TOTAL 1 x E27 230MM 170MM 170MM 1500MM</t>
  </si>
  <si>
    <t>PEND KAMILLA PTO 1 x E27 230MM 170MM 170MM 1500MM</t>
  </si>
  <si>
    <t>PEND KAMILLA BCO</t>
  </si>
  <si>
    <t>PEND KAMILLA BCO TOTAL 4 X E27 170MM 1250MM 1500MM</t>
  </si>
  <si>
    <t>PEND KAMILA PTO 4 X E27 170MM 1250MM 1500MM</t>
  </si>
  <si>
    <t>PEND VERSSAT BCO 1 X G9 500MM 25MM 25MM 1500MM</t>
  </si>
  <si>
    <t>PEND VERSSAT COBRE POL 1 X G9 500MM 25MM 25MM 1500MM</t>
  </si>
  <si>
    <t>PEND VERSSAT DOU POL 1 X G9 500MM 25MM 25MM 1500MM</t>
  </si>
  <si>
    <t>PEND VERSSAT POL 1 X G9 500MM 25MM 25MM 1500MM</t>
  </si>
  <si>
    <t>PEND VERSSAT PTO 1 X G9 500MM 25MM 25MM 1500MM</t>
  </si>
  <si>
    <t>PEND VERSSAT COBRE LIX 1 X G9 500MM 25MM 25MM 1500MM</t>
  </si>
  <si>
    <t>PEND VERSSAT DOU LIX 1 X G9 500MM 25MM 25MM 1500MM</t>
  </si>
  <si>
    <t>PEND VERSSAT DOU ONO 1 X G9 500MM 25MM 25MM 1500MM</t>
  </si>
  <si>
    <t>PEND QUEENS COBRE POL 1 x E27 120MM 250MM 250MM 1500MM</t>
  </si>
  <si>
    <t>PEND QUEENS PTO 1 x E27 120MM 250MM 250MM 1500MM</t>
  </si>
  <si>
    <t>PEND QUEENS PTO</t>
  </si>
  <si>
    <t>PEND QUEENS DOU POL 1 x E27 120MM 250MM 250MM 1500MM</t>
  </si>
  <si>
    <t>PEND QUEENS COBRE ONO 1 x E27 120MM 250MM 250MM 1500MM</t>
  </si>
  <si>
    <t>PEND QUEENS COBRE POL 3 x E27 120MM 250MM 1000MM 1500MM</t>
  </si>
  <si>
    <t>PEND QUEENS PTO 3 x E27 120MM 250MM 1000MM 1500MM</t>
  </si>
  <si>
    <t>PEND QUEENS DOU POL 3 x E27 120MM 250MM 1000MM 1500MM</t>
  </si>
  <si>
    <t>PEND VERSSAT BCO 1 X MR16 500MM 50MM 50MM 1500MM</t>
  </si>
  <si>
    <t>PEND VERSSAT COBRE POL 1 X MR16 500MM 50MM 50MM 1500MM</t>
  </si>
  <si>
    <t>PEND VERSSAT DOU POL 1 X MR16 500MM 50MM 50MM 1500MM</t>
  </si>
  <si>
    <t>PEND VERSSAT POL 1 X MR16 500MM 50MM 50MM 1500MM</t>
  </si>
  <si>
    <t>PEND VERSSAT COBRE LIX 1 X MR16 500MM 50MM 50MM 1500MM</t>
  </si>
  <si>
    <t>PEND VERSSAT DOU LIX 1 X MR16 500MM 50MM 50MM 1500MM</t>
  </si>
  <si>
    <t>PEND VERSSAT DOU ONO 1 X MR16 500MM 50MM 50MM 1500MM</t>
  </si>
  <si>
    <t>PEND BRONX COBRE POL 1 X E27 220MM 250MM 250MM 1500MM</t>
  </si>
  <si>
    <t>PEND BRONX PTO 1 X E27 220MM 250MM 250MM 1500MM</t>
  </si>
  <si>
    <t>PEND BRONX PTO</t>
  </si>
  <si>
    <t>PEND BRONX DOU ONO 1 X E27 220MM 250MM 250MM 1500MM</t>
  </si>
  <si>
    <t>PEND BRONX CAFÉ</t>
  </si>
  <si>
    <t>PEND BRONX COBRE POL TRILHO 3 X E27 250MM 100MM 1500MM</t>
  </si>
  <si>
    <t>PEND BRONX DOU ONO 3 X E27 250MM 100MM 1500MM</t>
  </si>
  <si>
    <t>PEND BRONX PTO 3 X E27 250MM 100MM 1500MM</t>
  </si>
  <si>
    <t>PEND MARTIN COBRE ONO 8 X E27 350MM 7850MM 7850MM 1500MM</t>
  </si>
  <si>
    <t>PEND MARTIN COBRE POL 8 X E27 350MM 7850MM 7850MM 1500MM</t>
  </si>
  <si>
    <t>PEND MARTIN DOU ONO 8 X E27 350MM 7850MM 7850MM 1500MM</t>
  </si>
  <si>
    <t>PEND MARTIN DOU POL 8 X E27 350MM 7850MM 7850MM 1500MM</t>
  </si>
  <si>
    <t>PEND MARTIN PTO 8 X E27 350MM 7850MM 7850MM 1500MM</t>
  </si>
  <si>
    <t>PEND MARTIN PTO</t>
  </si>
  <si>
    <t>PEND MARTIN BCO</t>
  </si>
  <si>
    <t>PEND MARTIN COBRE ONO 12 X E27 350MM 850MM 850MM 1500MM</t>
  </si>
  <si>
    <t>PEND MARTIN COBRE POL 12 X E27 350MM 850MM 850MM 1500MM</t>
  </si>
  <si>
    <t>PEND MARTIN DOU ONO 12 X E27 350MM 850MM 850MM 1500MM</t>
  </si>
  <si>
    <t>PEND MARTIN DOU POL 12 X E27 350MM 850MM 850MM 1500MM</t>
  </si>
  <si>
    <t>PEND MARTIN PTO 12 X E27 350MM 850MM 850MM 1500MM</t>
  </si>
  <si>
    <t>PEND ARGO DOU LIX 1 X E27 220MM 150MM 150MM 1500MM</t>
  </si>
  <si>
    <t>PEND ARGO BCO 1 X E27 220MM 150MM 150MM 1500MM</t>
  </si>
  <si>
    <t>PEND ARGO COBRE ONO 1 X E27 220MM 150MM 150MM 1500MM</t>
  </si>
  <si>
    <t>PEND ARGO COBRE POL 1 X E27 220MM 150MM 150MM 1500MM</t>
  </si>
  <si>
    <t>PEND ARGO DOU ONO 1 X E27 220MM 150MM 150MM 1500MM</t>
  </si>
  <si>
    <t>PEND ARGO DOU POL 1 X E27 220MM 150MM 150MM 1500MM</t>
  </si>
  <si>
    <t>PEND ARGO POL 1 X E27 220MM 150MM 150MM 1500MM</t>
  </si>
  <si>
    <t>PEND ARGO PTO 1 X E27 220MM 150MM 150MM 1500MM</t>
  </si>
  <si>
    <t>PEND CENTURY BCO 3 X E27 360MM 150MM 800MM 1000MM</t>
  </si>
  <si>
    <t>PEND CENTURY COBRE ONO 3 X E27 360MM 150MM 800MM 1000MM</t>
  </si>
  <si>
    <t>PEND CENTURY COBRE POL 3 X E27 360MM 150MM 800MM 1000MM</t>
  </si>
  <si>
    <t>PEND CENTURY DOU LIX 3 X E27 360MM 150MM 800MM 1000MM</t>
  </si>
  <si>
    <t>PEND CENTURY DOU ONO 3 X E27 360MM 150MM 800MM 1000MM</t>
  </si>
  <si>
    <t>PEND CENTURY DOU POL 3 X E27 360MM 150MM 800MM 1000MM</t>
  </si>
  <si>
    <t>PEND CENTURY PTO 3 X E27 360MM 150MM 800MM 1000MM</t>
  </si>
  <si>
    <t>PEND CENTURY POL 3 X E27 360MM 150MM 800MM 1000MM</t>
  </si>
  <si>
    <t>PEND CENTURY LIX 3 X E27 360MM 150MM 800MM 1000MM</t>
  </si>
  <si>
    <t>PEND CENTURY COBRE LIX 3 X E27 360MM 150MM 800MM 1000MM</t>
  </si>
  <si>
    <t>PEND CENTURY BCO 6 X E27 360MM 150MM 120MM 1000MM</t>
  </si>
  <si>
    <t>PEND CENTURY COBRE LIX 6 X E27 360MM 150MM 120MM 1000MM</t>
  </si>
  <si>
    <t>PEND CENTURY COBRE ONO 6 X E27 360MM 150MM 120MM 1000MM</t>
  </si>
  <si>
    <t>PEND CENTURY COBRE POL 6 X E27 360MM 150MM 120MM 1000MM</t>
  </si>
  <si>
    <t>PEND CENTURY DOU LIX 6 X E27 360MM 150MM 120MM 1000MM</t>
  </si>
  <si>
    <t>PEND CENTURY DOU ONO 6 X E27 360MM 150MM 120MM 1000MM</t>
  </si>
  <si>
    <t>PEND CENTURY DOU POL 6 X E27 360MM 150MM 120MM 1000MM</t>
  </si>
  <si>
    <t>PEND CENTURY LIX 6 X E27 360MM 150MM 120MM 1000MM</t>
  </si>
  <si>
    <t>PEND CENTURY POL 6 X E27 360MM 150MM 120MM 1000MM</t>
  </si>
  <si>
    <t>PEND CENTURY PTO 6 X E27 360MM 150MM 120MM 1000MM</t>
  </si>
  <si>
    <t>PEND NEW SMART BCO 3000K LED BIV 36W 2700 50MM 350MM 350MM 1000MM</t>
  </si>
  <si>
    <t>PEND NEW SMART COBRE POL 3000K LED BIV 36W 2700 50MM 350MM 350MM 1000MM</t>
  </si>
  <si>
    <t>PEND NEW SMART DOU POL 3000K LED BIV 36W 2700 50MM 350MM 350MM 1000MM</t>
  </si>
  <si>
    <t>PEND NEW SMART PTO 3000K LED BIV 36W 2700 50MM 350MM 350MM 1000MM</t>
  </si>
  <si>
    <t>PEND NEW SMART BCO 6000K LED BIV 36W 2700 50MM 350MM 350MM 1000MM</t>
  </si>
  <si>
    <t>PEND NEW SMART COBRE POL 6000K LED BIV 36W 2700 50MM 350MM 350MM 1000MM</t>
  </si>
  <si>
    <t>PEND NEW SMART DOU POL 6000K LED BIV 36W 2700 50MM 350MM 350MM 1000MM</t>
  </si>
  <si>
    <t>PEND NEW SMART PTO 6000K LED BIV 36W 2700 50MM 350MM 350MM 1000MM</t>
  </si>
  <si>
    <t>PEND NEW SMART BCO 3000K LED BIV 50W 3750 50MM 500MM 500MM 1000MM</t>
  </si>
  <si>
    <t>PEND NEW SMART COBRE POL 3000K LED BIV 50W 3750 50MM 500MM 500MM 1000MM</t>
  </si>
  <si>
    <t>PEND NEW SMART DOU POL 3000K LED BIV 50W 3750 50MM 500MM 500MM 1000MM</t>
  </si>
  <si>
    <t>PEND NEW SMART PTO 3000K LED BIV 50W 3750 50MM 500MM 500MM 1000MM</t>
  </si>
  <si>
    <t>PEND NEW SMART BCO 6000K LED BIV 50W 3750 50MM 500MM 500MM 1000MM</t>
  </si>
  <si>
    <t>PEND NEW SMART COBRE POL 6000K LED BIV 50W 3750 50MM 500MM 500MM 1000MM</t>
  </si>
  <si>
    <t>PEND NEW SMART DOU POL 6000K LED BIV 50W 3750 50MM 500MM 500MM 1000MM</t>
  </si>
  <si>
    <t>PEND NEW SMART PTO 6000K LED BIV 50W 3750 50MM 500MM 500MM 1000MM</t>
  </si>
  <si>
    <t>PEND LONG COBRE POL 6 X E27 600MM 950MM 950MM 1500MM</t>
  </si>
  <si>
    <t>PEND LONG BCO 6 X E27 600MM 950MM 950MM 1500MM</t>
  </si>
  <si>
    <t>PEND LONG COBRE LIX 6 X E27 600MM 950MM 950MM 1500MM</t>
  </si>
  <si>
    <t>PEND LONG DOU LIX 6 X E27 600MM 950MM 950MM 1500MM</t>
  </si>
  <si>
    <t>PEND LONG DOU ONO 6 X E27 600MM 950MM 950MM 1500MM</t>
  </si>
  <si>
    <t>PEND LONG DOU POL 6 X E27 600MM 950MM 950MM 1500MM</t>
  </si>
  <si>
    <t>PEND LONG POL 6 X E27 600MM 950MM 950MM 1500MM</t>
  </si>
  <si>
    <t>PEND LONG PTO 6 X E27 600MM 950MM 950MM 1500MM</t>
  </si>
  <si>
    <t>PEND LONG COBRE ONO 6 X E27 600MM 950MM 950MM 1500MM</t>
  </si>
  <si>
    <t>PEND PENDULO BCO VIDRO LEITOSO 1 X G9 550MM 150MM 120MM 1500MM</t>
  </si>
  <si>
    <t>PEND PENDULO COBRE ONO VIDRO LEITOSO 1 X G9 550MM 150MM 120MM 1500MM</t>
  </si>
  <si>
    <t>PEND PENDULO COBRE POL VIDRO LEITOSO 1 X G9 550MM 150MM 120MM 1500MM</t>
  </si>
  <si>
    <t>PEND PENDULO DOU ONO VIDRO LEITOSO 1 X G9 550MM 150MM 120MM 1500MM</t>
  </si>
  <si>
    <t>PEND PENDULO DOU POL VIDRO LEITOSO 1 X G9 550MM 150MM 120MM 1500MM</t>
  </si>
  <si>
    <t>PEND PENDULO PTO VIDRO LEITOSO 1 X G9 550MM 150MM 120MM 1500MM</t>
  </si>
  <si>
    <t>PEND PENDULO POL VIDRO LEITOSO 1 X G9 550MM 150MM 120MM 1500MM</t>
  </si>
  <si>
    <t>PEND GOTA COBRE ONO VIDRO LEITOSO 1 X E27 550MM 230MM 150MM 1500MM</t>
  </si>
  <si>
    <t>PEND GOTA DOU ONO VIDRO LEITOSO 1 X E27 550MM 230MM 150MM 1500MM</t>
  </si>
  <si>
    <t>PEND GOTA DOU POL VIDRO LEITOSO 1 X E27 550MM 230MM 150MM 1500MM</t>
  </si>
  <si>
    <t>PEND GOTA POL VIDRO LEITOSO 1 X E27 550MM 230MM 150MM 1500MM</t>
  </si>
  <si>
    <t>PEND GOTA PTO VIDRO LEITOSO 1 X E27 550MM 230MM 150MM 1500MM</t>
  </si>
  <si>
    <t>PEND GOTA BCO VIDRO LEITOSO 1 X E27 550MM 230MM 150MM 1500MM</t>
  </si>
  <si>
    <t>PEND GOTA COBRE POL VIDRO LEITOSO 1 X E27 550MM 230MM 150MM 1500MM</t>
  </si>
  <si>
    <t>PEND GLASS COBRE POL VIDRO AMBAR 1 X E27 600MM 200MM 200MM 1500MM</t>
  </si>
  <si>
    <t>PEND GLASS DOU POL VIDRO AMBAR 1 X E27 600MM 200MM 200MM 1500MM</t>
  </si>
  <si>
    <t>PEND GLASS LIX VIDRO AMBAR 1 X E27 600MM 200MM 200MM 1500MM</t>
  </si>
  <si>
    <t>PEND GLASS PTO VIDRO AMBAR 1 X E27 600MM 200MM 200MM 1500MM</t>
  </si>
  <si>
    <t>PEND GLASS COBRE ONO VIDRO AMBAR 1 X E27 600MM 200MM 200MM 1500MM</t>
  </si>
  <si>
    <t>PEND GLASS DOU ONO VIDRO AMBAR 1 X E27 600MM 200MM 200MM 1500MM</t>
  </si>
  <si>
    <t>PEND GLASS POL VIDRO AMBAR 1 X E27 600MM 200MM 200MM 1500MM</t>
  </si>
  <si>
    <t>PEND GLASS DOU LIX VIDRO AMBAR 1 X E27 650MM 250MM 250MM 1500MM</t>
  </si>
  <si>
    <t>PEND GLASS COBRE POL VIDRO AMBAR 1 X E27 650MM 250MM 250MM 1500MM</t>
  </si>
  <si>
    <t>PEND GLASS DOU POL VIDRO AMBAR 1 X E27 650MM 250MM 250MM 1500MM</t>
  </si>
  <si>
    <t>PEND GLASS PTO VIDRO AMBAR 1 X E27 650MM 250MM 250MM 1500MM</t>
  </si>
  <si>
    <t>PEND GLASS COBRE ONO VIDRO AMBAR 1 X E27 650MM 250MM 250MM 1500MM</t>
  </si>
  <si>
    <t>PEND GLASS DOU ONO VIDRO AMBAR 1 X E27 650MM 250MM 250MM 1500MM</t>
  </si>
  <si>
    <t>PEND GLASS COBRE LIX VIDRO AMBAR 1 X E27 650MM 250MM 250MM 1500MM</t>
  </si>
  <si>
    <t>PEND DOUBLE BCO VIDRO LEITOSO 2 X E27 500MM 150MM 300MM 1500MM</t>
  </si>
  <si>
    <t>PEND DOUBLE COBRE POL VIDRO LEITOSO 2 X E27 500MM 150MM 300MM 1500MM</t>
  </si>
  <si>
    <t>PEND DOUBLE DOU LIX VIDRO LEITOSO 2 X E27 500MM 150MM 300MM 1500MM</t>
  </si>
  <si>
    <t>PEND DOUBLE DOU ONO VIDRO LEITOSO 2 X E27 500MM 150MM 300MM 1500MM</t>
  </si>
  <si>
    <t>PEND DOUBLE DOU POL VIDRO LEITOSO 2 X E27 500MM 150MM 300MM 1500MM</t>
  </si>
  <si>
    <t>PEND DOUBLE LIX VIDRO LEITOSO 2 X E27 500MM 150MM 300MM 1500MM</t>
  </si>
  <si>
    <t>PEND DOUBLE PTO VIDRO LEITOSO 2 X E27 500MM 150MM 300MM 1500MM</t>
  </si>
  <si>
    <t>PEND DOUBLE COBRE ONO VIDRO LEITOSO 2 X E27 500MM 150MM 300MM 1500MM</t>
  </si>
  <si>
    <t>PEND DOUBLE COBRE LIX VIDRO LEITOSO 2 X E27 500MM 150MM 300MM 1500MM</t>
  </si>
  <si>
    <t>PEND DOUBLE POL VIDRO LEITOSO 2 X E27 500MM 150MM 300MM 1500MM</t>
  </si>
  <si>
    <t>PEND DELTA DOU POL VIDRO LEITOSO 1 XG9 450MM 120MM 150MM 1500MM</t>
  </si>
  <si>
    <t>PEND DELTA DOU ONO VIDRO LEITOSO 1 XG9 450MM 120MM 150MM 1500MM</t>
  </si>
  <si>
    <t>PEND DELTA PTO VIDRO LEITOSO 1 XG9 450MM 120MM 150MM 1500MM</t>
  </si>
  <si>
    <t>PEND DELTA COBRE POL VIDRO LEITOSO 1 XG9 450MM 120MM 150MM 1500MM</t>
  </si>
  <si>
    <t>PEND DELTA COBRE ONO VIDRO LEITOSO 1 XG9 450MM 120MM 150MM 1500MM</t>
  </si>
  <si>
    <t>PEND DELTA COBRE POL VIDRO DUO 1 XG9 450MM 120MM 150MM 1500MM</t>
  </si>
  <si>
    <t>PEND DELTA DOU ONO VIDRO DUO 1 XG9 450MM 120MM 150MM 1500MM</t>
  </si>
  <si>
    <t>PEND DELTA DOU POL VIDRO DUO 1 XG9 450MM 120MM 150MM 1500MM</t>
  </si>
  <si>
    <t>PEND DELTA PTO VIDRO DUO 1 XG9 450MM 120MM 150MM 1500MM</t>
  </si>
  <si>
    <t>PEND DELTA COBRE ONO VIDRO DUO 1 XG9 450MM 120MM 150MM 1500MM</t>
  </si>
  <si>
    <t>PEND DELTA BCO VIDRO DUO 1 XG9 450MM 120MM 150MM 1500MM</t>
  </si>
  <si>
    <t>PEND DELTA BCO VIDRO AMBAR 1 XG9 450MM 120MM 150MM 1500MM</t>
  </si>
  <si>
    <t>PEND DELTA COBRE ONO VIDRO AMBAR 1 XG9 450MM 120MM 150MM 1500MM</t>
  </si>
  <si>
    <t>PEND DELTA COBRE POL VIDRO AMBAR 1 XG9 450MM 120MM 150MM 1500MM</t>
  </si>
  <si>
    <t>PEND DELTA DOU ONO VIDRO AMBAR 1 XG9 450MM 120MM 150MM 1500MM</t>
  </si>
  <si>
    <t>PEND DELTA PTOVIDRO AMBAR 1 XG9 450MM 120MM 150MM 1500MM</t>
  </si>
  <si>
    <t>PEND DELTA DOU POL VIDRO AMBAR 1 XG9 450MM 120MM 150MM 1500MM</t>
  </si>
  <si>
    <t>PEND CALI BCO VIDRO LEITOSO 1 X E27 50MM 150MM 180MM 1500MM</t>
  </si>
  <si>
    <t>PEND CALI COBRE ONO VIDRO LEITOSO 1 X E27 50MM 150MM 180MM 1500MM</t>
  </si>
  <si>
    <t>PEND CALI DOU ONO VIDRO LEITOSO 1 X E27 50MM 150MM 180MM 1500MM</t>
  </si>
  <si>
    <t>PEND CALI PTO VIDRO LEITOSO 1 X E27 50MM 150MM 180MM 1500MM</t>
  </si>
  <si>
    <t>PEND VIGO COBRE POL VIDRO DUO 1 X G9 120MM 120MM 120MM 1500MM</t>
  </si>
  <si>
    <t>PEND VIGO DOU LIX VIDRO DUO 1 X G9 120MM 120MM 120MM 1500MM</t>
  </si>
  <si>
    <t>PEND VIGO DOU ONO VIDRO DUO 1 X G9 120MM 120MM 120MM 1500MM</t>
  </si>
  <si>
    <t>PEND VIGO DOU POL VIDRO DUO 1 X G9 120MM 120MM 120MM 1500MM</t>
  </si>
  <si>
    <t>PEND VIGO BCO VIDRO DUO 1 X G9 120MM 120MM 120MM 1500MM</t>
  </si>
  <si>
    <t>PEND VIGO COBRE ONO VIDRO DUO 1 X G9 120MM 120MM 120MM 1500MM</t>
  </si>
  <si>
    <t>PEND VIGO LIX VIDRO DUO 1 X G9 120MM 120MM 120MM 1500MM</t>
  </si>
  <si>
    <t>PEND VIGO PTO VIDRO DUO 1 X G9 120MM 120MM 120MM 1500MM</t>
  </si>
  <si>
    <t>PEND VIGO POL VIDRO DUO 1 X G9 120MM 120MM 120MM 1500MM</t>
  </si>
  <si>
    <t>PEND VIGO COBRE POL VIDRO AMBAR 1 X G9 120MM 120MM 120MM 1500MM</t>
  </si>
  <si>
    <t>PEND VIGO DOU LIX VIDRO AMBAR 1 X G9 120MM 120MM 120MM 1500MM</t>
  </si>
  <si>
    <t>PEND VIGO DOU ONO VIDRO AMBAR 1 X G9 120MM 120MM 120MM 1500MM</t>
  </si>
  <si>
    <t>PEND VIGO DOU POL VIDRO AMBAR 1 X G9 120MM 120MM 120MM 1500MM</t>
  </si>
  <si>
    <t>PEND VIGO PTO VIDRO AMBAR 1 X G9 120MM 120MM 120MM 1500MM</t>
  </si>
  <si>
    <t>PEND VIGO COBRE ONO VIDRO AMBAR 1 X G9 120MM 120MM 120MM 1500MM</t>
  </si>
  <si>
    <t>PEND VIGO COBRE LIX VIDRO AMBAR 1 X G9 120MM 120MM 120MM 1500MM</t>
  </si>
  <si>
    <t>PEND VIGO BCO VIDRO AMBAR 1 X G9 120MM 120MM 120MM 1500MM</t>
  </si>
  <si>
    <t>PEND VIGO LIX VIDRO AMBAR 1 X G9 120MM 120MM 120MM 1500MM</t>
  </si>
  <si>
    <t>PEND DOUBLE BCO VIDRO LEITOSO 2 X G9 500MM 120MM 240MM 1500MM</t>
  </si>
  <si>
    <t>PEND DOUBLE COBRE LIX VIDRO LEITOSO 2 X G9 500MM 120MM 240MM 1500MM</t>
  </si>
  <si>
    <t>PEND DOUBLE COBRE ONO VIDRO LEITOSO 2 X G9 500MM 120MM 240MM 1500MM</t>
  </si>
  <si>
    <t>PEND DOUBLE COBRE POL VIDRO LEITOSO 2 X G9 500MM 120MM 240MM 1500MM</t>
  </si>
  <si>
    <t>PEND DOUBLE DOU LIX VIDRO LEITOSO 2 X G9 500MM 120MM 240MM 1500MM</t>
  </si>
  <si>
    <t>PEND DOUBLE DOU ONO VIDRO LEITOSO 2 X G9 500MM 120MM 240MM 1500MM</t>
  </si>
  <si>
    <t>PEND DOUBLE DOU POL VIDRO LEITOSO 2 X G9 500MM 120MM 240MM 1500MM</t>
  </si>
  <si>
    <t>PEND DOUBLE POL VIDRO LEITOSO 2 X G9 500MM 120MM 240MM 1500MM</t>
  </si>
  <si>
    <t>PEND DOUBLE PTO VIDRO LEITOSO 2 X G9 500MM 120MM 240MM 1500MM</t>
  </si>
  <si>
    <t>PEND DOUBLE LIX VIDRO LEITOSO 2 X G9 500MM 120MM 240MM 1500MM</t>
  </si>
  <si>
    <t>PEND MADRI DOU ONO 3 X E27 140MM 140MM 1000MM 1200MM</t>
  </si>
  <si>
    <t>PEND MADRI COBRE LIX 4 X E27 140MM 140MM 1300MM 1200MM</t>
  </si>
  <si>
    <t>PEND MADRI COBRE POL 4 X E27 140MM 140MM 1300MM 1200MM</t>
  </si>
  <si>
    <t>PEND MADRI PTO 4 X E27 140MM 140MM 1300MM 1200MM</t>
  </si>
  <si>
    <t>PEND MADRI PTO</t>
  </si>
  <si>
    <t>PEND MADRI DOU ONO 4 X E27 140MM 140MM 1300MM 1200MM</t>
  </si>
  <si>
    <t>PEND MADRI COBRE ONO 4 X E27 140MM 140MM 1300MM 1200MM</t>
  </si>
  <si>
    <t>PEND MADRI BCO</t>
  </si>
  <si>
    <t>PEND MADRI DOU POL 4 X E27 140MM 140MM 1300MM 1200MM</t>
  </si>
  <si>
    <t>PEND HILLS DOU ONO 3 X G9 500MM 120MM 900MM 1500MM</t>
  </si>
  <si>
    <t>PEND HILLS COBRE POL 3 X G9 500MM 120MM 900MM 1500MM</t>
  </si>
  <si>
    <t>PEND HILLS DOU LIX 3 X G9 500MM 120MM 900MM 1500MM</t>
  </si>
  <si>
    <t>PEND HILLS DOU POL 3 X G9 500MM 120MM 900MM 1500MM</t>
  </si>
  <si>
    <t>PENDENTE LIX 3 X G9 500M 120MM 900MM 1500MM</t>
  </si>
  <si>
    <t>PEND HILLS POL 3 X G9 500MM 120MM 900MM 1500MM</t>
  </si>
  <si>
    <t>PEND HILLS PTO 3 X G9 500MM 120MM 900MM 1500MM</t>
  </si>
  <si>
    <t>PEND HILLS COBRE LIX 3 X G9 500MM 120MM 900MM 1500MM</t>
  </si>
  <si>
    <t>PEND HILLS COBRE ONO 3 X G9 500MM 120MM 900MM 1500MM</t>
  </si>
  <si>
    <t>PEND HILLS DOU ONO 5 X G9 500MM 120MM 1500MM 1500MM</t>
  </si>
  <si>
    <t>PEND HILLS COBRE POL 5 X G9 500MM 120MM 1500MM 1500MM</t>
  </si>
  <si>
    <t>PEND HILLS DOU LIX 5 X G9 500MM 120MM 1500MM 1500MM</t>
  </si>
  <si>
    <t>PEND HILLS DOU POL 5 X G9 500MM 120MM 1500MM 1500MM</t>
  </si>
  <si>
    <t>PEND HILLS LIX 5 X G9 500MM 120MM 1500MM 1500MM</t>
  </si>
  <si>
    <t>PEND HILLS POL 5 X G9 500MM 120MM 1500MM 1500MM</t>
  </si>
  <si>
    <t>PEND HILLS PTO 5 X G9 500MM 120MM 1500MM 1500MM</t>
  </si>
  <si>
    <t>PEND HILLS COBRE LIX 5 X G9 500MM 120MM 1500MM 1500MM</t>
  </si>
  <si>
    <t>PEND HILLS COBRE ONO 5 X G9 500MM 120MM 1500MM 1500MM</t>
  </si>
  <si>
    <t>PEND HONDA DOU ONO 4 X MR11 130MM 50MM 1400MM 120MM</t>
  </si>
  <si>
    <t>PEND HONDA PTO 4 X MR11 130MM 50MM 1400MM 120MM</t>
  </si>
  <si>
    <t>PEND HONDA PTO</t>
  </si>
  <si>
    <t>PEND HONDA DOU LIX 4 X MR11 130MM 50MM 1400MM 120MM</t>
  </si>
  <si>
    <t>PEND HONDA COBRE LIX 4 X MR11 130MM 50MM 1400MM 120MM</t>
  </si>
  <si>
    <t>PEND HONDA COBRE ONO 4 X MR11 130MM 50MM 1400MM 120MM</t>
  </si>
  <si>
    <t>PEND HALL BCO 3000K LED BIV 38W 2850 40MM 50MM 1200MM 1500MM</t>
  </si>
  <si>
    <t>PEND HALL PTO 3000K LED BIV 38W 2850 40MM 50MM 1200MM 1500MM</t>
  </si>
  <si>
    <t>PEND HALL DOU ONO 3000K LED BIV 38W 2850 40MM 50MM 1200MM 1500MM</t>
  </si>
  <si>
    <t>PEND HALL COBRE ONO 3000K LED BIV 38W 2850 40MM 50MM 1200MM 1500MM</t>
  </si>
  <si>
    <t>PEND HALL BCO 4000K LED BIV 38W 2850 40MM 50MM 1200MM 1500MM</t>
  </si>
  <si>
    <t>PEND HALL PTO4000K LED BIV 38W 2850 40MM 50MM 1200MM 1500MM</t>
  </si>
  <si>
    <t>PEND HALL DOU ONO 4000K LED BIV 38W 2850 40MM 50MM 1200MM 1500MM</t>
  </si>
  <si>
    <t>PEND HALL COBRE ONO 4000K LED BIV 38W 2850 40MM 50MM 1200MM 1500MM</t>
  </si>
  <si>
    <t>PEND HALL BCO 3000K LED BIV 18W 1350 40MM 50MM 600MM 1500MM</t>
  </si>
  <si>
    <t>PEND HALL PTO 3000K LED BIV 18W 1350 40MM 50MM 600MM 1500MM</t>
  </si>
  <si>
    <t>PEND HALL DOU ONO 3000K LED BIV 18W 1350 40MM 50MM 600MM 1500MM</t>
  </si>
  <si>
    <t>PEND HALL COBRE ONO 3000K LED BIV 18W 1350 40MM 50MM 600MM 1500MM</t>
  </si>
  <si>
    <t>PEND HALL PTO 4000K LED BIV 18W 1350 40MM 50MM 600MM 1500MM</t>
  </si>
  <si>
    <t>PEND HALL BCO 4000K LED BIV 18W 1350 40MM 50MM 600MM 1500MM</t>
  </si>
  <si>
    <t>PEND HALL COBRE ONO 4000K LED BIV 18W 1350 40MM 50MM 600MM 1500MM</t>
  </si>
  <si>
    <t>PEND HALL DOU ONO 4000K LED BIV 18W 1350 40MM 50MM 600MM 1500MM</t>
  </si>
  <si>
    <t>PEND OFFICE BCO 3000K LED BIV 18W 1350 40MM 50MM 600MM 1500MM</t>
  </si>
  <si>
    <t>PEND OFFICE PTO 3000K LED BIV 18W 1350 40MM 50MM 600MM 1500MM</t>
  </si>
  <si>
    <t>PEND OFFICE BCO</t>
  </si>
  <si>
    <t>PEND OFFICE PTO</t>
  </si>
  <si>
    <t>PEND OFFICE BCO 4000K LED BIV 18W 1350 40MM 50MM 1200MM 1500MM</t>
  </si>
  <si>
    <t>PEND OFFICE PTO 4000K LED BIV 18W 1350 40MM 50MM 1200MM 1500MM</t>
  </si>
  <si>
    <t>PENDOFFICE BCO</t>
  </si>
  <si>
    <t>PEND ROAD PTO 3000K LED BIV 38W 2850 40MM 50MM 1200MM 1500MM</t>
  </si>
  <si>
    <t>PEND ROAD BCO 3000K LED BIV 38W 2850 40MM 50MM 1200MM 1500MM</t>
  </si>
  <si>
    <t>PEND ROAD BCO4000K LED BIV 38W 2850 40MM 50MM 1200MM 1500MM</t>
  </si>
  <si>
    <t>PEND ROAD PTO4000K LED BIV 38W 2850 40MM 50MM 1200MM 1500MM</t>
  </si>
  <si>
    <t>PEND ARIA PTO 3000K LED BIV 60W 4500 25MM 500MM 500MM 1500MM</t>
  </si>
  <si>
    <t>PEND ARIA BCO 3000K LED BIV 60W 4500 25MM 500MM 500MM 1500MM</t>
  </si>
  <si>
    <t>PEND ARIA DOU ONO 3000K LED BIV 60W 4500 25MM 500MM 500MM 1500MM</t>
  </si>
  <si>
    <t>PEND ARIA COBRE ONO 3000K LED BIV 60W 4500 25MM 500MM 500MM 1500MM</t>
  </si>
  <si>
    <t>PEND ARIA BCO 4000K LED BIV 60W 4500 25MM 500MM 500MM 1500MM</t>
  </si>
  <si>
    <t>PEND ARIA COBRE ONO 4000K LED BIV 60W 4500 25MM 500MM 500MM 1500MM</t>
  </si>
  <si>
    <t>PEND ARIA DOU ONO 4000K LED BIV 60W 4500 25MM 500MM 500MM 1500MM</t>
  </si>
  <si>
    <t>PEND ARIA PTO 4000K LED BIV 60W 4500 25MM 500MM 500MM 1500MM</t>
  </si>
  <si>
    <t>PEND CASE BCO 3000K LED BIV 40W 3000 80MM 450MM 450MM 1500MM</t>
  </si>
  <si>
    <t>PEND CASE PTO 3000K LED BIV 40W 3000 80MM 450MM 450MM 1500MM</t>
  </si>
  <si>
    <t>PEND CASE DOU ONO 3000K LED BIV 40W 3000 80MM 450MM 450MM 1500MM</t>
  </si>
  <si>
    <t>PEND CASE DOU ONO 4000K LED BIV 40W 3000 80MM 450MM 450MM 1500MM</t>
  </si>
  <si>
    <t>PEND CASE PTO 4000K LED BIV 40W 3000 80MM 450MM 450MM 1500MM</t>
  </si>
  <si>
    <t>PEND CASE BCO 4000K LED BIV 40W 3000 80MM 450MM 450MM 1500MM</t>
  </si>
  <si>
    <t>PEND EVENT PTO 3000K LED BIV 30W 2250 25MM 570MM 570MM 1500MM</t>
  </si>
  <si>
    <t>PEND EVENT BCO 3000K LED BIV 30W 2250 25MM 570MM 570MM 1500MM</t>
  </si>
  <si>
    <t>PEND EVENT DOU ONO 3000K LED BIV 30W 2250 25MM 570MM 570MM 1500MM</t>
  </si>
  <si>
    <t>PEND EVENT PTO 4000K LED BIV 30W 2250 25MM 570MM 570MM 1500MM</t>
  </si>
  <si>
    <t>PEND EVENT DOU ONO 4000K LED BIV 30W 2250 25MM 570MM 570MM 1500MM</t>
  </si>
  <si>
    <t>PEND EVENT BCO 4000K LED BIV 30W 2250 25MM 570MM 570MM 1500MM</t>
  </si>
  <si>
    <t>PEND ONLY BCO 3000K LED BIV</t>
  </si>
  <si>
    <t>PEND ONLY PTO 3000K LED BIV</t>
  </si>
  <si>
    <t>PEND ONLY PTO</t>
  </si>
  <si>
    <t>PEND ONLY DOU ONO 3000K LED BIV</t>
  </si>
  <si>
    <t>PEND ONLY BCO</t>
  </si>
  <si>
    <t>PEND ONLY DOU ONO 4000K LED BIV</t>
  </si>
  <si>
    <t>PEND ONLY BCO 4000K LED BIV</t>
  </si>
  <si>
    <t>PEND ONLY COBRE ONO 4000K LED BIV</t>
  </si>
  <si>
    <t>PEND ONLY PTO 4000K LED BIV</t>
  </si>
  <si>
    <t>PEND SHINE COBRE LIX 3000K LED BIV 2W 150 380MM 50MM 50MM 1500MM</t>
  </si>
  <si>
    <t>PEND SHINE DOU LIX 3000K LED BIV 2W 150 380MM 50MM 50MM 1500MM</t>
  </si>
  <si>
    <t>PEND SHINE COBRE ONO 3000K LED BIV 2W 150 380MM 50MM 50MM 1500MM</t>
  </si>
  <si>
    <t>PEND SHINE COBRE POL 3000K LED BIV 2W 150 380MM 50MM 50MM 1500MM</t>
  </si>
  <si>
    <t>PEND SHINE DOU ONO 3000K LED BIV 2W 150 380MM 50MM 50MM 1500MM</t>
  </si>
  <si>
    <t>PEND SHINE DOU POL 3000K LED BIV 2W 150 380MM 50MM 50MM 1500MM</t>
  </si>
  <si>
    <t>PEND SHINE PTO 3000K LED BIV 2W 150 380MM 50MM 50MM 1500MM</t>
  </si>
  <si>
    <t>PEND SHINE LIX 3000K LED BIV 2W 150 380MM 50MM 50MM 1500MM</t>
  </si>
  <si>
    <t>PEND SHINE POL 3000K LED BIV 2W 150 380MM 50MM 50MM 1500MM</t>
  </si>
  <si>
    <t>ARAND ELLOS BCO 1 X E27 220MM 120MM 145MM</t>
  </si>
  <si>
    <t>ARAND ELLOS BCO</t>
  </si>
  <si>
    <t>ARAND ELLOS PTO 1 X E27 220MM 120MM 145MM</t>
  </si>
  <si>
    <t>ARAND ELLOS PTO</t>
  </si>
  <si>
    <t>ARAND ELOS BCO</t>
  </si>
  <si>
    <t>ARAND ELOS PTO</t>
  </si>
  <si>
    <t>ARAND ASTRA BCO 1 X E27 170MM 120MM 160MM</t>
  </si>
  <si>
    <t>ARAND ASTRA BCO</t>
  </si>
  <si>
    <t>ARAND ASTRA COBRE POL 1 X E27 170MM 120MM 160MM</t>
  </si>
  <si>
    <t>ARAND ASTRA DOU ONO 1 X E27 170MM 120MM 160MM</t>
  </si>
  <si>
    <t>ARAND ASTRA PTO 1 X E27 170MM 120MM 160MM</t>
  </si>
  <si>
    <t>ARAND ASTRA PTO</t>
  </si>
  <si>
    <t>ARAND ASTRA DOU POL 1 X E27 170MM 120MM 160MM</t>
  </si>
  <si>
    <t>ARAND ASTRA POL 1 X E27 170MM 120MM 160MM</t>
  </si>
  <si>
    <t>ARAND DROP BCO 1 X G9 220MM 120MM 160MM</t>
  </si>
  <si>
    <t>ARAND DROP COBRE ONO 1 X G9 220MM 120MM 160MM</t>
  </si>
  <si>
    <t>ARAND DROP COBRE POL 1 X G9 220MM 120MM 160MM</t>
  </si>
  <si>
    <t>ARAND DROP DOU ONO 1 X G9 220MM 120MM 160MM</t>
  </si>
  <si>
    <t>ARAND DROP PTO 1 X G9 220MM 120MM 160MM</t>
  </si>
  <si>
    <t>ARAND DROP DOU POL 1 X G9 220MM 120MM 160MM</t>
  </si>
  <si>
    <t>ARAND DROP POL 1 X G9 220MM 120MM 160MM</t>
  </si>
  <si>
    <t>ARAND SOFT BCO 1 X E27 200MM 150MM 200MM</t>
  </si>
  <si>
    <t>ARAND SOFT COBRE POL 1 X E27 200MM 150MM 200MM</t>
  </si>
  <si>
    <t>ARAND SOFT DOU ONO 1 X E27 200MM 150MM 200MM</t>
  </si>
  <si>
    <t>ARAND SOFT DOU POL 1 X E27 200MM 150MM 200MM</t>
  </si>
  <si>
    <t>ARAND SOFT POL 1 X E27 200MM 150MM 200MM</t>
  </si>
  <si>
    <t>ARAND SOFT PTO 1 X E27 200MM 150MM 200MM</t>
  </si>
  <si>
    <t>ARAND SOFT COBRE ONO 1 X E27 200MM 150MM 200MM</t>
  </si>
  <si>
    <t>ARAND PENDULO BCO VIDRO LEITOSO 1 X G9 450MM 120MM 180MM</t>
  </si>
  <si>
    <t>ARAND PENDULO COBRE ONO VIDRO LEITOSO 1 X G9 450MM 120MM 180MM</t>
  </si>
  <si>
    <t>ARAND PENDULO COBRE POL VIDRO LEITOSO 1 X G9 450MM 120MM 180MM</t>
  </si>
  <si>
    <t>ARAND PENDULO DOU ONO VIDRO LEITOSO 1 X G9 450MM 120MM 180MM</t>
  </si>
  <si>
    <t>ARAND PENDULO DOU POL VIDRO LEITOSO 1 X G9 450MM 120MM 180MM</t>
  </si>
  <si>
    <t>ARAND PENDULO POL VIDRO LEITOSO 1 X G9 450MM 120MM 180MM</t>
  </si>
  <si>
    <t>ARAND PENDULO PTO VIDRO LEITOSO 1 X G9 450MM 120MM 180MM</t>
  </si>
  <si>
    <t>ARAND DOUBLE COBRE POL VIDRO LEITOSO 2 X G9 250MM 150MM 250MM</t>
  </si>
  <si>
    <t>ARAND DOUBLE COBRE LIX VIDRO LEITOSO 2 X G9 250MM 150MM 250MM</t>
  </si>
  <si>
    <t>ARAND DOUBLE DOU LIX VIDRO LEITOSO 2 X G9 250MM 150MM 250MM</t>
  </si>
  <si>
    <t>ARAND DOUBLE DOU ONO VIDRO LEITOSO 2 X G9 250MM 150MM 250MM</t>
  </si>
  <si>
    <t>ARAND DOUBLE DOU POL VIDRO LEITOSO 2 X G9 250MM 150MM 250MM</t>
  </si>
  <si>
    <t>ARAND DOUBLE PTO VIDRO LEITOSO 2 X G9 250MM 150MM 250MM</t>
  </si>
  <si>
    <t>ARAND DOUBLE COBRE ONO VIDRO LEITOSO 2 X G9 250MM 150MM 250MM</t>
  </si>
  <si>
    <t>ARAND DOUBLE LIX VIDRO LEITOSO 2 X G9 250MM 150MM 250MM</t>
  </si>
  <si>
    <t>ARAND DOUBLE POL VIDRO LEITOSO 2 X G9 250MM 150MM 250MM</t>
  </si>
  <si>
    <t>ARAND DOUBLE BCO VIDRO LEITOSO 2 X G9 250MM 150MM 250MM</t>
  </si>
  <si>
    <t>ARAND VEGA COBRE ONO VIDRO LEITOSO 3 X G9 600MM 100MM 200MM</t>
  </si>
  <si>
    <t>ARAND VEGA COBRE POL VIDRO LEITOSO 3 X G9 600MM 100MM 200MM</t>
  </si>
  <si>
    <t>ARAND VEGA DOU LIX VIDRO LEITOSO 3 X G9 600MM 100MM 200MM</t>
  </si>
  <si>
    <t>ARAND VEGA DOU ONO VIDRO LEITOSO 3 X G9 600MM 100MM 200MM</t>
  </si>
  <si>
    <t>ARAND VEGA DOU POL VIDRO LEITOSO 3 X G9 600MM 100MM 200MM</t>
  </si>
  <si>
    <t>ARAND VEGA PTO VIDRO LEITOSO 3 X G9 600MM 100MM 200MM</t>
  </si>
  <si>
    <t>ARAND VEGA BCO VIDRO LEITOSO 3 X G9 600MM 100MM 200MM</t>
  </si>
  <si>
    <t>ARAND VEGA COBRE LIX VIDRO LEITOSO 3 X G9 600MM 100MM 200MM</t>
  </si>
  <si>
    <t>ARAND VEGA LIX VIDRO LEITOSO 3 X G9 600MM 100MM 200MM</t>
  </si>
  <si>
    <t>ARAND VEGA POL VIDRO LEITOSO 3 X G9 600MM 100MM 200MM</t>
  </si>
  <si>
    <t>ARAND DELTA BCOVIDRO AMBAR 1 X G9 280MM 140MM 200MM</t>
  </si>
  <si>
    <t>ARAND DELTA COBRE ONOVIDRO AMBAR 1 X G9 280MM 140MM 200MM</t>
  </si>
  <si>
    <t>ARAND DELTA COBRE POLVIDRO AMBAR 1 X G9 280MM 140MM 200MM</t>
  </si>
  <si>
    <t>ARAND DELTA DOU ONOVIDRO AMBAR 1 X G9 280MM 140MM 200MM</t>
  </si>
  <si>
    <t>ARAND DELTA DOU POLVIDRO AMBAR 1 X G9 280MM 140MM 200MM</t>
  </si>
  <si>
    <t>ARAND DELTA PTOVIDRO AMBAR 1 X G9 280MM 140MM 200MM</t>
  </si>
  <si>
    <t>ARAND DELTA COBRE ONO VIDRO DUO 1 X G9 280MM 140MM 200MM</t>
  </si>
  <si>
    <t>ARAND DELTA COBRE POL VIDRO DUO 1 X G9 280MM 140MM 200MM</t>
  </si>
  <si>
    <t>ARAND DELTA DOU ONOVIDRO DUO 1 X G9 280MM 140MM 200MM</t>
  </si>
  <si>
    <t>ARAND DELTA DOU POL VIDRO DUO 1 X G9 280MM 140MM 200MM</t>
  </si>
  <si>
    <t>ARAND DELTA BCO VIDRO DUO 1 X G9 280MM 140MM 200MM</t>
  </si>
  <si>
    <t>ARAND DELTA PTO VIDRO DUO 1 X G9 280MM 140MM 200MM</t>
  </si>
  <si>
    <t>ARAND DELTA COBRE POLVIDRO LEITOSO 1 X G9 280MM 140MM 200MM</t>
  </si>
  <si>
    <t>ARAND DELTA PTOVIDRO LEITOSO 1 X G9 280MM 140MM 200MM</t>
  </si>
  <si>
    <t>ARAND DELTA BCO VD LEITOSO 1 X G9 280MM 140MM 200MM</t>
  </si>
  <si>
    <t>ARAND DELTA COBRE ONO VD LEITOSO 1 X G9 280MM 140MM 200MM</t>
  </si>
  <si>
    <t>ARAND DELTA DOU ONO VIDRO LEITOSO 1 X G9 280MM 140MM 200MM</t>
  </si>
  <si>
    <t>ARAND UNO BCO VIDRO LEITOSO 1 X E27 220MM 150MM 250MM</t>
  </si>
  <si>
    <t>ARAND UNO COBRE LIXVIDRO LEITOSO 1 X E27 220MM 150MM 250MM</t>
  </si>
  <si>
    <t>ARAND UNO COBRE ONOVIDRO LEITOSO 1 X E27 220MM 150MM 250MM</t>
  </si>
  <si>
    <t>ARAND UNO COBRE POLVIDRO LEITOSO 1 X E27 220MM 150MM 250MM</t>
  </si>
  <si>
    <t>ARAND UNO DOU LIXVIDRO LEITOSO 1 X E27 220MM 150MM 250MM</t>
  </si>
  <si>
    <t>ARAND UNO DOU ONOVIDRO LEITOSO 1 X E27 220MM 150MM 250MM</t>
  </si>
  <si>
    <t>ARAND UNO POLVIDRO LEITOSO 1 X E27 220MM 150MM 250MM</t>
  </si>
  <si>
    <t>ARAND UNO PTOVIDRO LEITOSO 1 X E27 220MM 150MM 250MM</t>
  </si>
  <si>
    <t>ARAND UNO DOU POLVIDRO LEITOSO 1 X E27 220MM 150MM 250MM</t>
  </si>
  <si>
    <t>ARAND UNO LIX VIDRO LEITOSO 1 X E27 220MM 150MM 250MM</t>
  </si>
  <si>
    <t>ARAND HASTE BCO 1 X E27 440MM 50MM 250MM</t>
  </si>
  <si>
    <t>ARAND HASTE COBRE ONO 1 X E27 440MM 50MM 250MM</t>
  </si>
  <si>
    <t>ARAND HASTE COBRE POL 1 X E27 440MM 50MM 250MM</t>
  </si>
  <si>
    <t>ARAND HASTE DOU LIX 1 X E27 440MM 50MM 250MM</t>
  </si>
  <si>
    <t>ARAND HASTE DOU ONO 1 X E27 440MM 50MM 250MM</t>
  </si>
  <si>
    <t>ARAND HASTE DOU POL 1 X E27 440MM 50MM 250MM</t>
  </si>
  <si>
    <t>ARAND HASTE PTO 1 X E27 440MM 50MM 250MM</t>
  </si>
  <si>
    <t>ARAND HASTE ROSE 1 X E27 440MM 50MM 250MM</t>
  </si>
  <si>
    <t>ARAND BUZIOS COBRE ONO 1 X G9 550MM 120MM 200MM</t>
  </si>
  <si>
    <t>ARAND BUZIOS DOU ONO 1 X G9 550MM 120MM 200MM</t>
  </si>
  <si>
    <t>ARAND BUZIOS DOU POL 1 X G9 550MM 120MM 200MM</t>
  </si>
  <si>
    <t>ARAND BUZIOS PTO 1 X G9 550MM 120MM 200MM</t>
  </si>
  <si>
    <t>ARAND BUZIOS DOU LIX 1 X G9 550MM 120MM 200MM</t>
  </si>
  <si>
    <t>ARAND BUZIOS BCO FOSCO 1 X G9 550MM 120MM 200MM</t>
  </si>
  <si>
    <t>ARAND BUZIOS COBRE LIX 1 X G9 550MM 120MM 200MM</t>
  </si>
  <si>
    <t>ARAND BUZIOS POL 1 X G9 550MM 120MM 200MM</t>
  </si>
  <si>
    <t>ARAND BÚZIOS COBRE POL 1 X G9 550MM 120MM 200MM</t>
  </si>
  <si>
    <t>ARAND SHELL BCO 1 X G9 400MM 100MM 300MM</t>
  </si>
  <si>
    <t>ARAND SHELL COBRE ONO 1 X G9 400MM 100MM 300MM</t>
  </si>
  <si>
    <t>ARAND SHELL COBRE POL 1 X G9 400MM 100MM 300MM</t>
  </si>
  <si>
    <t>ARAND SHELL DOU ONO 1 X G9 400MM 100MM 300MM</t>
  </si>
  <si>
    <t>ARAND SHELL DOU POL 1 X G9 400MM 100MM 300MM</t>
  </si>
  <si>
    <t>ARAND SHELL PTO 1 X G9 400MM 100MM 300MM</t>
  </si>
  <si>
    <t>ARAND SHELL PTO</t>
  </si>
  <si>
    <t>ARAND SHELL BCO C DOR LIX 1 X G9 400MM 100MM 300MM</t>
  </si>
  <si>
    <t>ARAND SHELL POL 1 X G9 400MM 100MM 300MM</t>
  </si>
  <si>
    <t>ARAND SHELL BCO</t>
  </si>
  <si>
    <t>ARAND TROMP DOU ONO VIDRO LEITOSO 1 X E27 780MM 150MM 300MM</t>
  </si>
  <si>
    <t>ARAND TROMP PTO VIDRO LEITOSO 1 X E27 780MM 150MM 300MM</t>
  </si>
  <si>
    <t>ARAND TORCH PTO 1 X E27 500MM 90MM 140MM</t>
  </si>
  <si>
    <t>ARAND TORCH PTO</t>
  </si>
  <si>
    <t>ARAND TORCH BCO 1 X E27 500MM 90MM 140MM</t>
  </si>
  <si>
    <t>ARAND TORCH DOU LIX 1 X E27 500MM 90MM 140MM</t>
  </si>
  <si>
    <t>ARAND TORCH PRETA CUPULA PRETA 1 X E27 500MM 90MM 140MM</t>
  </si>
  <si>
    <t>ARAND TORCH POL 1 X E27 500MM 90MM 140MM</t>
  </si>
  <si>
    <t>ARAND GOTA BCO VIDRO LEITOSO 1 X G9 430MM 170MM 160MM</t>
  </si>
  <si>
    <t>ARAND GOTA COBRE ONO VIDRO LEITOSO 1 X G9 430MM 170MM 160MM</t>
  </si>
  <si>
    <t>ARAND GOTA COBRE POL VIDRO LEITOSO 1 X G9 430MM 170MM 160MM</t>
  </si>
  <si>
    <t>ARAND GOTA DOU ONO VIDRO LEITOSO 1 X G9 430MM 170MM 160MM</t>
  </si>
  <si>
    <t>ARAND GOTA DOU POL VIDRO LEITOSO 1 X G9 430MM 170MM 160MM</t>
  </si>
  <si>
    <t>ARAND GOTA POL VIDRO LEITOSO 1 X G9 430MM 170MM 160MM</t>
  </si>
  <si>
    <t>ARAND GOTA PTO VIDRO LEITOSO 1 X G9 430MM 170MM 160MM</t>
  </si>
  <si>
    <t>ARAND MADRI COBRE LIX 1 X E27 270MM 160MM 200MM</t>
  </si>
  <si>
    <t>ARAND MADRI COBRE POL 1 X E27 270MM 160MM 200MM</t>
  </si>
  <si>
    <t>ARAND MADRI PTO 1 X E27 270MM 160MM 200MM</t>
  </si>
  <si>
    <t>ARAND MADRI PTO</t>
  </si>
  <si>
    <t>ARAND MADRI DOU ONO 1 X E27 270MM 160MM 200MM</t>
  </si>
  <si>
    <t>ARAND MADRI COBRE ONO 1 X E27 270MM 160MM 200MM</t>
  </si>
  <si>
    <t>ARANDMADRI BCO</t>
  </si>
  <si>
    <t>ARAND MADRI DOU POL 1 X E27 270MM 160MM 200MM</t>
  </si>
  <si>
    <t>ARAND MADRI BCO</t>
  </si>
  <si>
    <t>ARAND STYLE BCO 3000K LED BIV 9,5W 712,5 400MM 90MM</t>
  </si>
  <si>
    <t>ARAND STYLE PTO 3000K LED BIV 9,5W 712,5 400MM 90MM</t>
  </si>
  <si>
    <t>ARAND STYLE COBRE ONO 3000K LED BIV 9,5W 712,5 400MM 90MM</t>
  </si>
  <si>
    <t>ARAND STYLE DOU ONO 3000K LED BIV 9,5W 712,5 400MM 90MM</t>
  </si>
  <si>
    <t>ARAND STYLE DOU ONO 4000K LED BIV 9,5W 712,5 400MM 90MM</t>
  </si>
  <si>
    <t>ARAND STYLE PTO 4000K LED BIV 9,5W 712,5 400MM 90MM</t>
  </si>
  <si>
    <t>ARAND STYLE COBRE ONO 4000K LED BIV 9,5W 712,5 400MM 90MM</t>
  </si>
  <si>
    <t>ARAND STYLE BCO 4000K LED BIV 9,5W 712,5 400MM 90MM</t>
  </si>
  <si>
    <t>ARAND STYLE COBRE ONO 3000K LED BIV 8,5W 637,5 300MM 70MM</t>
  </si>
  <si>
    <t>ARAND STYLE DOU ONO 3000K LED BIV 8,5W 637,5 300MM 70MM</t>
  </si>
  <si>
    <t>ARAND STYLE PTO 3000K LED BIV 8,5W 637,5 300MM 70MM</t>
  </si>
  <si>
    <t>ARAND STYLE BCO 3000K LED BIV 8,5W 637,5 300MM 70MM</t>
  </si>
  <si>
    <t>ARAND STYLE PTO4000K LED BIV 8,5W 637,5 300MM 70MM</t>
  </si>
  <si>
    <t>ARAND STYLE COBRE ONO 4000K LED BIV 8,5W 637,5 300MM 70MM</t>
  </si>
  <si>
    <t>ARAND STYLE BCO 4000K LED BIV 8,5W 637,5 300MM 70MM</t>
  </si>
  <si>
    <t>ARAND STYLE DOU ONO 4000K LED BIV 8,5W 637,5 300MM 70MM</t>
  </si>
  <si>
    <t>ARAND DOME PTO</t>
  </si>
  <si>
    <t>ARAND DOME BCO 1 XG9 450MM 190MM 1150MM</t>
  </si>
  <si>
    <t>ARAND DOME BCO</t>
  </si>
  <si>
    <t>ARAND DOME COBRE ONO 1 XG9 450MM 190MM 1150MM</t>
  </si>
  <si>
    <t>ARAND DOME DOU POL 1 XG9 450MM 190MM 1150MM</t>
  </si>
  <si>
    <t>ARAND DOME PTO 1 XG9 450MM 190MM 1150MM</t>
  </si>
  <si>
    <t>ARAND DOME POL 1 XG9 450MM 190MM 1150MM</t>
  </si>
  <si>
    <t>ARAND DOME DOU LIX 1 XG9 450MM 190MM 1150MM</t>
  </si>
  <si>
    <t>1 ARADELA DOME BCO</t>
  </si>
  <si>
    <t>ARAND DOME COBRE LIX 1 XG9 450MM 190MM 1150MM</t>
  </si>
  <si>
    <t>ARAND DOME BCO C DOU POL 1 XG9 450MM 190MM 1150MM</t>
  </si>
  <si>
    <t>ARAND DOME DOU ONO 1 XG9 450MM 190MM 1150MM</t>
  </si>
  <si>
    <t>ARAND DOME COBRE POL 1 XG9 450MM 190MM 1150MM</t>
  </si>
  <si>
    <t>ABAJ CITY BCO</t>
  </si>
  <si>
    <t>ABAJ CITY COBRE POL 1 X E27 380MM 140MM 140MM</t>
  </si>
  <si>
    <t>ABAJ CITY DOU POL 1 X E27 380MM 140MM 140MM</t>
  </si>
  <si>
    <t>ABAJ CITY PTO 1 X E27 380MM 140MM 140MM</t>
  </si>
  <si>
    <t>ABAJ CITY PTO</t>
  </si>
  <si>
    <t>ABAJ DROP AZUL 1 X G9 300MM 130MM 170MM</t>
  </si>
  <si>
    <t>ABAJ DROP BCO 1 X G9 300MM 130MM 170MM</t>
  </si>
  <si>
    <t>ABAJ DROP COBRE POL 1 X G9 300MM 130MM 170MM</t>
  </si>
  <si>
    <t>ABAJ DROP DOU ONO 1 X G9 300MM 130MM 170MM</t>
  </si>
  <si>
    <t>ABAJ DROP DOU POL 1 X G9 300MM 130MM 170MM</t>
  </si>
  <si>
    <t>ABAJ DROP PTO 1 X G9 300MM 130MM 170MM</t>
  </si>
  <si>
    <t>ABAJ DROP ROSA 1 X G9 300MM 130MM 170MM</t>
  </si>
  <si>
    <t>ABAJ MADRI BCO 1 X E27 540MM 175MM 220MM</t>
  </si>
  <si>
    <t>ABAJ MADRI COBRE LIX 1 X E27 540MM 175MM 220MM</t>
  </si>
  <si>
    <t>ABAJ MADRI COBRE POL 1 X E27 540MM 175MM 220MM</t>
  </si>
  <si>
    <t>ABAJ MADRI PTO 1 X E27 540MM 175MM 220MM</t>
  </si>
  <si>
    <t>ABAJ PTO</t>
  </si>
  <si>
    <t>ABAJ MADRI PTO</t>
  </si>
  <si>
    <t>ABAJ MADRI DOU ONO 1 X E27 540MM 175MM 220MM</t>
  </si>
  <si>
    <t>ABAJ MADRI COBRE ONO 1 X E27 540MM 175MM 220MM</t>
  </si>
  <si>
    <t>ABAJ MADRI BCO</t>
  </si>
  <si>
    <t>ABAJ MADRI DOU POL 1 X E27 540MM 175MM 220MM</t>
  </si>
  <si>
    <t>COLUNA KAMILLA LIX</t>
  </si>
  <si>
    <t>COLUNA KAMILLA PTO</t>
  </si>
  <si>
    <t>COLUNA KAMILLA DOU LIX</t>
  </si>
  <si>
    <t>COLUNA KAMILLA BCO 1 X E27 1450MM 220MM 220MM</t>
  </si>
  <si>
    <t>COLUNA KAMILLA PTO TOTAL 1 X E27 1450MM 220MM 220MM</t>
  </si>
  <si>
    <t>COLUNA SQUARE BCO 1 X E27 1580MM 210MM 210MM</t>
  </si>
  <si>
    <t>COLUNA SQUARE COBRE POL</t>
  </si>
  <si>
    <t>COLUNA SQUARE PTO 1 X E27 1580MM 210MM 210MM</t>
  </si>
  <si>
    <t>COLUNA SQUARE DOU POL</t>
  </si>
  <si>
    <t>COLUNA SQUARE PTO</t>
  </si>
  <si>
    <t>COLUNA SQUARE COBRE ONO 1 X E27 1580MM 210MM 210MM</t>
  </si>
  <si>
    <t>COLUNA SQUARE DOU ONO 1 X E27 1580MM 210MM 210MM</t>
  </si>
  <si>
    <t>COLUNA DENVER PTO</t>
  </si>
  <si>
    <t>COLUNA DENVER BCO 1 X E27 1600MM 210MM 380MM</t>
  </si>
  <si>
    <t>COLUNA DENVER BCO</t>
  </si>
  <si>
    <t>COLUNA DENVER COBRE POL</t>
  </si>
  <si>
    <t>COLUNA DENVER DOU POL</t>
  </si>
  <si>
    <t>COLUNA DENVER POL</t>
  </si>
  <si>
    <t>COLUNA DENVER PTO 1 X E27 1600MM 210MM 380MM</t>
  </si>
  <si>
    <t>COLUNA OXFORD BCO BRILHANTE</t>
  </si>
  <si>
    <t>COLUNA OXFORD BCO</t>
  </si>
  <si>
    <t>COLUNA OXFORD PTO 1 X E27 1500 210 210</t>
  </si>
  <si>
    <t>COLUNA OXFORD PTO</t>
  </si>
  <si>
    <t>COLUNA CITY BCO</t>
  </si>
  <si>
    <t>COLUNA CITY PTO 1 X E27 1450MM 430MM 430MM</t>
  </si>
  <si>
    <t>COLUNA CITY PTO</t>
  </si>
  <si>
    <t>COLUNA MADRI BCO 1 X E27 1550MM 230MM 230MM</t>
  </si>
  <si>
    <t>COLUNA MADRI COBRE LIX 1 X E27 1550MM 230MM 230MM</t>
  </si>
  <si>
    <t>COLUNA MADRI COBRE POL 1 X E27 1550MM 230MM 230MM</t>
  </si>
  <si>
    <t>COLUNA MADRI PTO 1 X E27 1550MM 230MM 230MM</t>
  </si>
  <si>
    <t>COLUNA MADRI PTO</t>
  </si>
  <si>
    <t>COLUNA MADRI DOU ONO 1 X E27 1550MM 230MM 230MM</t>
  </si>
  <si>
    <t>COLUNA MADRI COBRE ONO 1 X E27 1550MM 230MM 230MM</t>
  </si>
  <si>
    <t>COLUNA MADRI BCO</t>
  </si>
  <si>
    <t>COLUNA MADRI DOU POL 1 X E27 1550MM 230MM 230MM</t>
  </si>
  <si>
    <t>ESPELHO VANITY BCO 3000K LED BIV 40W 3000 600MM 600MM 25MM</t>
  </si>
  <si>
    <t>ESPELHO VANITY PTO 3000K LED BIV 40W 3000 600MM 600MM 25MM</t>
  </si>
  <si>
    <t>ESPELHO VANITY DOU ONO 3000K LED BIV 40W 3000 600MM 600MM 25MM</t>
  </si>
  <si>
    <t>ESPELHO VANITY BCO 4000K LED BIV 40W 3000 600MM 600MM 25MM</t>
  </si>
  <si>
    <t>ESPELHO VANITY PTO 4000K LED BIV 40W 3000 600MM 600MM 25MM</t>
  </si>
  <si>
    <t>ESPELHO VANITY DOU ONO 4000K LED BIV 40W 3000 600MM 600MM 25MM</t>
  </si>
  <si>
    <t>ARAND SHINE PTO 3000K LED BIV 1,5 W 112,5 370MM 45MM 90MM</t>
  </si>
  <si>
    <t>ARAND SHINE BCO 3000K LED BIV 1,5 W 112,5 370MM 45MM 90MM</t>
  </si>
  <si>
    <t>ARAND SHINE DOU POL 3000K LED BIV 1,5 W 112,5 370MM 45MM 90MM</t>
  </si>
  <si>
    <t>ARAND SHINE COBRE POL 3000K LED BIV 1,5 W 112,5 370MM 45MM 90MM</t>
  </si>
  <si>
    <t>ARAND SHINE DOU LIX 3000K LED BIV 1,5 W 112,5 370MM 45MM 90MM</t>
  </si>
  <si>
    <t>ARAND SHINE COBRE LIX 3000K LED BIV 1,5 W 112,5 370MM 45MM 90MM</t>
  </si>
  <si>
    <t>ARAND SHINE DOU ONO LED BIV 1,5 W 112,5 370MM 45MM 90MM</t>
  </si>
  <si>
    <t>ARAND ZURICK PTO 1 X E27 400MM 120MM 230MM C INTERRUPTOR</t>
  </si>
  <si>
    <t>ARAND ZURICK PTO</t>
  </si>
  <si>
    <t>ARAND VENEZA ROSA</t>
  </si>
  <si>
    <t>ARAND VENEZA PTO 1 X E27 210MM 150MM 200MM</t>
  </si>
  <si>
    <t>ARAND VENEZA BCO</t>
  </si>
  <si>
    <t>ARAND VENEZA DOU LIX 1 X E27 210MM 150MM 200MM</t>
  </si>
  <si>
    <t>ARAND VENEZA PTO</t>
  </si>
  <si>
    <t>ARAND VENEZA DOU ONO 1 X E27 210MM 150MM 200MM</t>
  </si>
  <si>
    <t>ARAND LINA PTO</t>
  </si>
  <si>
    <t>ARAND LINA PTO 1 X E27 900MM 50MM 1000MM 1,8M</t>
  </si>
  <si>
    <t>ARAND LINA DOU ONO 1 X E27 900MM 50MM 1000MM 1,8M</t>
  </si>
  <si>
    <t>ARAND CAKE PTO</t>
  </si>
  <si>
    <t>ARAND CAKE PTO 3000 K LED BIV 8W 600 170MM 300MM 300MM</t>
  </si>
  <si>
    <t>ARAND CAKE BCO 3000 K LED BIV 8W 600 170MM 300MM 300MM</t>
  </si>
  <si>
    <t>ARAND CAKE DOU ONO 3000 K LED BIV 8W 600 170MM 300MM 300MM</t>
  </si>
  <si>
    <t>ARAND CAKE PTO 4000 K LED BIV 8W 600 170MM 300MM 300MM</t>
  </si>
  <si>
    <t>ARAND CAKE BCO 4000 K LED BIV 8W 600 170MM 300MM 300MM</t>
  </si>
  <si>
    <t>ARAND CAKE DOU ONO 4000 K LED BIV 8W 600 170MM 300MM 300MM</t>
  </si>
  <si>
    <t>ARAND TORCIA PTO</t>
  </si>
  <si>
    <t>ARAND TORCIA PTO CUPULA PRETA 1 X E27 230MM 150MM 120MM C INTERRUPTOR</t>
  </si>
  <si>
    <t>ARAND TORCIA BCO CUPULA CRU 1 X E27 230MM 150MM 120MM C INTERRUPTOR</t>
  </si>
  <si>
    <t>ARAND TORCIA DOU ONO CUPULA PRETA 1 X E27 230MM 150MM 120MM C INTERRUPTOR</t>
  </si>
  <si>
    <t>ARAND TORCIA DOU LIX CUPULA CRU 1 X E27 230MM 150MM 120MM C INTERRUPTOR</t>
  </si>
  <si>
    <t>ARAND PARMA PTO</t>
  </si>
  <si>
    <t>ARAND PARMA PTO 2 X GU10 230MM 120MM 120MM</t>
  </si>
  <si>
    <t>ARAND PARMA BCO 2 X GU10 230MM 120MM 120MM</t>
  </si>
  <si>
    <t>ARAND PARMA BCO</t>
  </si>
  <si>
    <t>ARAND PARMA VERDE</t>
  </si>
  <si>
    <t>ARAND PARMA DOU ONO 2 X GU10 230MM 120MM 120MM</t>
  </si>
  <si>
    <t>ARAND PARMA DOU LIX 2 X GU10 230MM 120MM 120MM</t>
  </si>
  <si>
    <t>ARAND STRING PTO CUPULA PRETA 1 X E27 270MM 120MM 170MM C INTERRUPTOR</t>
  </si>
  <si>
    <t>ARAND STRING DOU LIX CUPULA PRETA 1 X E27 270MM 120MM 170MM C INTERRUPTOR</t>
  </si>
  <si>
    <t>ARAND STRING DOU ONO CUPULA PRETA 1 X E27 270MM 120MM 170MM C INTERRUPTOR</t>
  </si>
  <si>
    <t>ARAND STRING BCO CUPULA CRU 1 X E27 270MM 120MM 170MM C INTERRUPTOR</t>
  </si>
  <si>
    <t>ARAND STRING DOU LIX CUPULA CRU 1 X E27 270MM 120MM 170MM C INTERRUPTOR</t>
  </si>
  <si>
    <t>ARAND IPE AMARELO 1 X E27 210MM 150MM 210MM C INTERRUPTOR</t>
  </si>
  <si>
    <t>ARAND IPE BCO 1 X E27 210MM 150MM 210MM C INTERRUPTOR</t>
  </si>
  <si>
    <t>ARAND IPE PTO</t>
  </si>
  <si>
    <t>ARAND IPE DOU LIX 1 X E27 210MM 150MM 210MM C INTERRUPTOR</t>
  </si>
  <si>
    <t>ARAND PRISMA 40CM BCO 3000K LED BIV 6W 450 50MM 40MM 400MM C INTERRUPTOR</t>
  </si>
  <si>
    <t>ARAND PRISMA 40CM PTO 3000K LED BIV 6W 450 50MM 40MM 400MM C INTERRUPTOR</t>
  </si>
  <si>
    <t>ARAND PRISMA 40CM BCO 4000K LED BIV 6W 450 50MM 40MM 400MM C INTERRUPTOR</t>
  </si>
  <si>
    <t>ARAND PRISMA 40CM PTO 4000K LED BIV 6W 450 50MM 40MM 400MM C INTERRUPTOR</t>
  </si>
  <si>
    <t>ARAND PRISMA 40CM DOU ONO 3000K LED BIV 6W 450 50MM 40MM 400MM C INTERRUPTOR</t>
  </si>
  <si>
    <t>ARAND PRISMA 40CM DOU ONO 4000K LED BIV 6W 450 50MM 40MM 400MM C INTERRUPTOR</t>
  </si>
  <si>
    <t>ARAND PRISMA 60CM BCO 3000K LED BIV 9W 675 50MM 40MM 600MM C INTERRUPTOR</t>
  </si>
  <si>
    <t>ARAND PRISMA 60CM PTO 3000K LED BIV 9W 675 50MM 40MM 600MM C INTERRUPTOR</t>
  </si>
  <si>
    <t>ARAND PRISMA 60CM BCO 4000K LED BIV 9W 675 50MM 40MM 600MM C INTERRUPTOR</t>
  </si>
  <si>
    <t>ARAND PRISMA 60CM PTO 4000K LED BIV 9W 675 50MM 40MM 600MM C INTERRUPTOR</t>
  </si>
  <si>
    <t>ARAND PRISMA 60CM DOU ONO 3000K LED BIV 9W 675 50MM 40MM 600MM C INTERRUPTOR</t>
  </si>
  <si>
    <t>ARAND PRISMA 60CM DOU ONO 4000K LED BIV 9W 675 50MM 40MM 600MM C INTERRUPTOR</t>
  </si>
  <si>
    <t>ARAND CORNER BCO GLOBO LEITOSO 150MM 1 X E27 1450MM 150MM 270MM</t>
  </si>
  <si>
    <t>ARAND CORNER PTO GLOBO LEITOSO 150MM 1 X E27 1450MM 150MM 270MM</t>
  </si>
  <si>
    <t>ARAND CORNER DOU POL GLOBO LEITOSO 150MM 1 X E27 1450MM 150MM 270MM</t>
  </si>
  <si>
    <t>ARAND CORNER DOU ONO GLOBO LEITOSO 150MM 1 X E27 1450MM 150MM 270MM</t>
  </si>
  <si>
    <t>ARAND CORNER DOU LIX GLOBO LEITOSO 150MM 1 X E27 1450MM 150MM 270MM</t>
  </si>
  <si>
    <t>ARAND CORNER COBRE LIX GLOBO LEITOSO 150MM 1 X E27 1450MM 150MM 270MM</t>
  </si>
  <si>
    <t>ARAND BANK BCO GLOBO LEITOSO 100MM 1 X G9 160MM 250MM 150MM C INTERRUPTOR E PLUG USB</t>
  </si>
  <si>
    <t>ARAND BANK PTO GLOBO LEITOSO 100MM 1 X G9 160MM 250MM 150MM C INTERRUPTOR E PLUG USB</t>
  </si>
  <si>
    <t>ARAND BANK DOU ONO GLOBO LEITOSO 100MM 1 X G9 160MM 250MM 150MM C INTERRUPTOR E PLUG USB</t>
  </si>
  <si>
    <t>ARAND BANK BCO FLEXIVEL MINI SPOT 3000k LED BIV 3W 225 160MM 250MM 150MM C INTERRUPTOR E PLUG USB</t>
  </si>
  <si>
    <t>ARAND BANK PTO FLEXIVEL MINI SPOT 3000k LED BIV 3W 225 160MM 250MM 150MM C INTERRUPTOR E PLUG USB</t>
  </si>
  <si>
    <t>ARAND BANK BCO FLEXIVEL MINI SPOT 4000k LED BIV 3W 225 160MM 250MM 150MM C INTERRUPTOR E PLUG USB</t>
  </si>
  <si>
    <t>ARAND BANK PTO FLEXIVEL MINI SPOT 4000k LED BIV 3W 225 160MM 250MM 150MM C INTERRUPTOR E PLUG USB</t>
  </si>
  <si>
    <t>ARAND SCORE PTO 3000k LED BIV 3W 225 15MM 90MM 240MM</t>
  </si>
  <si>
    <t>ARAND SCORE BCO 3000k LED BIV 3W 225 15MM 90MM 240MM</t>
  </si>
  <si>
    <t>ARAND SCORE PTO 4000k LED BIV 3W 225 15MM 90MM 240MM</t>
  </si>
  <si>
    <t>ARAND SCORE BCO 4000k LED BIV 3W 225 15MM 90MM 240MM</t>
  </si>
  <si>
    <t>ARAND STELO BRANCA 1 X GU10 600MM 500MM 500MM</t>
  </si>
  <si>
    <t>ARAND STELO PRETA 1 X GU10 600MM 500MM 500MM</t>
  </si>
  <si>
    <t>ARAND STELO DOU ONO 1 X GU10 600MM 500MM 500MM</t>
  </si>
  <si>
    <t>ARAND STELO COBRE ONO 1 X GU10 600MM 500MM 500MM</t>
  </si>
  <si>
    <t>ARAND STELO PTO</t>
  </si>
  <si>
    <t>ARAND ESTECA BRANCA 1 X E27 600MM 500MM 500MM</t>
  </si>
  <si>
    <t>ARAND ESTECA PRETA 1 X E27 600MM 500MM 500MM</t>
  </si>
  <si>
    <t>ARAND ESTECA DOU ONO 1 X E27 600MM 500MM 500MM</t>
  </si>
  <si>
    <t>ARAND ESTECA COBRE ONO 1 X E27 600MM 500MM 500MM</t>
  </si>
  <si>
    <t>ARAND ESTECA BCO</t>
  </si>
  <si>
    <t>ARAND ESTECA PTO</t>
  </si>
  <si>
    <t>ARAND MARK BCO 3000K LED BIV 3W 225 100MM 25MM 55MM</t>
  </si>
  <si>
    <t>ARAND MARK PTO 3000K LED BIV 3W 225 100MM 25MM 55MM</t>
  </si>
  <si>
    <t>ARAND MARK DOU ONO 3000K LED BIV 3W 225 100MM 25MM 55MM</t>
  </si>
  <si>
    <t>ARAND MARK DOU LIX ONO 3000K LED BIV 3W 225 100MM 25MM 55MM</t>
  </si>
  <si>
    <t>ARAND MARK BCO 4000K LED BIV 3W 225 100MM 25MM 55MM</t>
  </si>
  <si>
    <t>ARAND MARK PTO 4000K LED BIV 3W 225 100MM 25MM 55MM</t>
  </si>
  <si>
    <t>ARAND MARK DOU ONO 4000K LED BIV 3W 225 100MM 25MM 55MM</t>
  </si>
  <si>
    <t>ARAND MARK DOU LIX 4000K LED BIV 3W 225 100MM 25MM 55MM</t>
  </si>
  <si>
    <t>ARAND MARK BCO 3000K LED BIV 5W 375 100MM 25MM 55MM</t>
  </si>
  <si>
    <t>ARAND MARK PTO 3000K LED BIV 5W 375 100MM 25MM 55MM</t>
  </si>
  <si>
    <t>ARAND MARK DOU ONO 3000K LED BIV 5W 375 100MM 25MM 55MM</t>
  </si>
  <si>
    <t>ARAND MARK DOU LIX 3000K LED BIV 5W 375 100MM 25MM 55MM</t>
  </si>
  <si>
    <t>ARAND MARK BCO 4000K LED BIV 5W 375 100MM 25MM 55MM</t>
  </si>
  <si>
    <t>ARAND MARK PTO 4000K LED BIV 5W 375 100MM 25MM 55MM</t>
  </si>
  <si>
    <t>ARAND MARK DOU ONO 4000K LED BIV 5W 375 100MM 25MM 55MM</t>
  </si>
  <si>
    <t>ARAND MARK DOU LIX 4000K LED BIV 5W 375 100MM 25MM 55MM</t>
  </si>
  <si>
    <t>PEND POWER DOU LIX 1 X E27 220MM 330MM 330MM 1500</t>
  </si>
  <si>
    <t>PEND POWER COBRE LIX 1 X E27 220MM 330MM 330MM 1500</t>
  </si>
  <si>
    <t>PEND POWER DOU ONO 1 X E27 220MM 330MM 330MM 1500</t>
  </si>
  <si>
    <t>PEND POWER PTO 1 X E27 220MM 330MM 330MM 1500</t>
  </si>
  <si>
    <t>PEND SOUL PTO 1 X E27 800MM 120MM 40MM</t>
  </si>
  <si>
    <t>PEND SOUL DOU LIX 1 X E27 800MM 120MM 40MM</t>
  </si>
  <si>
    <t>PEND SOUL PTO</t>
  </si>
  <si>
    <t>PEND SOUL BCO 1 X E27 800MM 120MM 40MM</t>
  </si>
  <si>
    <t>PEND HOOK PTO</t>
  </si>
  <si>
    <t>PEND HOOK PTO 1 X E27 400MM 230MM 230MM 1500</t>
  </si>
  <si>
    <t>PEND HOOK DOU ONO 1 X E27 400MM 230MM 230MM 1500</t>
  </si>
  <si>
    <t>PEND HOOK COBRE ONO 1 X E27 400MM 230MM 230MM 1500</t>
  </si>
  <si>
    <t>PEND HOOK DOU POL 1 X E27 400MM 230MM 230MM 1500</t>
  </si>
  <si>
    <t>PEND HOOK COBRE POL 1 X E27 400MM 230MM 230MM 1500</t>
  </si>
  <si>
    <t>PEND FOCO PTO 1 X MR11 92MM 100MM 100MM 1500</t>
  </si>
  <si>
    <t>PEND FOCO BCO 1 X MR11 92MM 100MM 100MM 1500</t>
  </si>
  <si>
    <t>PEND FOCO DOU LIX 1 X MR11 92MM 100MM 100MM 1500</t>
  </si>
  <si>
    <t>PEND FOCO PTO</t>
  </si>
  <si>
    <t>PEND FOCO DOU ONO 1 X MR11 92MM 100MM 100MM 1500</t>
  </si>
  <si>
    <t>PEND STYLE PTO 3000K LED BIV 22 W 1650 1200MM 25MM 100MM 1500</t>
  </si>
  <si>
    <t>PEND STYLE BCO 3000K LED BIV 22 W 1650 1200MM 25MM 100MM 1500</t>
  </si>
  <si>
    <t>PEND STYLE PTO 4000K LED BIV 22 W 1650 1200MM 25MM 100MM 1500</t>
  </si>
  <si>
    <t>PEND STYLE BCO 4000K LED BIV 22 W 1650 1200MM 25MM 100MM 1500</t>
  </si>
  <si>
    <t>PEND UNIQUE PTO VIDRO LEITOSO 3 X G9 430MM 100MM 1390MM 1500</t>
  </si>
  <si>
    <t>PEND UNIQUE PTO</t>
  </si>
  <si>
    <t>PEND UNIQUE PTO VIDRO AMBAR 3 X G9 430MM 100MM 1390MM 1500</t>
  </si>
  <si>
    <t>PEND UNIQUE BCO</t>
  </si>
  <si>
    <t>PEND UNIQUE BCO VIDRO AMBAR 3 X G9 430MM 100MM 1390MM 1500</t>
  </si>
  <si>
    <t>PEND DRAFT BCO 1 X E27 250MM 360MM 360MM 1,5M</t>
  </si>
  <si>
    <t>PEND DRAFT PTO 1 X E27 250MM 360MM 360MM 1,5M</t>
  </si>
  <si>
    <t>PEND DRAFT DOU LIX 1 X E27 250MM 360MM 360MM 1,5M</t>
  </si>
  <si>
    <t>PEND DRAFT DOU ONO 1 X E27 250MM 360MM 360MM 1,5M</t>
  </si>
  <si>
    <t>PEND DRAFT PTO</t>
  </si>
  <si>
    <t>PEND DRAFT AMARELO</t>
  </si>
  <si>
    <t>PEND DRAFT ROSA</t>
  </si>
  <si>
    <t>PEND BLOWN DOU LIX VIDRO LEITOSO 120MM 1 X G9 290MM 70MM 120MM 1,5M CANOPLA P GESSO</t>
  </si>
  <si>
    <t>PEND BLOWN DOU ONO VIDRO LEITOSO 120MM 1 X G9 290MM 70MM 120MM 1,5M CANOPLA P GESSO</t>
  </si>
  <si>
    <t>PEND BLOWN PTO VIDRO LEITOSO 120MM 1 X G9 290MM 70MM 120MM 1,5M CANOPLA P GESSO</t>
  </si>
  <si>
    <t>PEND BLOWN BCO VIDRO LEITOSO 120MM 1 X G9 290MM 70MM 120MM 1,5M CANOPLA P GESSO</t>
  </si>
  <si>
    <t>PEND BLOWN COBRE LIX VIDRO LEITOSO 120MM 1 X G9 290MM 70MM 120MM 1,5M CANOPLA P GESSO</t>
  </si>
  <si>
    <t>PEND BLOWN DOU POL VIDRO LEITOSO 120MM 1 X G9 290MM 70MM 120MM 1,5M CANOPLA P GESSO</t>
  </si>
  <si>
    <t>PEND PISA BCO 1 X E27 180MM 160MM 160MM 1,5M</t>
  </si>
  <si>
    <t>PEND PISA PTO 1 X E27 180MM 160MM 160MM 1,5M</t>
  </si>
  <si>
    <t>PEND PISA DOU LIX 1 X E27 180MM 160MM 160MM 1,5M</t>
  </si>
  <si>
    <t>PEND PISA DOU ONO 1 X E27 180MM 160MM 160MM 1,5M</t>
  </si>
  <si>
    <t>PEND PISA PTO</t>
  </si>
  <si>
    <t>PEND PISA AMARELO</t>
  </si>
  <si>
    <t>PEND PISA ROSA</t>
  </si>
  <si>
    <t>PEND SAVANA BCO 1 X E27 340MM 140MM 140MM 1,5M</t>
  </si>
  <si>
    <t>PEND SAVANA PTO 1 X E27 340MM 140MM 140MM 1,5M</t>
  </si>
  <si>
    <t>PEND SAVANA DOU LIX 1 X E27 340MM 140MM 140MM 1,5M</t>
  </si>
  <si>
    <t>PEND SAVANA DOU ONO 1 X E27 340MM 140MM 140MM 1,5M</t>
  </si>
  <si>
    <t>PEND SAVANA PTO</t>
  </si>
  <si>
    <t>PEND SAVANA AMARELO</t>
  </si>
  <si>
    <t>PEND SAVANA ROSA</t>
  </si>
  <si>
    <t>PEND CARPI BCO 1 X E27 230MM 260MM 260MM 1,5M</t>
  </si>
  <si>
    <t>PEND CARPI PTO 1 X E27 230MM 260MM 260MM 1,5M</t>
  </si>
  <si>
    <t>PEND CARPI DOU LIX 1 X E27 230MM 260MM 260MM 1,5M</t>
  </si>
  <si>
    <t>PEND CARPI DOU ONO 1 X E27 230MM 260MM 260MM 1,5M</t>
  </si>
  <si>
    <t>PEND CARPI PTO</t>
  </si>
  <si>
    <t>PEND CARPI AMARELO</t>
  </si>
  <si>
    <t>PEND CARPI ROSA</t>
  </si>
  <si>
    <t>PEND FOCO PTO 6 X MR11 340MM 50MM 1220MM 1,5M</t>
  </si>
  <si>
    <t>PEND FOCO BCO 6 X MR11 340MM 50MM 1220MM 1,5M</t>
  </si>
  <si>
    <t>PEND FOCO DOU ONO 6 X MR11 340MM 50MM 1220MM 1,5M</t>
  </si>
  <si>
    <t>PEND PLANET PTO GLOBO CRAVADO 120MM 6 X G9 460MM 1200MM 1400MM 1,5M</t>
  </si>
  <si>
    <t>PEND PLANET BCO GLOBO CRAVADO 120MM 6 X G9 460MM 1200MM 1400MM 1,5M</t>
  </si>
  <si>
    <t>PEND PLANET DOU LIX GLOBO CRAVADO 120MM 6 X G9 460MM 1200MM 1400MM 1,5M</t>
  </si>
  <si>
    <t>PEND PLANET PTO</t>
  </si>
  <si>
    <t>PEND PLANET PTO GLOBO LEITOSO 120MM 6 X G9 460MM 1200MM 1400MM 1,5M</t>
  </si>
  <si>
    <t>PEND PLANET BCO GLOBO LEITOSO 120MM 6 X G9 460MM 1200MM 1400MM 1,5M</t>
  </si>
  <si>
    <t>PEND PLANET DOU LIX GLOBO LEITOSO 120MM 6 X G9 460MM 1200MM 1400MM 1,5M</t>
  </si>
  <si>
    <t>PEND PLANET DOU ONO GLOBO LEITOSO 120MM 6 X G9 460MM 1200MM 1400MM 1,5M</t>
  </si>
  <si>
    <t>PEND PLANET DOU ONO GLOBO CRAVADO 120MM 6 X G9 460MM 1200MM 1400MM 1,5M</t>
  </si>
  <si>
    <t>PEND HIGT DOU ONO 5 X MR11 380MM 120MM 1210MM 1,5M</t>
  </si>
  <si>
    <t>PEND HIGT PTO</t>
  </si>
  <si>
    <t>PEND HIGT PTO 5 X MR11 380MM 120MM 1210MM 1,5M</t>
  </si>
  <si>
    <t>PEND HIGT BCO 5 X MR11 380MM 120MM 1210MM 1,5M</t>
  </si>
  <si>
    <t>PEND BLOWN DOU LIX VIDRO LEITOSO 120MM 1 X G9 290MM 120MM 120MM 1,5M</t>
  </si>
  <si>
    <t>PEND BLOWN DOU ONO VIDRO LEITOSO 120MM 1 X G9 290MM 120MM 120MM 1,5M</t>
  </si>
  <si>
    <t>PEND BLOWN PTO VIDRO LEITOSO 120MM 1 X G9 290MM 120MM 120MM 1,5M</t>
  </si>
  <si>
    <t>PEND BLOWN BCO VIDRO LEITOSO 120MM 1 X G9 290MM 120MM 120MM 1,5M</t>
  </si>
  <si>
    <t>PEND BLOWN COBRE LIX VIDRO LEITOSO 120MM 1 X G9 290MM 120MM 120MM 1,5M</t>
  </si>
  <si>
    <t>PEND BLOWN DOU POL VIDRO LEITOSO 120MM 1 X G9 290MM 120MM 120MM 1,5M</t>
  </si>
  <si>
    <t>PEND PRINT BCO MINI SPOT 3000K 1 M LED BIV 14W + 3W 1275 250MM 20MM 1000 1,5M SPOT LED 3 W LENTE 45°</t>
  </si>
  <si>
    <t>PEND PRINT PTO MINI SPOT 3000K 1 M LED BIV 14W + 3W 1275 250MM 20MM 1000 1,5M SPOT LED 3 W LENTE 45°</t>
  </si>
  <si>
    <t>PEND PRINT BCO MINI SPOT 4000K 1 M LED BIV 14W + 3W 1275 250MM 20MM 1000 1,5M SPOT LED 3 W LENTE 45°</t>
  </si>
  <si>
    <t>PEND PRINT PTO MINI SPOT 4000K 1 M LED BIV 14W + 3W 1275 250MM 20MM 1000 1,5M SPOT LED 3 W LENTE 45°</t>
  </si>
  <si>
    <t>PEND PRINT BCO MINI SPOT 3000K 1,5 M LED BIV 24W + 3W 2025 250MM 20MM 1500 1,5M SPOT LED 3 W LENTE 45°</t>
  </si>
  <si>
    <t>PEND PRINT PTO MINI SPOT 3000K 1,5 M LED BIV 24W + 3W 2025 250MM 20MM 1500 1,5M SPOT LED 3 W LENTE 45°</t>
  </si>
  <si>
    <t>PEND PRINT BCO MINI SPOT 4000K 1,5 M LED BIV 24W + 3W 2025 250MM 20MM 1500 1,5M SPOT LED 3 W LENTE 45°</t>
  </si>
  <si>
    <t>PEND PRINT PTO MINI SPOT 4000K 1,5 M LED BIV 24W + 3W 2025 250MM 20MM 1500 1,5M SPOT LED 3 W LENTE 45°</t>
  </si>
  <si>
    <t>PEND PRINT BCO MINI GLOBO 3000K 1 M LED BIV 14W + 2W 1200 250MM 20MM 1000 1,5M MINI GLOBO 55MM 2 W</t>
  </si>
  <si>
    <t>PEND PRINT PTO MINI GLOBO 3000K 1 M LED BIV 14W + 2W 1200 250MM 20MM 1000 1,5M MINI GLOBO 55MM 2 W</t>
  </si>
  <si>
    <t>PEND PRINT BCO MINI GLOBO 4000K 1 M LED BIV 14W + 2W 1200 250MM 20MM 1000 1,5M MINI GLOBO 55MM 2 W</t>
  </si>
  <si>
    <t>PEND PRINT PTO MINI GLOBO 4000K 1 M LED BIV 14W + 2W 1200 250MM 20MM 1000 1,5M MINI GLOBO 55MM 2 W</t>
  </si>
  <si>
    <t>PEND PRINT BCO MINI GLOBO 3000K 1,5 M LED BIV 24W + 2W 1950 250MM 20MM 1500 1,5M MINI GLOBO 55MM 2 W</t>
  </si>
  <si>
    <t>PEND PRINT PTO MINI GLOBO 3000K 1,5 M LED BIV 24W + 2W 1950 250MM 20MM 1500 1,5M MINI GLOBO 55MM 2 W</t>
  </si>
  <si>
    <t>PEND PRINT BCO MINI GLOBO 4000K 1,5 M LED BIV 24W + 2W 1950 250MM 20MM 1500 1,5M MINI GLOBO 55MM 2 W</t>
  </si>
  <si>
    <t>PEND PRINT PTO MINI GLOBO 4000K 1,5 M LED BIV 24W + 2W 1950 250MM 20MM 1500 1,5M MINI GLOBO 55MM 2 W</t>
  </si>
  <si>
    <t>PEND VALE BCO 3000K LED BIV 20 W 1500 55MM 350MM 350MM</t>
  </si>
  <si>
    <t>PEND VALE PTO 3000K LED BIV 20 W 1500 55MM 350MM 350MM</t>
  </si>
  <si>
    <t>PEND VALE DOU ONO 3000K LED BIV 20 W 1500 55MM 350MM 350MM</t>
  </si>
  <si>
    <t>PEND VALE COBRE ONO 3000K LED BIV 20 W 1500 55MM 350MM 350MM</t>
  </si>
  <si>
    <t>PEND VALE BCO 3000K LED BIV 27 W 1500 55MM 350MM 350MM</t>
  </si>
  <si>
    <t>PEND VALE PTO 3000K LED BIV 27 W 1500 55MM 350MM 350MM</t>
  </si>
  <si>
    <t>PEND VALE DOU ONO 3000K LED BIV 27 W 1500 55MM 350MM 350MM</t>
  </si>
  <si>
    <t>PEND VALE COBRE ONO 3000K LED BIV 27 W 1500 55MM 350MM 350MM</t>
  </si>
  <si>
    <t>PEND TORCIA PRETA CUPULA PRETA</t>
  </si>
  <si>
    <t>PEND TORCIA DOU LIX CUPULA CRU</t>
  </si>
  <si>
    <t>PEND TORCIA BCO CUPULA CRU</t>
  </si>
  <si>
    <t>PEND TORCIA DOU ONO CUPULA PRETA</t>
  </si>
  <si>
    <t>PEND TORCIA DOU ONO CUPULA CRU</t>
  </si>
  <si>
    <t>PEND TORCIA PTO</t>
  </si>
  <si>
    <t>ABAJ CAKE PTO</t>
  </si>
  <si>
    <t>ABAJ CAKE PTO 4000K LED BIV 8 W 600 420MM 170MM 200MM</t>
  </si>
  <si>
    <t>ABAJ CAKE DOU ONO 4000K LED BIV 8 W 600 420MM 170MM 200MM</t>
  </si>
  <si>
    <t>ABAJ CAKE COBRE ONO 4000K LED BIV 8 W 600 420MM 170MM 200MM</t>
  </si>
  <si>
    <t>ABAJ CAKE PTO 3000K LED BIV 8 W 600 420MM 170MM 200MM</t>
  </si>
  <si>
    <t>ABAJ CAKE DOU ONO 3000K LED BIV 8 W 600 420MM 170MM 200MM</t>
  </si>
  <si>
    <t>ABAJ CAKE COBRE ONO 3000K LED BIV 8 W 600 420MM 170MM 200MM</t>
  </si>
  <si>
    <t>ABAJ POWER DOU LIX 1 X E27 805MM 330MM 330MM</t>
  </si>
  <si>
    <t>ABAJ POWER COBRE LIX 1 X E27 805MM 330MM 330MM</t>
  </si>
  <si>
    <t>ABAJ POWER DOU ONO 1 X E27 805MM 330MM 330MM</t>
  </si>
  <si>
    <t>ABAJ POWER PTO 1 X E27 805MM 330MM 330MM</t>
  </si>
  <si>
    <t>ABAJ POWER BCO 1 X E27 805MM 330MM 330MM</t>
  </si>
  <si>
    <t>ABAJ FOCO PTO 1 X MR11 180MM 240MM 240MM</t>
  </si>
  <si>
    <t>ABAJ FOCO PTO</t>
  </si>
  <si>
    <t>ABAJ ZURICK PTO 1 X E27 450MM 130MM 230MM C INTERRUPTOR</t>
  </si>
  <si>
    <t>ABAJ ZURICK PTO</t>
  </si>
  <si>
    <t>ABAJ STYLE PTO 3000K LED BIV 8 W 600 510MM 75MM 170MM</t>
  </si>
  <si>
    <t>ABAJ STYLE BCO 3000K LED BIV 8 W 600 510MM 75MM 170MM</t>
  </si>
  <si>
    <t>ABAJ STYLE PTO 4000K LED BIV 8 W 600 510MM 75MM 170MM</t>
  </si>
  <si>
    <t>ABAJ STYLE BCO 4000K LED BIV 8 W 600 510MM 75MM 170MM</t>
  </si>
  <si>
    <t>ABAJ SUMMER PTO 1 X G9 470MM 200MM 530MM</t>
  </si>
  <si>
    <t>ABAJ SUMMER PTO</t>
  </si>
  <si>
    <t>ABAJ IMOLA DOU ONO GLOBO 100MM 1 X G9 320MM 120MM 200MM 1,8M</t>
  </si>
  <si>
    <t>ABAJ IMOLA PTO GLOBO 100MM 1 X G9 320MM 120MM 200MM 1,8M</t>
  </si>
  <si>
    <t>ABAJ IMOLA DOU POL GLOBO 100MM 1 X G9 320MM 120MM 200MM 1,8M</t>
  </si>
  <si>
    <t>ABAJ IMOLA BCO GLOBO 100MM 1 X G9 320MM 120MM 200MM 1,8M</t>
  </si>
  <si>
    <t>ABAJ IGLU BCO COM DOU LIX 1 X E27 420MM 250MM 250MM 1,8M</t>
  </si>
  <si>
    <t>ABAJ IGLU DOU LIX</t>
  </si>
  <si>
    <t>ABAJ IGLU PTO 1 X E27 420MM 250MM 250MM 1,8M</t>
  </si>
  <si>
    <t>ABAJ IGLU BCO 1 X E27 420MM 250MM 250MM 1,8M</t>
  </si>
  <si>
    <t>ABAJ IGLU DOU LIX 1 X E27 420MM 250MM 250MM 1,8M</t>
  </si>
  <si>
    <t>ABAJ IGLU DOU ONO 1 X E27 420MM 250MM 250MM 1,8M</t>
  </si>
  <si>
    <t>ABAJ IGLU COBRE LIX</t>
  </si>
  <si>
    <t>ABAJ PIPE BCO CUPULA CRU 1 X E27 430MM 200MM 200MM 1,8M</t>
  </si>
  <si>
    <t>ABAJ PIPE DOU POL CUPULA CRU 1 X E27 430MM 200MM 200MM 1,8M</t>
  </si>
  <si>
    <t>ABAJ PIPE DOU LX</t>
  </si>
  <si>
    <t>ABAJ PIPE DOU LIX CUPULA CRU 1 X E27 430MM 200MM 200MM 1,8M</t>
  </si>
  <si>
    <t>ABAJ PIPE BCO</t>
  </si>
  <si>
    <t>ABAJ PIPE PTO</t>
  </si>
  <si>
    <t>ABAJ PIPE PTO CUPULA PRETA 1 X E27 430MM 200MM 200MM 1,8M</t>
  </si>
  <si>
    <t>ABAJ PIPE BCO CUPULA PRETA 1 X E27 430MM 200MM 200MM 1,8M</t>
  </si>
  <si>
    <t>ABAJ PIPE DOU POL CUP PT 1 X E27 430MM 200MM 200MM 1,8M</t>
  </si>
  <si>
    <t>ABAJ PIPE DOU ONO CUPULA PRETA 1 X E27 430MM 200MM 200MM 1,8M</t>
  </si>
  <si>
    <t>ABAJ PIPE DOU LIX CUP PT 1 X E27 430MM 200MM 200MM 1,8M</t>
  </si>
  <si>
    <t>ABAJ VOLARE ROSA</t>
  </si>
  <si>
    <t>ABAJ VOLARE BCO 3000K LED BIV 10W 750 310MM 260MM 260MM 1,5M C INTERRUPTOR</t>
  </si>
  <si>
    <t>ABAJ VOLARE PTO</t>
  </si>
  <si>
    <t>ABAJ VOLARE PTO 3000K LED BIV 10W 750 310MM 260MM 260MM 1,5M C INTERRUPTOR</t>
  </si>
  <si>
    <t>ABAJ VOLARE DOU LIX 3000K LED BIV 10W 750 310MM 260MM 260MM 1,5M C INTERRUPTOR</t>
  </si>
  <si>
    <t>ABAJ VOLARE DOU LIX</t>
  </si>
  <si>
    <t>ABAJ MAIA DOU LIX</t>
  </si>
  <si>
    <t>ABAJ MAIA PTO 1 X G9 400MM 280MM 280MM 1,8M</t>
  </si>
  <si>
    <t>ABAJ MAIA BCO 1 X G9 400MM 280MM 280MM 1,8M</t>
  </si>
  <si>
    <t>ABAJ MAIA DOU LIX 1 X G9 400MM 280MM 280MM 1,8M</t>
  </si>
  <si>
    <t>ABAJ MAIA DOU ONO 1 X G9 400MM 280MM 280MM 1,8M</t>
  </si>
  <si>
    <t>ABAJ GRECIA DOU LIX</t>
  </si>
  <si>
    <t>ABAJ GRECIA PTO CULPULA PRETA 1 X E27 440MM 210MM 210MM 1,8M</t>
  </si>
  <si>
    <t>ABAJ GRECIA BCO CULPULA CRU 1 X E27 440MM 210MM 210MM 1,8M</t>
  </si>
  <si>
    <t>ABAJ GRECIA DOU ONO CULPULA PRETA 1 X E27 440MM 210MM 210MM 1,8M</t>
  </si>
  <si>
    <t>ABAJ GRECIA DOU ONO CULPULA CRU 1 X E27 440MM 210MM 210MM 1,8M</t>
  </si>
  <si>
    <t>ABAJ MALTA ROSA</t>
  </si>
  <si>
    <t>ABAJ MALTA BCO</t>
  </si>
  <si>
    <t>ABAJ MALTA PTO</t>
  </si>
  <si>
    <t>ABAJ MALTA PTO 1 X E27 430MM 170MM 220MM 1,8M</t>
  </si>
  <si>
    <t>ABAJ MALTA DOU ONO 1 X E27 430MM 170MM 220MM 1,8M</t>
  </si>
  <si>
    <t>ABAJ MALTA COBRE ONO 1 X E27 430MM 170MM 220MM 1,8M</t>
  </si>
  <si>
    <t>ABAJ MALTA DOU LIX</t>
  </si>
  <si>
    <t>ABAJ MALTA AZUL CLARO 1 X E27 430MM 170MM 220MM 1,8M</t>
  </si>
  <si>
    <t>COLUNA STYLE PTO 3000K LED BIV 22 W 1650 1500MM 20MM 175MM</t>
  </si>
  <si>
    <t>COLUNA STYLE BCO FOSCO 3000K LED BIV 22 W 1650 1500MM 20MM 175MM</t>
  </si>
  <si>
    <t>COLUNA STYLE PRETA 3000K LED BIV 22 W 1650 1500MM 20MM 175MM</t>
  </si>
  <si>
    <t>COLUNA STYLE DOU ONO 3000K LED BIV 22 W 1650 1500MM 20MM 175MM</t>
  </si>
  <si>
    <t>COLUNA STYLE BRANCA 4000K LED BIV 22 W 1650 1500MM 20MM 175MM</t>
  </si>
  <si>
    <t>COLUNA CAKE PTO</t>
  </si>
  <si>
    <t>COLUNA CAKE PTO 3000K LED BIV 13 W 975 1550MM 250MM 330MM</t>
  </si>
  <si>
    <t>COLUNA CAKE DOU ONO 3000K LED BIV 13 W 975 1550MM 250MM 330MM</t>
  </si>
  <si>
    <t>COLUNA CAKE COBRE ONO 3000K LED BIV 13 W 975 1550MM 250MM 330MM</t>
  </si>
  <si>
    <t>COLUNA CAKE PTO 4000K LED BIV 13 W 975 1550MM 250MM 330MM</t>
  </si>
  <si>
    <t>COLUNA CAKE DOU ONO 4000K LED BIV 13 W 975 1550MM 250MM 330MM</t>
  </si>
  <si>
    <t>COLUNA CAKE COBRE ONO 4000K LED BIV 13 W 975 1550MM 250MM 330MM</t>
  </si>
  <si>
    <t>COLUNA POWER DOU LIX 1 X E27 1610MM 330MM 330MM</t>
  </si>
  <si>
    <t>COLUNA POWER COBRE LIX 1 X E27 1610MM 330MM 330MM</t>
  </si>
  <si>
    <t>COLUNA POWER DOU ONO 1 X E27 1610MM 330MM 330MM</t>
  </si>
  <si>
    <t>COLUNA POWER PTO 1 X E27 1610MM 330MM 330MM</t>
  </si>
  <si>
    <t>COLUNA POWER BCO 2 X E27 1610MM 330MM 330MM</t>
  </si>
  <si>
    <t>COLUNA FOCO PTO 1 X MR11 1510MM 240MM 240MM</t>
  </si>
  <si>
    <t>COLUNA FOCO PTO</t>
  </si>
  <si>
    <t>COLUNA SOUL PRETA 1 X E27 1350MM 30MM 540MM</t>
  </si>
  <si>
    <t>COLUNA SOUL DOU LIX 1 X E27 1350MM 200MM 540MM</t>
  </si>
  <si>
    <t>COLUNA SOUL PRETA</t>
  </si>
  <si>
    <t>COLUNA PIPE BCO CUPULA CRU 1 X E27 1520MM 570MM 570MM 2,8M</t>
  </si>
  <si>
    <t>COLUNA PIPE DOU POL CUPULA CRU 1 X E27 1520MM 570MM 570MM 2,8M</t>
  </si>
  <si>
    <t>COLUNA PIPE DOU POL CUPULA PRETA 1 X E27 1520MM 570MM 570MM 2,8M</t>
  </si>
  <si>
    <t>COLUNA PIPE PTO CUPULA PRETA 1 X E27 1520MM 570MM 570MM 2,8M</t>
  </si>
  <si>
    <t>COLUNA PIPE DOU ONO CUPULA PRETA 1 X E27 1520MM 570MM 570MM 2,8M</t>
  </si>
  <si>
    <t>SPOT FOCO BASE PTO</t>
  </si>
  <si>
    <t>SPOT FOCO BASE BCO</t>
  </si>
  <si>
    <t>SPOT FOCO BASE PTO 2 X MR11 105MM 83MM 300MM</t>
  </si>
  <si>
    <t>SPOT FOCO BASE DOU LIX 2 X MR11 105MM 83MM 300MM</t>
  </si>
  <si>
    <t>SPOT FOCO BASE PTO 3 X MR11 105MM 83MM 500MM</t>
  </si>
  <si>
    <t>SPOT FOCO BASE DOU LIX 3 X MR11 105MM 83MM 500MM</t>
  </si>
  <si>
    <t>SPOT FOCO BASE BCO 3 X MR11 105MM 83MM 500MM</t>
  </si>
  <si>
    <t>SPOT FOCO DOU LIX 1 X MR11 90MM 70MM 110MM CANOPLA P GESSO</t>
  </si>
  <si>
    <t>SPOT FOCO PTO</t>
  </si>
  <si>
    <t>SPOT FOCO COBRE LIX 1 X MR11 90MM 70MM 110MM CANOPLA P GESSO</t>
  </si>
  <si>
    <t>SPOT FOCO PTO 1 X MR11 90MM 70MM 110MM CANOPLA P GESSO</t>
  </si>
  <si>
    <t>SPOT FOCO BCO 1 X MR11 90MM 70MM 110MM CANOPLA P GESSO</t>
  </si>
  <si>
    <t>SPOT FOCO DOU ONO 1 X MR11 90MM 70MM 110MM CANOPLA P GESSO</t>
  </si>
  <si>
    <t>SPOT SCORE BCO 3000K LED BIV 3W 225 20MM 70MM 120MM CANOPLA P GESSO + SPOT LED 3 W LENTE 45°</t>
  </si>
  <si>
    <t>SPOT SCORE PTO 3000K LED BIV 3W 225 20MM 70MM 120MM CANOPLA P GESSO + SPOT LED 3 W LENTE 45°</t>
  </si>
  <si>
    <t>SPOT SCORE DOU LIX 3000K LED BIV 3W 225 20MM 70MM 120MM CANOPLA P GESSO + SPOT LED 3 W LENTE 45°</t>
  </si>
  <si>
    <t>SPOT SCORE BCO 4000K LED BIV 3W 225 20MM 70MM 120MM CANOPLA P GESSO + SPOT LED 3 W LENTE 45°</t>
  </si>
  <si>
    <t>SPOT SCORE PTO 4000K LED BIV 3W 225 20MM 70MM 120MM CANOPLA P GESSO + SPOT LED 3 W LENTE 45°</t>
  </si>
  <si>
    <t>SPOT SCORE DOU LIX 4000K LED BIV 3W 225 20MM 70MM 120MM CANOPLA P GESSO + SPOT LED 3 W LENTE 45°</t>
  </si>
  <si>
    <t>SPOT SCORE DOU ONO 3000K LED BIV 3W 225 20MM 70MM 120MM CANOPLA P GESSO + SPOT LED 3 W LENTE 45°</t>
  </si>
  <si>
    <t>SPOT SCORE DOU ONO 4000K LED BIV 3W 225 20MM 70MM 120MM CANOPLA P GESSO + SPOT LED 3 W LENTE 45°</t>
  </si>
  <si>
    <t>SPOT SCORE BCO 3000K LED BIV 5W 375 140MM 30MM 310M SPOT LED 3 W LENTE 45°</t>
  </si>
  <si>
    <t>SPOT SCORE PTO 3000K LED BIV 5W 375 140MM 30MM 310M SPOT LED 3 W LENTE 45°</t>
  </si>
  <si>
    <t>SPOT SCORE BCO 4000K LED BIV 5W 375 140MM 30MM 310M SPOT LED 3 W LENTE 45°</t>
  </si>
  <si>
    <t>SPOT SCORE PTO 4000K LED BIV 5W 375 140MM 30MM 310M SPOT LED 3 W LENTE 45°</t>
  </si>
  <si>
    <t>SPOT SCORE DOU ONO 3000K LED BIV 5W 375 140MM 30MM 310M SPOT LED 3 W LENTE 45°</t>
  </si>
  <si>
    <t>SPOT SCORE DOU ONO 4000K LED BIV 5W 375 140MM 30MM 310M SPOT LED 3 W LENTE 45°</t>
  </si>
  <si>
    <t>SPOT SCORE BCO 3000K LED BIV 7W 525 140MM 30MM 505MM SPOT LED 3 W LENTE 45°</t>
  </si>
  <si>
    <t>SPOT SCORE BCO 4000K LED BIV 7W 525 140MM 30MM 505MM SPOT LED 3 W LENTE 45°</t>
  </si>
  <si>
    <t>SPOT SCORE PTO 3000K LED BIV 7W 525 140MM 30MM 505MM SPOT LED 3 W LENTE 45°</t>
  </si>
  <si>
    <t>SPOT SCORE PTO 4000K LED BIV 7W 525 140MM 30MM 505MM SPOT LED 3 W LENTE 45°</t>
  </si>
  <si>
    <t>SPOT SCORE DOU ONO 3000K LED BIV 7W 525 140MM 30MM 505MM SPOT LED 3 W LENTE 45°</t>
  </si>
  <si>
    <t>SPOT SCORE DOU ONO 4000K LED BIV 7W 525 140MM 30MM 505MM SPOT LED 3 W LENTE 45°</t>
  </si>
  <si>
    <t>SPOT SCORE BCO 3000K LED BIV 3W 225 120MM 80MM 70MM SPOT LED 3 W LENTE 45°</t>
  </si>
  <si>
    <t>SPOT SCORE PTO 3000K LED BIV 3W 225 120MM 80MM 70MM SPOT LED 3 W LENTE 45°</t>
  </si>
  <si>
    <t>SPOT SCORE DOU LIX 3000K LED BIV 3W 225 120MM 80MM 70MM SPOT LED 3 W LENTE 45°</t>
  </si>
  <si>
    <t>SPOT SCORE BCO 4000K LED BIV 3W 225 120MM 80MM 70MM SPOT LED 3 W LENTE 45°</t>
  </si>
  <si>
    <t>SPOT SCORE PTO 4000K LED BIV 3W 225 120MM 80MM 70MM SPOT LED 3 W LENTE 45°</t>
  </si>
  <si>
    <t>SPOT SCORE DOU LIX 4000K LED BIV 3W 225 120MM 80MM 70MM SPOT LED 3 W LENTE 45°</t>
  </si>
  <si>
    <t>SPOT SCORE DOU ONO 3000K LED BIV 3W 225 120MM 80MM 70MM SPOT LED 3 W LENTE 45°</t>
  </si>
  <si>
    <t>SPOT SCORE DOU ONO 4000K LED BIV 3W 225 120MM 80MM 70MM SPOT LED 3 W LENTE 45°</t>
  </si>
  <si>
    <t>PLAF VALE BCO 3000K LED BIV 20 W 1500 55MM 350MM 350MM</t>
  </si>
  <si>
    <t>PLAF VALE PTO 3000K LED BIV 20 W 1500 55MM 350MM 350MM</t>
  </si>
  <si>
    <t>PLAF VALE DOU ONO 3000K LED BIV 20 W 1500 55MM 350MM 350MM</t>
  </si>
  <si>
    <t>PLAF VALE COBRE ONO 3000K LED BIV 20 W 1500 55MM 350MM 350MM</t>
  </si>
  <si>
    <t>PLAF VALE BCO 4000K LED BIV 20 W 1500 55MM 350MM 350MM</t>
  </si>
  <si>
    <t>PLAF VALE PTO 4000K LED BIV 20 W 1500 55MM 350MM 350MM</t>
  </si>
  <si>
    <t>PLAF VALE DOU ONO 4000K LED BIV 20 W 1500 55MM 350MM 350MM</t>
  </si>
  <si>
    <t>PLAF VALE COBRE ONO 4000K LED BIV 20 W 1500 55MM 350MM 350MM</t>
  </si>
  <si>
    <t>PLAF VALE BCO 3000K LED BIV 27 W 1500 55MM 350MM 350MM</t>
  </si>
  <si>
    <t>PLAF VALE PTO 3000K LED BIV 27 W 1500 55MM 350MM 350MM</t>
  </si>
  <si>
    <t>PLAF VALE DOU ONO 3000K LED BIV 27 W 1500 55MM 350MM 350MM</t>
  </si>
  <si>
    <t>PLAF VALE COBRE ONO 3000K LED BIV 27 W 1500 55MM 350MM 350MM</t>
  </si>
  <si>
    <t>PLAF VALE BCO 4000K LED BIV 27 W 1500 55MM 350MM 350MM</t>
  </si>
  <si>
    <t>PLAF VALE PTO 4000K LED BIV 27 W 1500 55MM 350MM 350MM</t>
  </si>
  <si>
    <t>PLAF VALE DOU ONO 4000K LED BIV 27 W 1500 55MM 350MM 350MM</t>
  </si>
  <si>
    <t>PLAF VALE COBRE ONO 4000K LED BIV 27 W 1500 55MM 350MM 350MM</t>
  </si>
  <si>
    <t>PENDENTE PENDULO 56X16X12 1500 MM  G9 PRETO</t>
  </si>
  <si>
    <t>ARANDELA GOTA 170X430X160 170X430X160 1XG9 DOURADO FOSCO</t>
  </si>
  <si>
    <t>ARANDELA GOTA 170X430X160 170X430X160 1XG9 PRETO</t>
  </si>
  <si>
    <t>LUMINARIA DE MESA SLIM 3W 4000K 270LM BIVOLT IP20 PRETO/DOURADO</t>
  </si>
  <si>
    <t>EMBUTIDO MAGNETICO MAGNETO 15CM 6W 3000K 240LM 48V IP20 150MM X 23MM X 43MM PRETO</t>
  </si>
  <si>
    <t>EMBUTIDO MAGNETICO MAGNETO 33CM 18W 3000K 330LM 48V IP20 330MM X 23MM X 43MM PRETO</t>
  </si>
  <si>
    <t>WALL WASHER MAGNETICO MAGNETO 12CM 6W 3000K 240LM 48V IP20 120MM X 23MM x 10MM PRETO</t>
  </si>
  <si>
    <t>SPOT MAGNETICO MAGNETO 50CM 12W 3000K 320LM 48V IP20 50MM X 100MM PRETO</t>
  </si>
  <si>
    <t>PENDENTE MAGNETICO MAGNETO 50CM 6W 3000K 180LM 48V IP20 50 X 150MM PRETO</t>
  </si>
  <si>
    <t>EMBUTIDO DIFUSO MAGNETICO MAGNETO 30CM 12W 3000K 240LM 48V IP20 300MM X 23MM X 43MM PRETO</t>
  </si>
  <si>
    <t>EMBUTIDO DIFUSO MAGNETICO MAGNETO 60CM 24W 3000K 600LM 48V IP20 600MM X 23MM X 43MM PRETO</t>
  </si>
  <si>
    <t>TRILHO SOBREPOR MAGNETICO MAGNETO IP20 2 METROS PRETO</t>
  </si>
  <si>
    <t>TRILHO SOBREPOR MAGNETICO MAGNETO IP20 3 METROS PRETO</t>
  </si>
  <si>
    <t>CONECTOR L VERTICAL SOBREPOR MAGNETO IP20 PRETO</t>
  </si>
  <si>
    <t>CONECTOR L LATERAL SOBREPOR MAGNETO IP20 PRETO</t>
  </si>
  <si>
    <t>CONECTOR MAGNETICO LINEAR  IP20 PRETO</t>
  </si>
  <si>
    <t>CONECTOR MAGNETICO FLEXIVEL IP20 PRETO</t>
  </si>
  <si>
    <t>DRIVER 100W BIVOLT 23CM 48VOLTS IP20 PRETO</t>
  </si>
  <si>
    <t>DRIVER 200W BIVOLT 30CM 48 VOLTS IP20 PRETO</t>
  </si>
  <si>
    <t>TRILHO SOBREPOR MAGNETICO MAGNETO 1 METRO IP20 PRETO</t>
  </si>
  <si>
    <t>PENDENTE VERSSAT1 1 X G9  PRETO</t>
  </si>
  <si>
    <t>BALIZADOR NIKI PRETO 800MM ESPETO 1 X G9</t>
  </si>
  <si>
    <t>1060/40 EMBUTIDO CAVITY LED BIVOLT 23W 1725LM 85X400MM 3000K BRANCO</t>
  </si>
  <si>
    <t>1060/50 EMBUTIDO CAVITY LED BIVOLT 37W 2775LM 85X500MM 3000K BRANCO</t>
  </si>
  <si>
    <t>1196/2 PERFIL EMBUTIR SLIM LENTE DIFUSA 2 METROS BRANCO - 25x19X2000MM</t>
  </si>
  <si>
    <t>1196/2 PERFIL EMBUTIR SLIM LENTE DIFUSA 2 METROS PRETO - 25x19x2000MM</t>
  </si>
  <si>
    <t>1196/3 PERFIL EMBUTIR SLIM LENTE DIFUSA 3 METROS BRANCO - 25x19x3000MM</t>
  </si>
  <si>
    <t>1196/3 PERFIL EMBUTIR SLIM LENTE DIFUSA 3 METROS PRETO  - 25x19x3000MM</t>
  </si>
  <si>
    <t>1198/1 SPOT SCALA MODULO SLIM 2 WATTS BIVOLT BR 3000K  LED BIVOLT  2W  140LM  133x25x25MM</t>
  </si>
  <si>
    <t>1198/1 SPOT SCALA MODULO SLIM 2 WATTS BIVOLT PRET 3000K  LED BIVOLT 2W 140LM  133x25x25MM</t>
  </si>
  <si>
    <t>EMBUTIDO CAVITY 3000K 85MMX400MMX400MM BRANCO</t>
  </si>
  <si>
    <t>1193/2 PERFIL SOBREPOR SLIM TAMPA CEGA 2 METROS PRETO</t>
  </si>
  <si>
    <t>1197/60 MODULO SLIM LUZ DIFUSA 60CM 12W BIVOLT 3000K</t>
  </si>
  <si>
    <t>1197/1,2 MODULO SLIM LUZ DIFUSA 1,2 MT 24W BIVOLT 3000K</t>
  </si>
  <si>
    <t>1195/2 PERFIL EMBUTIR SLIM TAMPA CEGA 2 METROS PRETO</t>
  </si>
  <si>
    <t>1194/2 PERFIL SOBREPOR SLIM LENTE DIFUSA 2 METROS PRETO</t>
  </si>
  <si>
    <t>823/100 ARANDELA STYLE PRETO 3000K</t>
  </si>
  <si>
    <t>1198/1 SPOT SCALA MODULO SLIM 2 WATTS BIVOLT PRET 3000K  LED BIVOLT 2W 140LM  133x25x25MM DOURADO ONO</t>
  </si>
  <si>
    <t>PENDENTE ZOOM PRETO/COBRE POLIDO 3000 K</t>
  </si>
  <si>
    <t>1098/1 PENDENTE ZOOM PRETO/DOURADO ESCOVADO 3000K</t>
  </si>
  <si>
    <t>1125/1 PERFIL NO FRAME TETTO BRANCO 1METRO 34,60X75,30X1000MM  BRANCO</t>
  </si>
  <si>
    <t>1125/2 PERFIL NO FRAME TETTO BRANCO 2METROS 34,60x75,30x2000MM</t>
  </si>
  <si>
    <t>1126/1 PERFIL NO FRAME TETTO JUNCAO ANG ABERTO 34,60x75,30x120MM BRANCO</t>
  </si>
  <si>
    <t>1126/1 PERFIL NO FRAME TETTO JUNCAO ANG FECHADO 34,60x75,30x120MM BRANCO</t>
  </si>
  <si>
    <t>1126/1 PERFIL NO FRAME TETTO LAT DIREITA 34,60x75,30x120MM BRANCO</t>
  </si>
  <si>
    <t>1126/1 PERFIL NO FRAME TETTO LAT ESQUERDA 34,60x75,30x120MM BRANCO</t>
  </si>
  <si>
    <t>1127/1 PERFIL NO FRAME TETTO DUPLO BRANCO 1METRO</t>
  </si>
  <si>
    <t>1127/2 PERFIL NO FRAME TETTO DUPLO BRANCO 02 METROS</t>
  </si>
  <si>
    <t>SPOT PUNTO BRANCO 1X MR16 HASTE DE 4,5CM</t>
  </si>
  <si>
    <t>SPOT PUNTO BRANCO 1X MR11 HASTE 4,5 CM</t>
  </si>
  <si>
    <t>1133/1 SPOT PUNTO PRETO 1X MR16 HASTE DE 4,5 CM</t>
  </si>
  <si>
    <t>1096/1 PENDENTE RIO PRETO 5W 3000K 375LM LED BIVOLT PRETO</t>
  </si>
  <si>
    <t>1074/1 PENDENTE HOGAR PRETO 495MM 3W 225LM 3000K SOBREPOR LED BIVOLT</t>
  </si>
  <si>
    <t>1082/1 PENDENTE TOPO 12W 3000K 900LM LED BIVOLT PRETO</t>
  </si>
  <si>
    <t>1068/18 ARANDELA SLICE DOURADO ESCOVADO 180MM 4W 3000K 280LM LED BIVOLT</t>
  </si>
  <si>
    <t>1068/27 PLAFON SLICE DOURADO ESCOVADO 270MM 18W 3000K LED BIVOLT</t>
  </si>
  <si>
    <t>1068/40 PLAFON SLICE DOURADO ESCOVADO 400MM 22W 3000K 1540LM LED BIVOLT</t>
  </si>
  <si>
    <t>1096/1 PENDENTE RIO BRANCO 3000K 5 WATTS</t>
  </si>
  <si>
    <t>503 VIDRO GLOBO LEITOSO 120MM ABERTURA DE 42MM BRANCO</t>
  </si>
  <si>
    <t>510 VIDRO GLOBO LEITOSO 120MM COM ROSCA G9 BRANCO</t>
  </si>
  <si>
    <t>862/1 ABAJUR ZURICK 1 X E27 DOURADO ONO</t>
  </si>
  <si>
    <t>2063/100 PENDENTE DOUBLE SPIN DOURADO 100CM 36 WATTS 3000K</t>
  </si>
  <si>
    <t>1071/1000 PERFIL SOBREPOR DEL DOURADO ONO 4 FOCOS 3000K</t>
  </si>
  <si>
    <t>PLAFON ELEGANCE DOURADO ONO 3000K E CINCO FOCOS</t>
  </si>
  <si>
    <t>2090 PENDENTE LINEAR DIFUSO PRETO 30 WATTS 4000K BIVOLT IP20 1200MM PRETO</t>
  </si>
  <si>
    <t>COLUNA KAMILLA PRETO TOTAL 1 X E27  1450MMx220MMx220MM</t>
  </si>
  <si>
    <t>PENDENTE APE DOURADO 25CM 8W 3000K BIVOLT IP20</t>
  </si>
  <si>
    <t>PENDENTE HOGAR BRANCO 495MM 3000K SOBREPOR LED BIVOLT 3W  500MMx25MMx35MM</t>
  </si>
  <si>
    <t>2075 ARANDELA SABRE DOURADA 600MM 12 WATTS 3000K</t>
  </si>
  <si>
    <t>ARANDELA VEGA ESCOVADO VIDRO LEITOSO LAMP 3 X G9 600X100X200MM PRETO</t>
  </si>
  <si>
    <t>ARANDELA SABRE PRETA 600MM 12WATTS 3000K 12W 3000K 960 lm BIVOLT IP20 600MM ‐ PRETO</t>
  </si>
  <si>
    <t>ARANDELA SABRE PRETA 1000MM 24WATTS 3000K 24W 3000K 1920 lm BIVOLT IP20 1000MM ‐ PRETO</t>
  </si>
  <si>
    <t>BALIZADOR UNIC BRANCO 0,5 WATTS 55MM 1 FACHO 0,5W 3000K 22 lm BIVOLT IP67 55MM X 55MM X 90MM ‐ PRETO</t>
  </si>
  <si>
    <t>EMBUTIDO PAICE PRETO 14,5 CM 10W 2700K 10W 2700k 660 lm BIVOLT IP20 147MM X 45MM ‐ PRETO</t>
  </si>
  <si>
    <t>2024 EMBUTIDO PIACE PRETO 14,5 CM 10W 4000K 10w 4000k 660 lm BIVOLT IP20 147MM X 45MM ‐ PRETO</t>
  </si>
  <si>
    <t>2024 EMBUTIDO PIACE PRETO 7,5 CM 4W 2700K 4W 2700k 218 lm BIVOLT IP20 75MM X 45MM ‐ PRETO</t>
  </si>
  <si>
    <t>2024 EMBUTIDO PIACE PRETO 4,5 CM 2W 2700K 2W 2700k 120 lm BIVOLT IP20 45MM X 45MM ‐ PRETO</t>
  </si>
  <si>
    <t>2024 EMBUTIDO PAICE BRANCO/PRETO 14,5 CM 10W 2700K 10W 2700k 660 lm BIVOLT IP20 147MM X 45MM ‐ BRANCO</t>
  </si>
  <si>
    <t>2083 EMBUTIDO PIACE BRANCO 75MM 8W 2700K 8w 2700k 528 lm BIVOLT IP20 75MM X 45MM ‐ BRANCO</t>
  </si>
  <si>
    <t>2024 EMBUTIDO PIACE BRANCO/PRETO 7,5 CM 4W 2700K 4W 2700k 218 lm BIVOLT IP20 75MM X 45MM ‐ BRANCO</t>
  </si>
  <si>
    <t>2024 EMBUTIDO PIACE BRANCO/PRETO 4,5 CM 2W 2700K 2W 2700k 120 lm BIVOLT IP20 45MM X 45MM ‐ BRANCO</t>
  </si>
  <si>
    <t>2046 EMBUTIDO MAGNETICO MAGNETO 15CM 6W 3000K 6W 3000k 240 lm 48 volts IP20 150MM X 23MM X 43MM ‐ PRETO</t>
  </si>
  <si>
    <t>2046 EMBUTIDO MAGNETICO MAGNETO 33CM 18W 3000K 18W 3000k 330 lm 48 volts IP20 330 X 23 X 43MM ‐ PRETO</t>
  </si>
  <si>
    <t>2046 WALL WASHER MAGNETICO MAGNETO 12CM 6W 3000K 6W 3000k 240 lm 48 volts IP20 120MM X 23MM x 10MM ‐ PRETO</t>
  </si>
  <si>
    <t>2047 SPOT MAGNETICO MAGNETO 50CM 12W 3000K 12W 3000k 320 lm 48 volts IP20 50MM X 100MM ‐ PRETO</t>
  </si>
  <si>
    <t>2048 PENDENTE MAGNETICO MAGNETO 50CM 6W 3000K 6W 3000k 180 lm 48 volts IP20 50 X 150MM ‐ PRETO</t>
  </si>
  <si>
    <t>2049 EMBUTIDO DIFUSO MAGNETICO MAGNETO 30CM 12W 3000K 12W 3000k 240 lm 48 volts IP20 300MM X 23MM X 43MM ‐ PRETO</t>
  </si>
  <si>
    <t>2049 EMBUTIDO DIFUSO MAGNETICO MAGNETO 60CM 24W 3000K 24W 3000k 600 lm 48 volts IP20 600MM X 23MM X 43MM ‐ PRETO</t>
  </si>
  <si>
    <t>2050 TRILHO SOBREPOR MAGNETICO MAGNETO 1 METRO IP20 PRETO</t>
  </si>
  <si>
    <t>2050 TRILHO SOBREPOR MAGNETICO MAGNETO 2 METROS IP20 PRETO</t>
  </si>
  <si>
    <t>2050 TRILHO SOBREPOR MAGNETICO MAGNETO 3 METROS IP20 PRETO</t>
  </si>
  <si>
    <t>2056 DRIVER 100 WATTS BIVOLT 23CM 48VOLTS 100W IP20 PRETO</t>
  </si>
  <si>
    <t>2057 DRIVER 200 WATTS BIVOLT 30CM 48 VOLTS 200W  IP20 PRETO</t>
  </si>
  <si>
    <t>2055 CONECTOR MAGNETICO FLEXIVEL</t>
  </si>
  <si>
    <t>2054 CONECTOR MAGNETICO LINEAR IP20 PRETO</t>
  </si>
  <si>
    <t>2052 CONECTOR L HORIZONTAL SOBREPOR MAGNETO IP20 PRETO</t>
  </si>
  <si>
    <t>2052 CONECTOR L VERTICAL SOBREPOR MAGNETO IP20 PRETO</t>
  </si>
  <si>
    <t>PENDENTE CLAIRE TERRACOTA 3000K LED BIVOLT 12W L900 155,3X400X400MM</t>
  </si>
  <si>
    <t>1154/1 ARANDELA CORE 2 WATTS CHAMPAGNE 3000K</t>
  </si>
  <si>
    <t>PENDENTE SET ALGODÃO 3000 K LED BIVOLT 3WATTS LUMENS  225 180x25x25MM CABO 2000MM</t>
  </si>
  <si>
    <t>1184/1 PENDENTE PETRA CHAMPAGNE VIDRO CRISTAL 3000K BIVOLT 5W 217,2x155x155MM</t>
  </si>
  <si>
    <t>1076/50 PLAFON EMBUTIR ELEGANCE BRANCO 3000K 32 WATTS</t>
  </si>
  <si>
    <t>1076/30 PLAFON EMBUTIR ELEGANCE BRANCO 3000K 21WATTS</t>
  </si>
  <si>
    <t>1051/50 PLAFON ELEGANCE BRANCO 3000K LED BIVOLT 32W 2240LUMENS  40x500x500MM</t>
  </si>
  <si>
    <t>1167/1 ARANDELA ALT C/ INTERRUPTOR CHAMPAGNE 1 X MR11 391,5MM 33MM 439,7MM</t>
  </si>
  <si>
    <t>835/1 ARANDELA DOME DOURADO ESCOVADO 1 XG9  450MM 190MM 1150MM</t>
  </si>
  <si>
    <t>ARANDELA LINES DOURADO ONO 3000K COM INTERRUPTOR LED BIVOLT 16W LUMENS1200 850MM 20MM 70MM</t>
  </si>
  <si>
    <t>835/1 ARANDELA DOME DOURADO ESCOVADO 1 XG9 450MM 190MM 1150MM</t>
  </si>
  <si>
    <t>2064 PENDENTE FINI PRETO/DOURADO Ø65 x 300MM 1500MM 5W 3000K IP20 BIVOLT</t>
  </si>
  <si>
    <t>1212/63 ARANDELA JOY PRETO 3000K LED BIVOLT 4W 300LM 24,7x632x131,2MM</t>
  </si>
  <si>
    <t>2087 SPOT LIO SOBREPOR BRANCO 70LM 140MM 2WATTS 3000K BIVOLT</t>
  </si>
  <si>
    <t>993/60 ARANDELA PRISMA 60CM PRETO 3000K LED BIVOLT 9WATTS 675LM 50x40x600MM</t>
  </si>
  <si>
    <t>BARRA DE LED</t>
  </si>
  <si>
    <t>SPOT SCORE 3000K LED BIV 3W 225 120MM 80MM 70MM SPOT LED 3 W LENTE 45° ALGODÃO</t>
  </si>
  <si>
    <t>1182/1 PENDENTE DALLI PRETO VIDRO CRISTAL 3000K LED BIVOLT 5W 375LM 207,3x 228x 228MM CABO 2000MM</t>
  </si>
  <si>
    <t>1180/2 PENDENTE DUETTO PRETO 2 X MR11</t>
  </si>
  <si>
    <t>1125/3 PERFIL NO FRAME TETTO BRANCO 3 METROS</t>
  </si>
  <si>
    <t>1167/1 ARANDELA ALT C/ INTERRUPTOR PRETO  1 X MR11 391,5x 33x 439,7MM</t>
  </si>
  <si>
    <t>1219/1 PENDENTE BELL PRETO 3000K</t>
  </si>
  <si>
    <t>1218/40 PENDENTE CLAIRE PRETO 3000K LED BIVOLT 12W 900LM 155,3x400x400MM</t>
  </si>
  <si>
    <t>1222/31 ARANDELA CLAIRE BRANCO 3000K LED BIVOLT 5W 375LM 1053X308X443,5MM</t>
  </si>
  <si>
    <t>1162/15 ARANDELA LUA BRANCO 3000K LED BIVOLT 5W  375LM 47,4x150x150MM</t>
  </si>
  <si>
    <t>CANOPLA SOBREPOR ALDODÃO 20x120x120MM</t>
  </si>
  <si>
    <t>1156/1 ARANDELA ARK C/ INTERRUPTOR BRANCO 3000K LED BIVOLT 2W 150LM 214,8x33x229MM</t>
  </si>
  <si>
    <t>1048/1 PENDENTE TORCIA BRANCO CUPULA CRU 1x E27 220x150x120x1500MM</t>
  </si>
  <si>
    <t>Id do Fabricante</t>
  </si>
  <si>
    <t>Fabricante</t>
  </si>
  <si>
    <t>Preço</t>
  </si>
  <si>
    <t>Preço Mínimo</t>
  </si>
  <si>
    <t>Spot Line Industria E Comercio</t>
  </si>
  <si>
    <t>519,75</t>
  </si>
  <si>
    <t>311,97</t>
  </si>
  <si>
    <t>353,45</t>
  </si>
  <si>
    <t>212,15</t>
  </si>
  <si>
    <t>404,25</t>
  </si>
  <si>
    <t>242,65</t>
  </si>
  <si>
    <t>485,10</t>
  </si>
  <si>
    <t>291,18</t>
  </si>
  <si>
    <t>353,50</t>
  </si>
  <si>
    <t>212,18</t>
  </si>
  <si>
    <t>170,38</t>
  </si>
  <si>
    <t>102,27</t>
  </si>
  <si>
    <t>1 056,62</t>
  </si>
  <si>
    <t>634,23</t>
  </si>
  <si>
    <t>747,80</t>
  </si>
  <si>
    <t>448,86</t>
  </si>
  <si>
    <t>829,35</t>
  </si>
  <si>
    <t>497,81</t>
  </si>
  <si>
    <t>363,82</t>
  </si>
  <si>
    <t>218,38</t>
  </si>
  <si>
    <t>917,75</t>
  </si>
  <si>
    <t>550,87</t>
  </si>
  <si>
    <t>1 408,70</t>
  </si>
  <si>
    <t>845,56</t>
  </si>
  <si>
    <t>931,02</t>
  </si>
  <si>
    <t>558,84</t>
  </si>
  <si>
    <t>232,62</t>
  </si>
  <si>
    <t>139,63</t>
  </si>
  <si>
    <t>279,15</t>
  </si>
  <si>
    <t>167,56</t>
  </si>
  <si>
    <t>263,35</t>
  </si>
  <si>
    <t>158,07</t>
  </si>
  <si>
    <t>219,45</t>
  </si>
  <si>
    <t>131,72</t>
  </si>
  <si>
    <t>382,60</t>
  </si>
  <si>
    <t>229,65</t>
  </si>
  <si>
    <t>459,12</t>
  </si>
  <si>
    <t>275,59</t>
  </si>
  <si>
    <t>433,12</t>
  </si>
  <si>
    <t>259,98</t>
  </si>
  <si>
    <t>360,95</t>
  </si>
  <si>
    <t>216,66</t>
  </si>
  <si>
    <t>734,60</t>
  </si>
  <si>
    <t>440,94</t>
  </si>
  <si>
    <t>881,50</t>
  </si>
  <si>
    <t>529,11</t>
  </si>
  <si>
    <t>831,60</t>
  </si>
  <si>
    <t>499,16</t>
  </si>
  <si>
    <t>693,00</t>
  </si>
  <si>
    <t>415,97</t>
  </si>
  <si>
    <t>361,18</t>
  </si>
  <si>
    <t>216,79</t>
  </si>
  <si>
    <t>408,88</t>
  </si>
  <si>
    <t>245,42</t>
  </si>
  <si>
    <t>340,72</t>
  </si>
  <si>
    <t>204,52</t>
  </si>
  <si>
    <t>389,40</t>
  </si>
  <si>
    <t>233,73</t>
  </si>
  <si>
    <t>471,38</t>
  </si>
  <si>
    <t>282,94</t>
  </si>
  <si>
    <t>533,62</t>
  </si>
  <si>
    <t>320,30</t>
  </si>
  <si>
    <t>444,68</t>
  </si>
  <si>
    <t>266,91</t>
  </si>
  <si>
    <t>508,20</t>
  </si>
  <si>
    <t>305,04</t>
  </si>
  <si>
    <t>1 071,28</t>
  </si>
  <si>
    <t>643,02</t>
  </si>
  <si>
    <t>1 212,75</t>
  </si>
  <si>
    <t>727,94</t>
  </si>
  <si>
    <t>1 155,00</t>
  </si>
  <si>
    <t>693,28</t>
  </si>
  <si>
    <t>1 010,62</t>
  </si>
  <si>
    <t>606,62</t>
  </si>
  <si>
    <t>633,60</t>
  </si>
  <si>
    <t>380,31</t>
  </si>
  <si>
    <t>597,72</t>
  </si>
  <si>
    <t>358,78</t>
  </si>
  <si>
    <t>1 000,88</t>
  </si>
  <si>
    <t>600,77</t>
  </si>
  <si>
    <t>944,22</t>
  </si>
  <si>
    <t>566,76</t>
  </si>
  <si>
    <t>655,02</t>
  </si>
  <si>
    <t>393,17</t>
  </si>
  <si>
    <t>1 101,88</t>
  </si>
  <si>
    <t>661,39</t>
  </si>
  <si>
    <t>1 273,28</t>
  </si>
  <si>
    <t>764,27</t>
  </si>
  <si>
    <t>746,82</t>
  </si>
  <si>
    <t>448,27</t>
  </si>
  <si>
    <t>473,55</t>
  </si>
  <si>
    <t>284,24</t>
  </si>
  <si>
    <t>568,28</t>
  </si>
  <si>
    <t>341,10</t>
  </si>
  <si>
    <t>77,70</t>
  </si>
  <si>
    <t>46,64</t>
  </si>
  <si>
    <t>857,02</t>
  </si>
  <si>
    <t>514,42</t>
  </si>
  <si>
    <t>29,22</t>
  </si>
  <si>
    <t>17,54</t>
  </si>
  <si>
    <t>759,55</t>
  </si>
  <si>
    <t>455,91</t>
  </si>
  <si>
    <t>970,20</t>
  </si>
  <si>
    <t>582,35</t>
  </si>
  <si>
    <t>808,50</t>
  </si>
  <si>
    <t>485,29</t>
  </si>
  <si>
    <t>213,68</t>
  </si>
  <si>
    <t>128,26</t>
  </si>
  <si>
    <t>256,42</t>
  </si>
  <si>
    <t>153,92</t>
  </si>
  <si>
    <t>60,00</t>
  </si>
  <si>
    <t>36,01</t>
  </si>
  <si>
    <t>127,78</t>
  </si>
  <si>
    <t>76,70</t>
  </si>
  <si>
    <t>437,25</t>
  </si>
  <si>
    <t>262,45</t>
  </si>
  <si>
    <t>443,52</t>
  </si>
  <si>
    <t>266,22</t>
  </si>
  <si>
    <t>369,60</t>
  </si>
  <si>
    <t>221,85</t>
  </si>
  <si>
    <t>1 440,88</t>
  </si>
  <si>
    <t>864,87</t>
  </si>
  <si>
    <t>7,62</t>
  </si>
  <si>
    <t>4,58</t>
  </si>
  <si>
    <t>4,40</t>
  </si>
  <si>
    <t>2,64</t>
  </si>
  <si>
    <t>79,62</t>
  </si>
  <si>
    <t>47,79</t>
  </si>
  <si>
    <t>211,20</t>
  </si>
  <si>
    <t>126,77</t>
  </si>
  <si>
    <t>94,05</t>
  </si>
  <si>
    <t>56,45</t>
  </si>
  <si>
    <t>254,05</t>
  </si>
  <si>
    <t>152,49</t>
  </si>
  <si>
    <t>85,22</t>
  </si>
  <si>
    <t>51,16</t>
  </si>
  <si>
    <t>89,05</t>
  </si>
  <si>
    <t>53,45</t>
  </si>
  <si>
    <t>415,05</t>
  </si>
  <si>
    <t>249,13</t>
  </si>
  <si>
    <t>345,88</t>
  </si>
  <si>
    <t>207,61</t>
  </si>
  <si>
    <t>391,55</t>
  </si>
  <si>
    <t>235,02</t>
  </si>
  <si>
    <t>326,30</t>
  </si>
  <si>
    <t>195,86</t>
  </si>
  <si>
    <t>1 252,48</t>
  </si>
  <si>
    <t>751,79</t>
  </si>
  <si>
    <t>1 043,72</t>
  </si>
  <si>
    <t>626,49</t>
  </si>
  <si>
    <t>1 181,58</t>
  </si>
  <si>
    <t>709,23</t>
  </si>
  <si>
    <t>984,65</t>
  </si>
  <si>
    <t>591,03</t>
  </si>
  <si>
    <t>288,75</t>
  </si>
  <si>
    <t>173,32</t>
  </si>
  <si>
    <t>239,68</t>
  </si>
  <si>
    <t>143,86</t>
  </si>
  <si>
    <t>398,30</t>
  </si>
  <si>
    <t>239,08</t>
  </si>
  <si>
    <t>481,42</t>
  </si>
  <si>
    <t>288,97</t>
  </si>
  <si>
    <t>441,80</t>
  </si>
  <si>
    <t>265,19</t>
  </si>
  <si>
    <t>237,20</t>
  </si>
  <si>
    <t>142,38</t>
  </si>
  <si>
    <t>281,48</t>
  </si>
  <si>
    <t>168,95</t>
  </si>
  <si>
    <t>249,85</t>
  </si>
  <si>
    <t>149,97</t>
  </si>
  <si>
    <t>1 328,25</t>
  </si>
  <si>
    <t>797,27</t>
  </si>
  <si>
    <t>707,45</t>
  </si>
  <si>
    <t>424,64</t>
  </si>
  <si>
    <t>848,92</t>
  </si>
  <si>
    <t>509,56</t>
  </si>
  <si>
    <t>318,80</t>
  </si>
  <si>
    <t>191,36</t>
  </si>
  <si>
    <t>265,65</t>
  </si>
  <si>
    <t>159,45</t>
  </si>
  <si>
    <t>880,70</t>
  </si>
  <si>
    <t>528,63</t>
  </si>
  <si>
    <t>1 056,82</t>
  </si>
  <si>
    <t>634,35</t>
  </si>
  <si>
    <t>1 501,50</t>
  </si>
  <si>
    <t>901,26</t>
  </si>
  <si>
    <t>1 801,80</t>
  </si>
  <si>
    <t>1 081,51</t>
  </si>
  <si>
    <t>1 909,92</t>
  </si>
  <si>
    <t>1 146,41</t>
  </si>
  <si>
    <t>1 591,60</t>
  </si>
  <si>
    <t>955,34</t>
  </si>
  <si>
    <t>721,88</t>
  </si>
  <si>
    <t>433,30</t>
  </si>
  <si>
    <t>866,25</t>
  </si>
  <si>
    <t>519,96</t>
  </si>
  <si>
    <t>1 114,58</t>
  </si>
  <si>
    <t>669,01</t>
  </si>
  <si>
    <t>1 337,50</t>
  </si>
  <si>
    <t>802,82</t>
  </si>
  <si>
    <t>422,40</t>
  </si>
  <si>
    <t>253,54</t>
  </si>
  <si>
    <t>398,48</t>
  </si>
  <si>
    <t>239,18</t>
  </si>
  <si>
    <t>506,88</t>
  </si>
  <si>
    <t>304,25</t>
  </si>
  <si>
    <t>478,18</t>
  </si>
  <si>
    <t>287,02</t>
  </si>
  <si>
    <t>391,80</t>
  </si>
  <si>
    <t>235,17</t>
  </si>
  <si>
    <t>470,15</t>
  </si>
  <si>
    <t>282,20</t>
  </si>
  <si>
    <t>589,05</t>
  </si>
  <si>
    <t>353,57</t>
  </si>
  <si>
    <t>490,88</t>
  </si>
  <si>
    <t>294,64</t>
  </si>
  <si>
    <t>528,90</t>
  </si>
  <si>
    <t>317,47</t>
  </si>
  <si>
    <t>440,75</t>
  </si>
  <si>
    <t>264,56</t>
  </si>
  <si>
    <t>498,98</t>
  </si>
  <si>
    <t>299,50</t>
  </si>
  <si>
    <t>415,80</t>
  </si>
  <si>
    <t>249,58</t>
  </si>
  <si>
    <t>571,72</t>
  </si>
  <si>
    <t>343,17</t>
  </si>
  <si>
    <t>284,15</t>
  </si>
  <si>
    <t>170,56</t>
  </si>
  <si>
    <t>251,00</t>
  </si>
  <si>
    <t>150,66</t>
  </si>
  <si>
    <t>236,78</t>
  </si>
  <si>
    <t>142,12</t>
  </si>
  <si>
    <t>301,20</t>
  </si>
  <si>
    <t>180,79</t>
  </si>
  <si>
    <t>1 342,70</t>
  </si>
  <si>
    <t>805,94</t>
  </si>
  <si>
    <t>1 611,22</t>
  </si>
  <si>
    <t>967,12</t>
  </si>
  <si>
    <t>1 423,25</t>
  </si>
  <si>
    <t>854,29</t>
  </si>
  <si>
    <t>1 707,90</t>
  </si>
  <si>
    <t>1 025,15</t>
  </si>
  <si>
    <t>1 202,88</t>
  </si>
  <si>
    <t>722,01</t>
  </si>
  <si>
    <t>1 361,75</t>
  </si>
  <si>
    <t>817,38</t>
  </si>
  <si>
    <t>1 443,45</t>
  </si>
  <si>
    <t>866,42</t>
  </si>
  <si>
    <t>1 134,80</t>
  </si>
  <si>
    <t>681,15</t>
  </si>
  <si>
    <t>1 808,92</t>
  </si>
  <si>
    <t>1 085,79</t>
  </si>
  <si>
    <t>2 047,82</t>
  </si>
  <si>
    <t>1 229,19</t>
  </si>
  <si>
    <t>2 170,70</t>
  </si>
  <si>
    <t>1 302,94</t>
  </si>
  <si>
    <t>1 706,52</t>
  </si>
  <si>
    <t>1 024,32</t>
  </si>
  <si>
    <t>1 710,98</t>
  </si>
  <si>
    <t>1 027,00</t>
  </si>
  <si>
    <t>1 537,25</t>
  </si>
  <si>
    <t>922,72</t>
  </si>
  <si>
    <t>2 053,18</t>
  </si>
  <si>
    <t>1 232,40</t>
  </si>
  <si>
    <t>1 936,95</t>
  </si>
  <si>
    <t>1 162,63</t>
  </si>
  <si>
    <t>1 614,12</t>
  </si>
  <si>
    <t>968,86</t>
  </si>
  <si>
    <t>1 007,00</t>
  </si>
  <si>
    <t>604,44</t>
  </si>
  <si>
    <t>950,00</t>
  </si>
  <si>
    <t>570,23</t>
  </si>
  <si>
    <t>765,20</t>
  </si>
  <si>
    <t>459,30</t>
  </si>
  <si>
    <t>725,40</t>
  </si>
  <si>
    <t>435,41</t>
  </si>
  <si>
    <t>684,35</t>
  </si>
  <si>
    <t>410,77</t>
  </si>
  <si>
    <t>1 674,75</t>
  </si>
  <si>
    <t>1 005,25</t>
  </si>
  <si>
    <t>930,48</t>
  </si>
  <si>
    <t>558,51</t>
  </si>
  <si>
    <t>1 674,25</t>
  </si>
  <si>
    <t>1 004,95</t>
  </si>
  <si>
    <t>1 362,05</t>
  </si>
  <si>
    <t>817,56</t>
  </si>
  <si>
    <t>1 284,95</t>
  </si>
  <si>
    <t>771,28</t>
  </si>
  <si>
    <t>587,68</t>
  </si>
  <si>
    <t>352,75</t>
  </si>
  <si>
    <t>462,00</t>
  </si>
  <si>
    <t>277,31</t>
  </si>
  <si>
    <t>489,72</t>
  </si>
  <si>
    <t>293,95</t>
  </si>
  <si>
    <t>554,40</t>
  </si>
  <si>
    <t>332,77</t>
  </si>
  <si>
    <t>143,88</t>
  </si>
  <si>
    <t>86,36</t>
  </si>
  <si>
    <t>135,72</t>
  </si>
  <si>
    <t>81,47</t>
  </si>
  <si>
    <t>141,50</t>
  </si>
  <si>
    <t>84,93</t>
  </si>
  <si>
    <t>169,80</t>
  </si>
  <si>
    <t>101,92</t>
  </si>
  <si>
    <t>296,90</t>
  </si>
  <si>
    <t>178,21</t>
  </si>
  <si>
    <t>280,10</t>
  </si>
  <si>
    <t>168,13</t>
  </si>
  <si>
    <t>336,12</t>
  </si>
  <si>
    <t>201,76</t>
  </si>
  <si>
    <t>356,28</t>
  </si>
  <si>
    <t>213,85</t>
  </si>
  <si>
    <t>346,50</t>
  </si>
  <si>
    <t>207,98</t>
  </si>
  <si>
    <t>407,10</t>
  </si>
  <si>
    <t>244,36</t>
  </si>
  <si>
    <t>384,05</t>
  </si>
  <si>
    <t>230,52</t>
  </si>
  <si>
    <t>460,85</t>
  </si>
  <si>
    <t>276,62</t>
  </si>
  <si>
    <t>488,50</t>
  </si>
  <si>
    <t>293,22</t>
  </si>
  <si>
    <t>635,42</t>
  </si>
  <si>
    <t>381,41</t>
  </si>
  <si>
    <t>599,45</t>
  </si>
  <si>
    <t>359,81</t>
  </si>
  <si>
    <t>529,52</t>
  </si>
  <si>
    <t>317,84</t>
  </si>
  <si>
    <t>499,55</t>
  </si>
  <si>
    <t>299,85</t>
  </si>
  <si>
    <t>366,72</t>
  </si>
  <si>
    <t>220,12</t>
  </si>
  <si>
    <t>440,08</t>
  </si>
  <si>
    <t>264,15</t>
  </si>
  <si>
    <t>352,00</t>
  </si>
  <si>
    <t>211,28</t>
  </si>
  <si>
    <t>332,08</t>
  </si>
  <si>
    <t>199,32</t>
  </si>
  <si>
    <t>210,80</t>
  </si>
  <si>
    <t>126,53</t>
  </si>
  <si>
    <t>252,95</t>
  </si>
  <si>
    <t>151,83</t>
  </si>
  <si>
    <t>268,12</t>
  </si>
  <si>
    <t>160,94</t>
  </si>
  <si>
    <t>223,45</t>
  </si>
  <si>
    <t>134,12</t>
  </si>
  <si>
    <t>389,82</t>
  </si>
  <si>
    <t>233,99</t>
  </si>
  <si>
    <t>467,78</t>
  </si>
  <si>
    <t>280,78</t>
  </si>
  <si>
    <t>333,62</t>
  </si>
  <si>
    <t>200,26</t>
  </si>
  <si>
    <t>314,75</t>
  </si>
  <si>
    <t>188,93</t>
  </si>
  <si>
    <t>377,70</t>
  </si>
  <si>
    <t>226,71</t>
  </si>
  <si>
    <t>400,35</t>
  </si>
  <si>
    <t>240,31</t>
  </si>
  <si>
    <t>612,15</t>
  </si>
  <si>
    <t>367,44</t>
  </si>
  <si>
    <t>303,02</t>
  </si>
  <si>
    <t>181,89</t>
  </si>
  <si>
    <t>285,88</t>
  </si>
  <si>
    <t>171,59</t>
  </si>
  <si>
    <t>370,38</t>
  </si>
  <si>
    <t>222,31</t>
  </si>
  <si>
    <t>444,42</t>
  </si>
  <si>
    <t>266,76</t>
  </si>
  <si>
    <t>419,28</t>
  </si>
  <si>
    <t>251,67</t>
  </si>
  <si>
    <t>413,22</t>
  </si>
  <si>
    <t>248,03</t>
  </si>
  <si>
    <t>495,85</t>
  </si>
  <si>
    <t>297,63</t>
  </si>
  <si>
    <t>372,50</t>
  </si>
  <si>
    <t>223,59</t>
  </si>
  <si>
    <t>394,85</t>
  </si>
  <si>
    <t>237,00</t>
  </si>
  <si>
    <t>550,95</t>
  </si>
  <si>
    <t>330,70</t>
  </si>
  <si>
    <t>661,12</t>
  </si>
  <si>
    <t>396,83</t>
  </si>
  <si>
    <t>623,70</t>
  </si>
  <si>
    <t>374,37</t>
  </si>
  <si>
    <t>3 059,05</t>
  </si>
  <si>
    <t>1 836,16</t>
  </si>
  <si>
    <t>437,10</t>
  </si>
  <si>
    <t>262,36</t>
  </si>
  <si>
    <t>364,25</t>
  </si>
  <si>
    <t>218,64</t>
  </si>
  <si>
    <t>375,38</t>
  </si>
  <si>
    <t>225,32</t>
  </si>
  <si>
    <t>397,90</t>
  </si>
  <si>
    <t>238,84</t>
  </si>
  <si>
    <t>477,50</t>
  </si>
  <si>
    <t>286,61</t>
  </si>
  <si>
    <t>686,08</t>
  </si>
  <si>
    <t>411,81</t>
  </si>
  <si>
    <t>808,05</t>
  </si>
  <si>
    <t>485,02</t>
  </si>
  <si>
    <t>673,38</t>
  </si>
  <si>
    <t>404,19</t>
  </si>
  <si>
    <t>538,70</t>
  </si>
  <si>
    <t>323,35</t>
  </si>
  <si>
    <t>646,45</t>
  </si>
  <si>
    <t>388,03</t>
  </si>
  <si>
    <t>572,98</t>
  </si>
  <si>
    <t>343,92</t>
  </si>
  <si>
    <t>40,78</t>
  </si>
  <si>
    <t>24,47</t>
  </si>
  <si>
    <t>773,85</t>
  </si>
  <si>
    <t>464,50</t>
  </si>
  <si>
    <t>820,30</t>
  </si>
  <si>
    <t>492,38</t>
  </si>
  <si>
    <t>801,92</t>
  </si>
  <si>
    <t>481,35</t>
  </si>
  <si>
    <t>907,85</t>
  </si>
  <si>
    <t>544,93</t>
  </si>
  <si>
    <t>756,52</t>
  </si>
  <si>
    <t>454,10</t>
  </si>
  <si>
    <t>962,30</t>
  </si>
  <si>
    <t>577,61</t>
  </si>
  <si>
    <t>1 097,25</t>
  </si>
  <si>
    <t>658,61</t>
  </si>
  <si>
    <t>563,20</t>
  </si>
  <si>
    <t>338,06</t>
  </si>
  <si>
    <t>531,30</t>
  </si>
  <si>
    <t>318,91</t>
  </si>
  <si>
    <t>419,32</t>
  </si>
  <si>
    <t>251,70</t>
  </si>
  <si>
    <t>395,60</t>
  </si>
  <si>
    <t>237,45</t>
  </si>
  <si>
    <t>260,18</t>
  </si>
  <si>
    <t>156,17</t>
  </si>
  <si>
    <t>312,20</t>
  </si>
  <si>
    <t>187,39</t>
  </si>
  <si>
    <t>447,58</t>
  </si>
  <si>
    <t>268,65</t>
  </si>
  <si>
    <t>336,70</t>
  </si>
  <si>
    <t>202,10</t>
  </si>
  <si>
    <t>317,62</t>
  </si>
  <si>
    <t>190,65</t>
  </si>
  <si>
    <t>290,78</t>
  </si>
  <si>
    <t>174,53</t>
  </si>
  <si>
    <t>348,95</t>
  </si>
  <si>
    <t>209,45</t>
  </si>
  <si>
    <t>404,02</t>
  </si>
  <si>
    <t>242,51</t>
  </si>
  <si>
    <t>632,38</t>
  </si>
  <si>
    <t>379,58</t>
  </si>
  <si>
    <t>596,85</t>
  </si>
  <si>
    <t>358,25</t>
  </si>
  <si>
    <t>563,08</t>
  </si>
  <si>
    <t>337,98</t>
  </si>
  <si>
    <t>535,65</t>
  </si>
  <si>
    <t>321,52</t>
  </si>
  <si>
    <t>505,32</t>
  </si>
  <si>
    <t>303,32</t>
  </si>
  <si>
    <t>345,58</t>
  </si>
  <si>
    <t>207,43</t>
  </si>
  <si>
    <t>326,00</t>
  </si>
  <si>
    <t>195,68</t>
  </si>
  <si>
    <t>357,82</t>
  </si>
  <si>
    <t>214,78</t>
  </si>
  <si>
    <t>337,55</t>
  </si>
  <si>
    <t>202,61</t>
  </si>
  <si>
    <t>978,88</t>
  </si>
  <si>
    <t>587,56</t>
  </si>
  <si>
    <t>817,18</t>
  </si>
  <si>
    <t>490,50</t>
  </si>
  <si>
    <t>642,78</t>
  </si>
  <si>
    <t>385,82</t>
  </si>
  <si>
    <t>727,65</t>
  </si>
  <si>
    <t>436,76</t>
  </si>
  <si>
    <t>606,38</t>
  </si>
  <si>
    <t>363,97</t>
  </si>
  <si>
    <t>421,58</t>
  </si>
  <si>
    <t>253,05</t>
  </si>
  <si>
    <t>199,25</t>
  </si>
  <si>
    <t>119,60</t>
  </si>
  <si>
    <t>239,10</t>
  </si>
  <si>
    <t>143,52</t>
  </si>
  <si>
    <t>516,88</t>
  </si>
  <si>
    <t>310,25</t>
  </si>
  <si>
    <t>1 380,22</t>
  </si>
  <si>
    <t>828,47</t>
  </si>
  <si>
    <t>329,18</t>
  </si>
  <si>
    <t>197,58</t>
  </si>
  <si>
    <t>190,58</t>
  </si>
  <si>
    <t>114,39</t>
  </si>
  <si>
    <t>228,70</t>
  </si>
  <si>
    <t>137,27</t>
  </si>
  <si>
    <t>228,12</t>
  </si>
  <si>
    <t>136,93</t>
  </si>
  <si>
    <t>273,75</t>
  </si>
  <si>
    <t>164,32</t>
  </si>
  <si>
    <t>1 404,90</t>
  </si>
  <si>
    <t>843,28</t>
  </si>
  <si>
    <t>1 238,75</t>
  </si>
  <si>
    <t>743,55</t>
  </si>
  <si>
    <t>1 486,50</t>
  </si>
  <si>
    <t>892,26</t>
  </si>
  <si>
    <t>1 313,08</t>
  </si>
  <si>
    <t>788,16</t>
  </si>
  <si>
    <t>1 227,38</t>
  </si>
  <si>
    <t>736,72</t>
  </si>
  <si>
    <t>1 157,90</t>
  </si>
  <si>
    <t>695,02</t>
  </si>
  <si>
    <t>330,58</t>
  </si>
  <si>
    <t>198,42</t>
  </si>
  <si>
    <t>275,48</t>
  </si>
  <si>
    <t>165,35</t>
  </si>
  <si>
    <t>311,85</t>
  </si>
  <si>
    <t>187,18</t>
  </si>
  <si>
    <t>829,48</t>
  </si>
  <si>
    <t>497,88</t>
  </si>
  <si>
    <t>961,10</t>
  </si>
  <si>
    <t>576,89</t>
  </si>
  <si>
    <t>672,80</t>
  </si>
  <si>
    <t>403,84</t>
  </si>
  <si>
    <t>1 037,60</t>
  </si>
  <si>
    <t>622,81</t>
  </si>
  <si>
    <t>277,38</t>
  </si>
  <si>
    <t>166,49</t>
  </si>
  <si>
    <t>456,22</t>
  </si>
  <si>
    <t>273,84</t>
  </si>
  <si>
    <t>679,50</t>
  </si>
  <si>
    <t>407,86</t>
  </si>
  <si>
    <t>641,02</t>
  </si>
  <si>
    <t>384,77</t>
  </si>
  <si>
    <t>566,25</t>
  </si>
  <si>
    <t>339,89</t>
  </si>
  <si>
    <t>443,82</t>
  </si>
  <si>
    <t>266,40</t>
  </si>
  <si>
    <t>418,70</t>
  </si>
  <si>
    <t>251,32</t>
  </si>
  <si>
    <t>401,38</t>
  </si>
  <si>
    <t>240,92</t>
  </si>
  <si>
    <t>241,80</t>
  </si>
  <si>
    <t>145,14</t>
  </si>
  <si>
    <t>290,18</t>
  </si>
  <si>
    <t>174,17</t>
  </si>
  <si>
    <t>437,70</t>
  </si>
  <si>
    <t>262,73</t>
  </si>
  <si>
    <t>525,22</t>
  </si>
  <si>
    <t>315,26</t>
  </si>
  <si>
    <t>495,50</t>
  </si>
  <si>
    <t>297,42</t>
  </si>
  <si>
    <t>481,65</t>
  </si>
  <si>
    <t>289,11</t>
  </si>
  <si>
    <t>511,15</t>
  </si>
  <si>
    <t>306,81</t>
  </si>
  <si>
    <t>378,32</t>
  </si>
  <si>
    <t>227,09</t>
  </si>
  <si>
    <t>356,90</t>
  </si>
  <si>
    <t>214,23</t>
  </si>
  <si>
    <t>178,53</t>
  </si>
  <si>
    <t>315,28</t>
  </si>
  <si>
    <t>189,24</t>
  </si>
  <si>
    <t>411,38</t>
  </si>
  <si>
    <t>246,92</t>
  </si>
  <si>
    <t>342,82</t>
  </si>
  <si>
    <t>205,78</t>
  </si>
  <si>
    <t>343,62</t>
  </si>
  <si>
    <t>206,26</t>
  </si>
  <si>
    <t>627,48</t>
  </si>
  <si>
    <t>376,64</t>
  </si>
  <si>
    <t>878,45</t>
  </si>
  <si>
    <t>527,28</t>
  </si>
  <si>
    <t>828,72</t>
  </si>
  <si>
    <t>497,43</t>
  </si>
  <si>
    <t>1 077,40</t>
  </si>
  <si>
    <t>646,70</t>
  </si>
  <si>
    <t>1 016,40</t>
  </si>
  <si>
    <t>610,08</t>
  </si>
  <si>
    <t>899,88</t>
  </si>
  <si>
    <t>540,14</t>
  </si>
  <si>
    <t>823,35</t>
  </si>
  <si>
    <t>494,21</t>
  </si>
  <si>
    <t>776,75</t>
  </si>
  <si>
    <t>466,24</t>
  </si>
  <si>
    <t>1 055,98</t>
  </si>
  <si>
    <t>633,84</t>
  </si>
  <si>
    <t>844,78</t>
  </si>
  <si>
    <t>507,07</t>
  </si>
  <si>
    <t>1 013,72</t>
  </si>
  <si>
    <t>608,48</t>
  </si>
  <si>
    <t>687,22</t>
  </si>
  <si>
    <t>412,50</t>
  </si>
  <si>
    <t>822,95</t>
  </si>
  <si>
    <t>493,97</t>
  </si>
  <si>
    <t>216,72</t>
  </si>
  <si>
    <t>130,09</t>
  </si>
  <si>
    <t>180,60</t>
  </si>
  <si>
    <t>108,40</t>
  </si>
  <si>
    <t>204,45</t>
  </si>
  <si>
    <t>122,72</t>
  </si>
  <si>
    <t>272,42</t>
  </si>
  <si>
    <t>163,52</t>
  </si>
  <si>
    <t>326,90</t>
  </si>
  <si>
    <t>196,22</t>
  </si>
  <si>
    <t>257,00</t>
  </si>
  <si>
    <t>154,26</t>
  </si>
  <si>
    <t>308,40</t>
  </si>
  <si>
    <t>185,11</t>
  </si>
  <si>
    <t>548,62</t>
  </si>
  <si>
    <t>329,31</t>
  </si>
  <si>
    <t>814,28</t>
  </si>
  <si>
    <t>488,76</t>
  </si>
  <si>
    <t>321,40</t>
  </si>
  <si>
    <t>192,92</t>
  </si>
  <si>
    <t>385,68</t>
  </si>
  <si>
    <t>231,50</t>
  </si>
  <si>
    <t>303,20</t>
  </si>
  <si>
    <t>181,99</t>
  </si>
  <si>
    <t>783,58</t>
  </si>
  <si>
    <t>470,33</t>
  </si>
  <si>
    <t>739,20</t>
  </si>
  <si>
    <t>443,70</t>
  </si>
  <si>
    <t>1 013,12</t>
  </si>
  <si>
    <t>608,12</t>
  </si>
  <si>
    <t>955,78</t>
  </si>
  <si>
    <t>573,69</t>
  </si>
  <si>
    <t>379,50</t>
  </si>
  <si>
    <t>227,79</t>
  </si>
  <si>
    <t>332,75</t>
  </si>
  <si>
    <t>199,73</t>
  </si>
  <si>
    <t>272,25</t>
  </si>
  <si>
    <t>163,42</t>
  </si>
  <si>
    <t>64,15</t>
  </si>
  <si>
    <t>38,51</t>
  </si>
  <si>
    <t>176,40</t>
  </si>
  <si>
    <t>105,88</t>
  </si>
  <si>
    <t>122,92</t>
  </si>
  <si>
    <t>73,78</t>
  </si>
  <si>
    <t>213,80</t>
  </si>
  <si>
    <t>128,33</t>
  </si>
  <si>
    <t>256,55</t>
  </si>
  <si>
    <t>153,99</t>
  </si>
  <si>
    <t>85,52</t>
  </si>
  <si>
    <t>51,34</t>
  </si>
  <si>
    <t>165,70</t>
  </si>
  <si>
    <t>99,46</t>
  </si>
  <si>
    <t>363,45</t>
  </si>
  <si>
    <t>218,16</t>
  </si>
  <si>
    <t>545,20</t>
  </si>
  <si>
    <t>327,25</t>
  </si>
  <si>
    <t>50,45</t>
  </si>
  <si>
    <t>30,28</t>
  </si>
  <si>
    <t>79,72</t>
  </si>
  <si>
    <t>47,85</t>
  </si>
  <si>
    <t>247,38</t>
  </si>
  <si>
    <t>148,48</t>
  </si>
  <si>
    <t>395,32</t>
  </si>
  <si>
    <t>237,29</t>
  </si>
  <si>
    <t>181,72</t>
  </si>
  <si>
    <t>109,08</t>
  </si>
  <si>
    <t>690,12</t>
  </si>
  <si>
    <t>414,24</t>
  </si>
  <si>
    <t>1 104,80</t>
  </si>
  <si>
    <t>663,15</t>
  </si>
  <si>
    <t>218,62</t>
  </si>
  <si>
    <t>131,23</t>
  </si>
  <si>
    <t>297,35</t>
  </si>
  <si>
    <t>178,48</t>
  </si>
  <si>
    <t>259,45</t>
  </si>
  <si>
    <t>155,73</t>
  </si>
  <si>
    <t>826,38</t>
  </si>
  <si>
    <t>496,02</t>
  </si>
  <si>
    <t>143,00</t>
  </si>
  <si>
    <t>85,83</t>
  </si>
  <si>
    <t>346,90</t>
  </si>
  <si>
    <t>208,22</t>
  </si>
  <si>
    <t>405,20</t>
  </si>
  <si>
    <t>243,22</t>
  </si>
  <si>
    <t>273,85</t>
  </si>
  <si>
    <t>164,38</t>
  </si>
  <si>
    <t>221,55</t>
  </si>
  <si>
    <t>132,98</t>
  </si>
  <si>
    <t>456,08</t>
  </si>
  <si>
    <t>584,62</t>
  </si>
  <si>
    <t>350,92</t>
  </si>
  <si>
    <t>186,30</t>
  </si>
  <si>
    <t>111,82</t>
  </si>
  <si>
    <t>276,92</t>
  </si>
  <si>
    <t>166,22</t>
  </si>
  <si>
    <t>119,38</t>
  </si>
  <si>
    <t>71,65</t>
  </si>
  <si>
    <t>228,10</t>
  </si>
  <si>
    <t>136,91</t>
  </si>
  <si>
    <t>350,45</t>
  </si>
  <si>
    <t>210,35</t>
  </si>
  <si>
    <t>156,10</t>
  </si>
  <si>
    <t>93,70</t>
  </si>
  <si>
    <t>137,75</t>
  </si>
  <si>
    <t>82,68</t>
  </si>
  <si>
    <t>170,35</t>
  </si>
  <si>
    <t>102,25</t>
  </si>
  <si>
    <t>158,80</t>
  </si>
  <si>
    <t>95,32</t>
  </si>
  <si>
    <t>547,88</t>
  </si>
  <si>
    <t>328,86</t>
  </si>
  <si>
    <t>670,32</t>
  </si>
  <si>
    <t>402,36</t>
  </si>
  <si>
    <t>66,68</t>
  </si>
  <si>
    <t>40,02</t>
  </si>
  <si>
    <t>86,00</t>
  </si>
  <si>
    <t>51,62</t>
  </si>
  <si>
    <t>461,58</t>
  </si>
  <si>
    <t>277,06</t>
  </si>
  <si>
    <t>797,50</t>
  </si>
  <si>
    <t>478,69</t>
  </si>
  <si>
    <t>658,08</t>
  </si>
  <si>
    <t>395,00</t>
  </si>
  <si>
    <t>1 435,50</t>
  </si>
  <si>
    <t>861,64</t>
  </si>
  <si>
    <t>409,75</t>
  </si>
  <si>
    <t>245,95</t>
  </si>
  <si>
    <t>362,08</t>
  </si>
  <si>
    <t>217,33</t>
  </si>
  <si>
    <t>437,65</t>
  </si>
  <si>
    <t>262,70</t>
  </si>
  <si>
    <t>82,02</t>
  </si>
  <si>
    <t>49,23</t>
  </si>
  <si>
    <t>115,50</t>
  </si>
  <si>
    <t>69,33</t>
  </si>
  <si>
    <t>86,32</t>
  </si>
  <si>
    <t>51,82</t>
  </si>
  <si>
    <t>55,00</t>
  </si>
  <si>
    <t>33,01</t>
  </si>
  <si>
    <t>545,02</t>
  </si>
  <si>
    <t>327,15</t>
  </si>
  <si>
    <t>312,38</t>
  </si>
  <si>
    <t>187,50</t>
  </si>
  <si>
    <t>590,50</t>
  </si>
  <si>
    <t>354,44</t>
  </si>
  <si>
    <t>893,75</t>
  </si>
  <si>
    <t>536,46</t>
  </si>
  <si>
    <t>609,10</t>
  </si>
  <si>
    <t>365,61</t>
  </si>
  <si>
    <t>570,32</t>
  </si>
  <si>
    <t>342,33</t>
  </si>
  <si>
    <t>668,55</t>
  </si>
  <si>
    <t>401,29</t>
  </si>
  <si>
    <t>533,00</t>
  </si>
  <si>
    <t>319,93</t>
  </si>
  <si>
    <t>139,15</t>
  </si>
  <si>
    <t>83,52</t>
  </si>
  <si>
    <t>110,00</t>
  </si>
  <si>
    <t>0,00</t>
  </si>
  <si>
    <t>580,80</t>
  </si>
  <si>
    <t>348,62</t>
  </si>
  <si>
    <t>572,55</t>
  </si>
  <si>
    <t>343,67</t>
  </si>
  <si>
    <t>350,30</t>
  </si>
  <si>
    <t>210,26</t>
  </si>
  <si>
    <t>475,28</t>
  </si>
  <si>
    <t>285,28</t>
  </si>
  <si>
    <t>303,05</t>
  </si>
  <si>
    <t>181,90</t>
  </si>
  <si>
    <t>365,28</t>
  </si>
  <si>
    <t>219,25</t>
  </si>
  <si>
    <t>577,72</t>
  </si>
  <si>
    <t>346,77</t>
  </si>
  <si>
    <t>633,82</t>
  </si>
  <si>
    <t>380,45</t>
  </si>
  <si>
    <t>289,20</t>
  </si>
  <si>
    <t>173,59</t>
  </si>
  <si>
    <t>79,58</t>
  </si>
  <si>
    <t>47,76</t>
  </si>
  <si>
    <t>455,38</t>
  </si>
  <si>
    <t>273,33</t>
  </si>
  <si>
    <t>FORNECEDOR</t>
  </si>
  <si>
    <t>NOME ORIGINAL</t>
  </si>
  <si>
    <t>PART NUMBER</t>
  </si>
  <si>
    <t>CONDIÇÃO</t>
  </si>
  <si>
    <t>CUSTO</t>
  </si>
  <si>
    <t>MOEDA</t>
  </si>
  <si>
    <t>CUSTO FINAL?</t>
  </si>
  <si>
    <t>CUSTO LÍQUIDO</t>
  </si>
  <si>
    <t>MODIFICADO EM</t>
  </si>
  <si>
    <t>DDP</t>
  </si>
  <si>
    <t>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</si>
</sst>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20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6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/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/>
    </xf>
    <xf numFmtId="43" fontId="2" fillId="0" borderId="3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43" fontId="2" fillId="2" borderId="3" xfId="2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3" fontId="0" fillId="0" borderId="0" xfId="0" applyNumberFormat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49" fontId="7" fillId="0" borderId="0" xfId="0" applyNumberFormat="1" applyFont="1"/>
    <xf numFmtId="1" fontId="7" fillId="0" borderId="0" xfId="0" applyNumberFormat="1" applyFont="1"/>
    <xf numFmtId="2" fontId="7" fillId="0" borderId="0" xfId="0" applyNumberFormat="1" applyFont="1"/>
    <xf numFmtId="0" fontId="7" fillId="0" borderId="0" xfId="0" applyFont="1"/>
    <xf numFmtId="14" fontId="7" fillId="0" borderId="0" xfId="0" applyNumberFormat="1" applyFont="1"/>
    <xf numFmtId="49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3">
    <cellStyle name="Normal" xfId="0" builtinId="0"/>
    <cellStyle name="Normal 3" xfId="1" xr:uid="{116AD638-C5B5-4415-B2E2-5F93151327AA}"/>
    <cellStyle name="Vírgula" xfId="2" builtinId="3"/>
  </cellStyles>
  <dxfs count="0"/>
  <tableStyles count="0" defaultTableStyle="TableStyleMedium2" defaultPivotStyle="PivotStyleLight16"/>
  <colors>
    <mruColors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A0C2-1D89-46E9-8F80-A87D9C87F3C2}">
  <sheetPr filterMode="1"/>
  <dimension ref="A1:O1264"/>
  <sheetViews>
    <sheetView showGridLines="0" zoomScale="60" zoomScaleNormal="60" zoomScaleSheetLayoutView="40" workbookViewId="0">
      <pane ySplit="1" topLeftCell="A1228" activePane="bottomLeft" state="frozen"/>
      <selection activeCell="B1" sqref="B1"/>
      <selection pane="bottomLeft" sqref="A1:K1257"/>
    </sheetView>
  </sheetViews>
  <sheetFormatPr baseColWidth="10" defaultColWidth="8.83203125" defaultRowHeight="21"/>
  <cols>
    <col min="1" max="1" width="14.1640625" style="3" bestFit="1" customWidth="1"/>
    <col min="2" max="2" width="124.6640625" bestFit="1" customWidth="1"/>
    <col min="3" max="4" width="24.5" customWidth="1"/>
    <col min="5" max="5" width="18.83203125" customWidth="1"/>
    <col min="6" max="6" width="18.33203125" customWidth="1"/>
    <col min="7" max="7" width="21.1640625" customWidth="1"/>
    <col min="8" max="8" width="31.5" customWidth="1"/>
    <col min="9" max="9" width="18" style="1" bestFit="1" customWidth="1"/>
    <col min="10" max="10" width="16.1640625" style="2" customWidth="1"/>
    <col min="11" max="11" width="31.5" style="2" customWidth="1"/>
    <col min="13" max="13" width="10.5" bestFit="1" customWidth="1"/>
  </cols>
  <sheetData>
    <row r="1" spans="1:15" ht="49.25" customHeight="1">
      <c r="A1" s="4" t="s">
        <v>0</v>
      </c>
      <c r="B1" s="4" t="s">
        <v>1</v>
      </c>
      <c r="C1" s="5" t="s">
        <v>6</v>
      </c>
      <c r="D1" s="4" t="s">
        <v>2</v>
      </c>
      <c r="E1" s="4" t="s">
        <v>198</v>
      </c>
      <c r="F1" s="4" t="s">
        <v>3</v>
      </c>
      <c r="G1" s="4" t="s">
        <v>4</v>
      </c>
      <c r="H1" s="4" t="s">
        <v>5</v>
      </c>
      <c r="I1" s="6" t="s">
        <v>8</v>
      </c>
      <c r="J1" s="7" t="s">
        <v>7</v>
      </c>
      <c r="K1" s="8" t="s">
        <v>9</v>
      </c>
    </row>
    <row r="2" spans="1:15" ht="57.5" hidden="1" customHeight="1">
      <c r="A2" s="10">
        <v>84</v>
      </c>
      <c r="B2" s="11" t="s">
        <v>427</v>
      </c>
      <c r="C2" s="10" t="s">
        <v>425</v>
      </c>
      <c r="D2" s="12" t="s">
        <v>11</v>
      </c>
      <c r="E2" s="10" t="s">
        <v>11</v>
      </c>
      <c r="F2" s="10" t="s">
        <v>428</v>
      </c>
      <c r="G2" s="10" t="s">
        <v>14</v>
      </c>
      <c r="H2" s="10" t="s">
        <v>14</v>
      </c>
      <c r="I2" s="10" t="s">
        <v>11</v>
      </c>
      <c r="J2" s="13">
        <v>84.588000000000008</v>
      </c>
      <c r="K2" s="14"/>
      <c r="L2" t="str">
        <f>VLOOKUP(A2,Formulas!A:B,2,FALSE)</f>
        <v>092032</v>
      </c>
      <c r="M2" s="32"/>
      <c r="N2" s="32"/>
      <c r="O2" s="32"/>
    </row>
    <row r="3" spans="1:15" ht="57.5" hidden="1" customHeight="1">
      <c r="A3" s="10">
        <v>85</v>
      </c>
      <c r="B3" s="11" t="s">
        <v>429</v>
      </c>
      <c r="C3" s="10" t="s">
        <v>425</v>
      </c>
      <c r="D3" s="12" t="s">
        <v>11</v>
      </c>
      <c r="E3" s="10" t="s">
        <v>11</v>
      </c>
      <c r="F3" s="10" t="s">
        <v>428</v>
      </c>
      <c r="G3" s="10" t="s">
        <v>14</v>
      </c>
      <c r="H3" s="10" t="s">
        <v>14</v>
      </c>
      <c r="I3" s="10" t="s">
        <v>11</v>
      </c>
      <c r="J3" s="13">
        <v>84.588000000000008</v>
      </c>
      <c r="K3" s="14"/>
      <c r="L3" t="str">
        <f>VLOOKUP(A3,Formulas!A:B,2,FALSE)</f>
        <v>092033</v>
      </c>
      <c r="M3" s="32"/>
    </row>
    <row r="4" spans="1:15" ht="57.5" hidden="1" customHeight="1">
      <c r="A4" s="10">
        <v>86</v>
      </c>
      <c r="B4" s="11" t="s">
        <v>430</v>
      </c>
      <c r="C4" s="10" t="s">
        <v>425</v>
      </c>
      <c r="D4" s="12" t="s">
        <v>11</v>
      </c>
      <c r="E4" s="10" t="s">
        <v>11</v>
      </c>
      <c r="F4" s="10" t="s">
        <v>428</v>
      </c>
      <c r="G4" s="10" t="s">
        <v>14</v>
      </c>
      <c r="H4" s="10" t="s">
        <v>14</v>
      </c>
      <c r="I4" s="10" t="s">
        <v>11</v>
      </c>
      <c r="J4" s="13">
        <v>101.50560000000002</v>
      </c>
      <c r="K4" s="14"/>
      <c r="L4" t="str">
        <f>VLOOKUP(A4,Formulas!A:B,2,FALSE)</f>
        <v>092034</v>
      </c>
      <c r="M4" s="32"/>
    </row>
    <row r="5" spans="1:15" ht="57.5" hidden="1" customHeight="1">
      <c r="A5" s="10">
        <v>90</v>
      </c>
      <c r="B5" s="11" t="s">
        <v>431</v>
      </c>
      <c r="C5" s="10" t="s">
        <v>425</v>
      </c>
      <c r="D5" s="12" t="s">
        <v>11</v>
      </c>
      <c r="E5" s="10" t="s">
        <v>11</v>
      </c>
      <c r="F5" s="10" t="s">
        <v>428</v>
      </c>
      <c r="G5" s="10" t="s">
        <v>14</v>
      </c>
      <c r="H5" s="10" t="s">
        <v>14</v>
      </c>
      <c r="I5" s="10" t="s">
        <v>11</v>
      </c>
      <c r="J5" s="13">
        <v>84.588000000000008</v>
      </c>
      <c r="K5" s="14"/>
      <c r="L5" t="str">
        <f>VLOOKUP(A5,Formulas!A:B,2,FALSE)</f>
        <v>092036</v>
      </c>
      <c r="M5" s="32"/>
    </row>
    <row r="6" spans="1:15" ht="57.5" hidden="1" customHeight="1">
      <c r="A6" s="10">
        <v>97</v>
      </c>
      <c r="B6" s="11" t="s">
        <v>433</v>
      </c>
      <c r="C6" s="10" t="s">
        <v>426</v>
      </c>
      <c r="D6" s="12" t="s">
        <v>11</v>
      </c>
      <c r="E6" s="10" t="s">
        <v>11</v>
      </c>
      <c r="F6" s="10" t="s">
        <v>428</v>
      </c>
      <c r="G6" s="10" t="s">
        <v>93</v>
      </c>
      <c r="H6" s="10" t="s">
        <v>93</v>
      </c>
      <c r="I6" s="10" t="s">
        <v>11</v>
      </c>
      <c r="J6" s="13">
        <v>139.125</v>
      </c>
      <c r="K6" s="14"/>
      <c r="L6" t="str">
        <f>VLOOKUP(A6,Formulas!A:B,2,FALSE)</f>
        <v>092040</v>
      </c>
      <c r="M6" s="32"/>
    </row>
    <row r="7" spans="1:15" ht="57.5" hidden="1" customHeight="1">
      <c r="A7" s="10">
        <v>98</v>
      </c>
      <c r="B7" s="11" t="s">
        <v>434</v>
      </c>
      <c r="C7" s="10" t="s">
        <v>426</v>
      </c>
      <c r="D7" s="12" t="s">
        <v>11</v>
      </c>
      <c r="E7" s="10" t="s">
        <v>11</v>
      </c>
      <c r="F7" s="10" t="s">
        <v>428</v>
      </c>
      <c r="G7" s="10" t="s">
        <v>93</v>
      </c>
      <c r="H7" s="10" t="s">
        <v>93</v>
      </c>
      <c r="I7" s="10" t="s">
        <v>11</v>
      </c>
      <c r="J7" s="13">
        <v>139.125</v>
      </c>
      <c r="K7" s="14"/>
      <c r="L7" t="str">
        <f>VLOOKUP(A7,Formulas!A:B,2,FALSE)</f>
        <v>092041</v>
      </c>
      <c r="M7" s="32"/>
    </row>
    <row r="8" spans="1:15" ht="57.5" hidden="1" customHeight="1">
      <c r="A8" s="10">
        <v>99</v>
      </c>
      <c r="B8" s="11" t="s">
        <v>435</v>
      </c>
      <c r="C8" s="10" t="s">
        <v>426</v>
      </c>
      <c r="D8" s="12" t="s">
        <v>11</v>
      </c>
      <c r="E8" s="10" t="s">
        <v>11</v>
      </c>
      <c r="F8" s="10" t="s">
        <v>428</v>
      </c>
      <c r="G8" s="10" t="s">
        <v>93</v>
      </c>
      <c r="H8" s="10" t="s">
        <v>93</v>
      </c>
      <c r="I8" s="10" t="s">
        <v>11</v>
      </c>
      <c r="J8" s="13">
        <v>166.95000000000002</v>
      </c>
      <c r="K8" s="14"/>
      <c r="L8" t="str">
        <f>VLOOKUP(A8,Formulas!A:B,2,FALSE)</f>
        <v>092042</v>
      </c>
      <c r="M8" s="32"/>
    </row>
    <row r="9" spans="1:15" ht="57.5" hidden="1" customHeight="1">
      <c r="A9" s="10">
        <v>103</v>
      </c>
      <c r="B9" s="11" t="s">
        <v>436</v>
      </c>
      <c r="C9" s="10" t="s">
        <v>426</v>
      </c>
      <c r="D9" s="12" t="s">
        <v>11</v>
      </c>
      <c r="E9" s="10" t="s">
        <v>11</v>
      </c>
      <c r="F9" s="10" t="s">
        <v>428</v>
      </c>
      <c r="G9" s="10" t="s">
        <v>93</v>
      </c>
      <c r="H9" s="10" t="s">
        <v>93</v>
      </c>
      <c r="I9" s="10" t="s">
        <v>11</v>
      </c>
      <c r="J9" s="13">
        <v>139.125</v>
      </c>
      <c r="K9" s="14"/>
      <c r="L9" t="str">
        <f>VLOOKUP(A9,Formulas!A:B,2,FALSE)</f>
        <v>092044</v>
      </c>
      <c r="M9" s="32"/>
    </row>
    <row r="10" spans="1:15" ht="57.5" hidden="1" customHeight="1">
      <c r="A10" s="10">
        <v>110</v>
      </c>
      <c r="B10" s="11" t="s">
        <v>438</v>
      </c>
      <c r="C10" s="10" t="s">
        <v>439</v>
      </c>
      <c r="D10" s="12" t="s">
        <v>11</v>
      </c>
      <c r="E10" s="10" t="s">
        <v>11</v>
      </c>
      <c r="F10" s="10" t="s">
        <v>428</v>
      </c>
      <c r="G10" s="10" t="s">
        <v>440</v>
      </c>
      <c r="H10" s="10" t="s">
        <v>440</v>
      </c>
      <c r="I10" s="10" t="s">
        <v>11</v>
      </c>
      <c r="J10" s="13">
        <v>267.12</v>
      </c>
      <c r="K10" s="14"/>
      <c r="L10" t="str">
        <f>VLOOKUP(A10,Formulas!A:B,2,FALSE)</f>
        <v>092048</v>
      </c>
      <c r="M10" s="32"/>
    </row>
    <row r="11" spans="1:15" ht="57.5" hidden="1" customHeight="1">
      <c r="A11" s="10">
        <v>111</v>
      </c>
      <c r="B11" s="11" t="s">
        <v>441</v>
      </c>
      <c r="C11" s="10" t="s">
        <v>439</v>
      </c>
      <c r="D11" s="12" t="s">
        <v>11</v>
      </c>
      <c r="E11" s="10" t="s">
        <v>11</v>
      </c>
      <c r="F11" s="10" t="s">
        <v>428</v>
      </c>
      <c r="G11" s="10" t="s">
        <v>440</v>
      </c>
      <c r="H11" s="10" t="s">
        <v>440</v>
      </c>
      <c r="I11" s="10" t="s">
        <v>11</v>
      </c>
      <c r="J11" s="13">
        <v>267.12</v>
      </c>
      <c r="K11" s="14"/>
      <c r="L11" t="str">
        <f>VLOOKUP(A11,Formulas!A:B,2,FALSE)</f>
        <v>092049</v>
      </c>
      <c r="M11" s="32"/>
    </row>
    <row r="12" spans="1:15" ht="57.5" hidden="1" customHeight="1">
      <c r="A12" s="10">
        <v>112</v>
      </c>
      <c r="B12" s="11" t="s">
        <v>442</v>
      </c>
      <c r="C12" s="10" t="s">
        <v>439</v>
      </c>
      <c r="D12" s="12" t="s">
        <v>11</v>
      </c>
      <c r="E12" s="10" t="s">
        <v>11</v>
      </c>
      <c r="F12" s="10" t="s">
        <v>428</v>
      </c>
      <c r="G12" s="10" t="s">
        <v>440</v>
      </c>
      <c r="H12" s="10" t="s">
        <v>440</v>
      </c>
      <c r="I12" s="10" t="s">
        <v>11</v>
      </c>
      <c r="J12" s="13">
        <v>320.54399999999998</v>
      </c>
      <c r="K12" s="14"/>
      <c r="L12" t="str">
        <f>VLOOKUP(A12,Formulas!A:B,2,FALSE)</f>
        <v>092050</v>
      </c>
      <c r="M12" s="32"/>
    </row>
    <row r="13" spans="1:15" ht="57.5" hidden="1" customHeight="1">
      <c r="A13" s="10">
        <v>116</v>
      </c>
      <c r="B13" s="11" t="s">
        <v>443</v>
      </c>
      <c r="C13" s="10" t="s">
        <v>439</v>
      </c>
      <c r="D13" s="12" t="s">
        <v>11</v>
      </c>
      <c r="E13" s="10" t="s">
        <v>11</v>
      </c>
      <c r="F13" s="10" t="s">
        <v>428</v>
      </c>
      <c r="G13" s="10" t="s">
        <v>440</v>
      </c>
      <c r="H13" s="10" t="s">
        <v>440</v>
      </c>
      <c r="I13" s="10" t="s">
        <v>11</v>
      </c>
      <c r="J13" s="13">
        <v>267.12</v>
      </c>
      <c r="K13" s="14"/>
      <c r="L13" t="str">
        <f>VLOOKUP(A13,Formulas!A:B,2,FALSE)</f>
        <v>092052</v>
      </c>
      <c r="M13" s="32"/>
    </row>
    <row r="14" spans="1:15" ht="57.5" hidden="1" customHeight="1">
      <c r="A14" s="10">
        <v>131</v>
      </c>
      <c r="B14" s="11" t="s">
        <v>494</v>
      </c>
      <c r="C14" s="10" t="s">
        <v>439</v>
      </c>
      <c r="D14" s="12" t="s">
        <v>11</v>
      </c>
      <c r="E14" s="10" t="s">
        <v>11</v>
      </c>
      <c r="F14" s="10" t="s">
        <v>428</v>
      </c>
      <c r="G14" s="10" t="s">
        <v>96</v>
      </c>
      <c r="H14" s="10" t="s">
        <v>96</v>
      </c>
      <c r="I14" s="10" t="s">
        <v>104</v>
      </c>
      <c r="J14" s="13">
        <v>311.64000000000004</v>
      </c>
      <c r="K14" s="14"/>
      <c r="L14" t="str">
        <f>VLOOKUP(A14,Formulas!A:B,2,FALSE)</f>
        <v>092140</v>
      </c>
      <c r="M14" s="32"/>
    </row>
    <row r="15" spans="1:15" ht="57.5" hidden="1" customHeight="1">
      <c r="A15" s="10">
        <v>135</v>
      </c>
      <c r="B15" s="11" t="s">
        <v>495</v>
      </c>
      <c r="C15" s="10" t="s">
        <v>439</v>
      </c>
      <c r="D15" s="12" t="s">
        <v>11</v>
      </c>
      <c r="E15" s="10" t="s">
        <v>11</v>
      </c>
      <c r="F15" s="10" t="s">
        <v>428</v>
      </c>
      <c r="G15" s="10" t="s">
        <v>96</v>
      </c>
      <c r="H15" s="10" t="s">
        <v>96</v>
      </c>
      <c r="I15" s="10" t="s">
        <v>104</v>
      </c>
      <c r="J15" s="13">
        <v>311.64000000000004</v>
      </c>
      <c r="K15" s="14"/>
      <c r="L15" t="str">
        <f>VLOOKUP(A15,Formulas!A:B,2,FALSE)</f>
        <v>092144</v>
      </c>
      <c r="M15" s="32"/>
    </row>
    <row r="16" spans="1:15" ht="57.5" hidden="1" customHeight="1">
      <c r="A16" s="10">
        <v>263</v>
      </c>
      <c r="B16" s="11" t="s">
        <v>959</v>
      </c>
      <c r="C16" s="10" t="s">
        <v>217</v>
      </c>
      <c r="D16" s="12" t="s">
        <v>11</v>
      </c>
      <c r="E16" s="10" t="s">
        <v>11</v>
      </c>
      <c r="F16" s="10" t="s">
        <v>262</v>
      </c>
      <c r="G16" s="10" t="s">
        <v>288</v>
      </c>
      <c r="H16" s="10" t="s">
        <v>288</v>
      </c>
      <c r="I16" s="10" t="s">
        <v>11</v>
      </c>
      <c r="J16" s="13">
        <v>293.83199999999999</v>
      </c>
      <c r="K16" s="14"/>
      <c r="L16" t="str">
        <f>VLOOKUP(A16,Formulas!A:B,2,FALSE)</f>
        <v>092922</v>
      </c>
      <c r="M16" s="32"/>
    </row>
    <row r="17" spans="1:13" ht="57.5" hidden="1" customHeight="1">
      <c r="A17" s="10">
        <v>265</v>
      </c>
      <c r="B17" s="11" t="s">
        <v>677</v>
      </c>
      <c r="C17" s="10" t="s">
        <v>217</v>
      </c>
      <c r="D17" s="12" t="s">
        <v>11</v>
      </c>
      <c r="E17" s="10" t="s">
        <v>11</v>
      </c>
      <c r="F17" s="10" t="s">
        <v>262</v>
      </c>
      <c r="G17" s="10" t="s">
        <v>288</v>
      </c>
      <c r="H17" s="10" t="s">
        <v>288</v>
      </c>
      <c r="I17" s="10" t="s">
        <v>11</v>
      </c>
      <c r="J17" s="13">
        <v>244.86</v>
      </c>
      <c r="K17" s="14"/>
      <c r="L17" t="str">
        <f>VLOOKUP(A17,Formulas!A:B,2,FALSE)</f>
        <v>092923</v>
      </c>
      <c r="M17" s="32"/>
    </row>
    <row r="18" spans="1:13" ht="57.5" hidden="1" customHeight="1">
      <c r="A18" s="10">
        <v>267</v>
      </c>
      <c r="B18" s="11" t="s">
        <v>678</v>
      </c>
      <c r="C18" s="10" t="s">
        <v>217</v>
      </c>
      <c r="D18" s="12" t="s">
        <v>11</v>
      </c>
      <c r="E18" s="10" t="s">
        <v>11</v>
      </c>
      <c r="F18" s="10" t="s">
        <v>262</v>
      </c>
      <c r="G18" s="10" t="s">
        <v>288</v>
      </c>
      <c r="H18" s="10" t="s">
        <v>288</v>
      </c>
      <c r="I18" s="10" t="s">
        <v>11</v>
      </c>
      <c r="J18" s="13">
        <v>244.86</v>
      </c>
      <c r="K18" s="14"/>
      <c r="L18" t="str">
        <f>VLOOKUP(A18,Formulas!A:B,2,FALSE)</f>
        <v>092924</v>
      </c>
      <c r="M18" s="32"/>
    </row>
    <row r="19" spans="1:13" ht="57.5" hidden="1" customHeight="1">
      <c r="A19" s="10">
        <v>299</v>
      </c>
      <c r="B19" s="11" t="s">
        <v>498</v>
      </c>
      <c r="C19" s="10" t="s">
        <v>182</v>
      </c>
      <c r="D19" s="12" t="s">
        <v>11</v>
      </c>
      <c r="E19" s="10" t="s">
        <v>11</v>
      </c>
      <c r="F19" s="10" t="s">
        <v>96</v>
      </c>
      <c r="G19" s="10" t="s">
        <v>90</v>
      </c>
      <c r="H19" s="10" t="s">
        <v>90</v>
      </c>
      <c r="I19" s="10" t="s">
        <v>206</v>
      </c>
      <c r="J19" s="13">
        <v>76.797000000000011</v>
      </c>
      <c r="K19" s="14"/>
      <c r="L19" t="str">
        <f>VLOOKUP(A19,Formulas!A:B,2,FALSE)</f>
        <v>092167</v>
      </c>
      <c r="M19" s="32"/>
    </row>
    <row r="20" spans="1:13" ht="57.5" hidden="1" customHeight="1">
      <c r="A20" s="10">
        <v>301</v>
      </c>
      <c r="B20" s="11" t="s">
        <v>499</v>
      </c>
      <c r="C20" s="10" t="s">
        <v>182</v>
      </c>
      <c r="D20" s="12" t="s">
        <v>11</v>
      </c>
      <c r="E20" s="10" t="s">
        <v>11</v>
      </c>
      <c r="F20" s="10" t="s">
        <v>96</v>
      </c>
      <c r="G20" s="10" t="s">
        <v>90</v>
      </c>
      <c r="H20" s="10" t="s">
        <v>90</v>
      </c>
      <c r="I20" s="10" t="s">
        <v>206</v>
      </c>
      <c r="J20" s="13">
        <v>92.379000000000005</v>
      </c>
      <c r="K20" s="14"/>
      <c r="L20" t="str">
        <f>VLOOKUP(A20,Formulas!A:B,2,FALSE)</f>
        <v>092169</v>
      </c>
      <c r="M20" s="32"/>
    </row>
    <row r="21" spans="1:13" ht="57.5" hidden="1" customHeight="1">
      <c r="A21" s="10">
        <v>304</v>
      </c>
      <c r="B21" s="11" t="s">
        <v>500</v>
      </c>
      <c r="C21" s="10" t="s">
        <v>182</v>
      </c>
      <c r="D21" s="12" t="s">
        <v>11</v>
      </c>
      <c r="E21" s="10" t="s">
        <v>11</v>
      </c>
      <c r="F21" s="10" t="s">
        <v>96</v>
      </c>
      <c r="G21" s="10" t="s">
        <v>90</v>
      </c>
      <c r="H21" s="10" t="s">
        <v>90</v>
      </c>
      <c r="I21" s="10" t="s">
        <v>206</v>
      </c>
      <c r="J21" s="13">
        <v>76.797000000000011</v>
      </c>
      <c r="K21" s="14"/>
      <c r="L21" t="str">
        <f>VLOOKUP(A21,Formulas!A:B,2,FALSE)</f>
        <v>092171</v>
      </c>
      <c r="M21" s="32"/>
    </row>
    <row r="22" spans="1:13" ht="57.5" hidden="1" customHeight="1">
      <c r="A22" s="10">
        <v>306</v>
      </c>
      <c r="B22" s="11" t="s">
        <v>891</v>
      </c>
      <c r="C22" s="10" t="s">
        <v>182</v>
      </c>
      <c r="D22" s="12" t="s">
        <v>11</v>
      </c>
      <c r="E22" s="10" t="s">
        <v>11</v>
      </c>
      <c r="F22" s="10" t="s">
        <v>96</v>
      </c>
      <c r="G22" s="10" t="s">
        <v>90</v>
      </c>
      <c r="H22" s="10" t="s">
        <v>90</v>
      </c>
      <c r="I22" s="10" t="s">
        <v>206</v>
      </c>
      <c r="J22" s="13">
        <v>92.379000000000005</v>
      </c>
      <c r="K22" s="14"/>
      <c r="L22" t="str">
        <f>VLOOKUP(A22,Formulas!A:B,2,FALSE)</f>
        <v>092173</v>
      </c>
      <c r="M22" s="32"/>
    </row>
    <row r="23" spans="1:13" ht="57.5" hidden="1" customHeight="1">
      <c r="A23" s="10">
        <v>330</v>
      </c>
      <c r="B23" s="11" t="s">
        <v>502</v>
      </c>
      <c r="C23" s="10" t="s">
        <v>424</v>
      </c>
      <c r="D23" s="12" t="s">
        <v>11</v>
      </c>
      <c r="E23" s="10" t="s">
        <v>11</v>
      </c>
      <c r="F23" s="10" t="s">
        <v>208</v>
      </c>
      <c r="G23" s="10" t="s">
        <v>14</v>
      </c>
      <c r="H23" s="10" t="s">
        <v>14</v>
      </c>
      <c r="I23" s="10" t="s">
        <v>206</v>
      </c>
      <c r="J23" s="13">
        <v>150.9228</v>
      </c>
      <c r="K23" s="14"/>
      <c r="L23" t="str">
        <f>VLOOKUP(A23,Formulas!A:B,2,FALSE)</f>
        <v>092179</v>
      </c>
      <c r="M23" s="32"/>
    </row>
    <row r="24" spans="1:13" ht="57.5" hidden="1" customHeight="1">
      <c r="A24" s="10">
        <v>331</v>
      </c>
      <c r="B24" s="11" t="s">
        <v>504</v>
      </c>
      <c r="C24" s="10" t="s">
        <v>424</v>
      </c>
      <c r="D24" s="12" t="s">
        <v>11</v>
      </c>
      <c r="E24" s="10" t="s">
        <v>11</v>
      </c>
      <c r="F24" s="10" t="s">
        <v>208</v>
      </c>
      <c r="G24" s="10" t="s">
        <v>14</v>
      </c>
      <c r="H24" s="10" t="s">
        <v>14</v>
      </c>
      <c r="I24" s="10" t="s">
        <v>206</v>
      </c>
      <c r="J24" s="13">
        <v>125.76900000000001</v>
      </c>
      <c r="K24" s="14"/>
      <c r="L24" t="str">
        <f>VLOOKUP(A24,Formulas!A:B,2,FALSE)</f>
        <v>092181</v>
      </c>
      <c r="M24" s="32"/>
    </row>
    <row r="25" spans="1:13" ht="57.5" hidden="1" customHeight="1">
      <c r="A25" s="10">
        <v>332</v>
      </c>
      <c r="B25" s="11" t="s">
        <v>505</v>
      </c>
      <c r="C25" s="10" t="s">
        <v>424</v>
      </c>
      <c r="D25" s="12" t="s">
        <v>11</v>
      </c>
      <c r="E25" s="10" t="s">
        <v>11</v>
      </c>
      <c r="F25" s="10" t="s">
        <v>208</v>
      </c>
      <c r="G25" s="10" t="s">
        <v>14</v>
      </c>
      <c r="H25" s="10" t="s">
        <v>14</v>
      </c>
      <c r="I25" s="10" t="s">
        <v>206</v>
      </c>
      <c r="J25" s="13">
        <v>125.76900000000001</v>
      </c>
      <c r="K25" s="14"/>
      <c r="L25" t="str">
        <f>VLOOKUP(A25,Formulas!A:B,2,FALSE)</f>
        <v>092182</v>
      </c>
      <c r="M25" s="32"/>
    </row>
    <row r="26" spans="1:13" ht="57.5" hidden="1" customHeight="1">
      <c r="A26" s="10">
        <v>338</v>
      </c>
      <c r="B26" s="11" t="s">
        <v>506</v>
      </c>
      <c r="C26" s="10" t="s">
        <v>426</v>
      </c>
      <c r="D26" s="12" t="s">
        <v>11</v>
      </c>
      <c r="E26" s="10" t="s">
        <v>11</v>
      </c>
      <c r="F26" s="10" t="s">
        <v>208</v>
      </c>
      <c r="G26" s="10" t="s">
        <v>14</v>
      </c>
      <c r="H26" s="10" t="s">
        <v>104</v>
      </c>
      <c r="I26" s="10" t="s">
        <v>206</v>
      </c>
      <c r="J26" s="13">
        <v>455.43959999999998</v>
      </c>
      <c r="K26" s="14"/>
      <c r="L26" t="str">
        <f>VLOOKUP(A26,Formulas!A:B,2,FALSE)</f>
        <v>092186</v>
      </c>
      <c r="M26" s="32"/>
    </row>
    <row r="27" spans="1:13" ht="57.5" hidden="1" customHeight="1">
      <c r="A27" s="10">
        <v>339</v>
      </c>
      <c r="B27" s="11" t="s">
        <v>507</v>
      </c>
      <c r="C27" s="10" t="s">
        <v>426</v>
      </c>
      <c r="D27" s="12" t="s">
        <v>11</v>
      </c>
      <c r="E27" s="10" t="s">
        <v>11</v>
      </c>
      <c r="F27" s="10" t="s">
        <v>208</v>
      </c>
      <c r="G27" s="10" t="s">
        <v>14</v>
      </c>
      <c r="H27" s="10" t="s">
        <v>104</v>
      </c>
      <c r="I27" s="10" t="s">
        <v>206</v>
      </c>
      <c r="J27" s="13">
        <v>379.53300000000002</v>
      </c>
      <c r="K27" s="14"/>
      <c r="L27" t="str">
        <f>VLOOKUP(A27,Formulas!A:B,2,FALSE)</f>
        <v>092187</v>
      </c>
      <c r="M27" s="32"/>
    </row>
    <row r="28" spans="1:13" ht="57.5" hidden="1" customHeight="1">
      <c r="A28" s="10">
        <v>340</v>
      </c>
      <c r="B28" s="11" t="s">
        <v>508</v>
      </c>
      <c r="C28" s="10" t="s">
        <v>426</v>
      </c>
      <c r="D28" s="12" t="s">
        <v>11</v>
      </c>
      <c r="E28" s="10" t="s">
        <v>11</v>
      </c>
      <c r="F28" s="10" t="s">
        <v>208</v>
      </c>
      <c r="G28" s="10" t="s">
        <v>14</v>
      </c>
      <c r="H28" s="10" t="s">
        <v>104</v>
      </c>
      <c r="I28" s="10" t="s">
        <v>206</v>
      </c>
      <c r="J28" s="13">
        <v>379.53300000000002</v>
      </c>
      <c r="K28" s="14"/>
      <c r="L28" t="str">
        <f>VLOOKUP(A28,Formulas!A:B,2,FALSE)</f>
        <v>092188</v>
      </c>
      <c r="M28" s="32"/>
    </row>
    <row r="29" spans="1:13" ht="57.5" hidden="1" customHeight="1">
      <c r="A29" s="10">
        <v>342</v>
      </c>
      <c r="B29" s="11" t="s">
        <v>510</v>
      </c>
      <c r="C29" s="10" t="s">
        <v>511</v>
      </c>
      <c r="D29" s="12" t="s">
        <v>11</v>
      </c>
      <c r="E29" s="10" t="s">
        <v>11</v>
      </c>
      <c r="F29" s="10" t="s">
        <v>96</v>
      </c>
      <c r="G29" s="10" t="s">
        <v>226</v>
      </c>
      <c r="H29" s="10" t="s">
        <v>226</v>
      </c>
      <c r="I29" s="10" t="s">
        <v>206</v>
      </c>
      <c r="J29" s="13">
        <v>76.797000000000011</v>
      </c>
      <c r="K29" s="14"/>
      <c r="L29" t="str">
        <f>VLOOKUP(A29,Formulas!A:B,2,FALSE)</f>
        <v>092193</v>
      </c>
      <c r="M29" s="32"/>
    </row>
    <row r="30" spans="1:13" ht="57.5" hidden="1" customHeight="1">
      <c r="A30" s="10">
        <v>345</v>
      </c>
      <c r="B30" s="11" t="s">
        <v>893</v>
      </c>
      <c r="C30" s="10" t="s">
        <v>511</v>
      </c>
      <c r="D30" s="12" t="s">
        <v>11</v>
      </c>
      <c r="E30" s="10" t="s">
        <v>11</v>
      </c>
      <c r="F30" s="10" t="s">
        <v>96</v>
      </c>
      <c r="G30" s="10" t="s">
        <v>226</v>
      </c>
      <c r="H30" s="10" t="s">
        <v>226</v>
      </c>
      <c r="I30" s="10" t="s">
        <v>206</v>
      </c>
      <c r="J30" s="13">
        <v>92.379000000000005</v>
      </c>
      <c r="K30" s="14"/>
      <c r="L30" t="str">
        <f>VLOOKUP(A30,Formulas!A:B,2,FALSE)</f>
        <v>092199</v>
      </c>
      <c r="M30" s="32"/>
    </row>
    <row r="31" spans="1:13" ht="57.5" hidden="1" customHeight="1">
      <c r="A31" s="10">
        <v>346</v>
      </c>
      <c r="B31" s="11" t="s">
        <v>512</v>
      </c>
      <c r="C31" s="10" t="s">
        <v>511</v>
      </c>
      <c r="D31" s="12" t="s">
        <v>11</v>
      </c>
      <c r="E31" s="10" t="s">
        <v>11</v>
      </c>
      <c r="F31" s="10" t="s">
        <v>96</v>
      </c>
      <c r="G31" s="10" t="s">
        <v>226</v>
      </c>
      <c r="H31" s="10" t="s">
        <v>226</v>
      </c>
      <c r="I31" s="10" t="s">
        <v>206</v>
      </c>
      <c r="J31" s="13">
        <v>92.379000000000005</v>
      </c>
      <c r="K31" s="14"/>
      <c r="L31" t="str">
        <f>VLOOKUP(A31,Formulas!A:B,2,FALSE)</f>
        <v>092195</v>
      </c>
      <c r="M31" s="32"/>
    </row>
    <row r="32" spans="1:13" ht="57.5" customHeight="1">
      <c r="A32" s="10">
        <v>348</v>
      </c>
      <c r="B32" s="11" t="s">
        <v>513</v>
      </c>
      <c r="C32" s="10" t="s">
        <v>511</v>
      </c>
      <c r="D32" s="12" t="s">
        <v>11</v>
      </c>
      <c r="E32" s="10" t="s">
        <v>11</v>
      </c>
      <c r="F32" s="10" t="s">
        <v>96</v>
      </c>
      <c r="G32" s="10" t="s">
        <v>226</v>
      </c>
      <c r="H32" s="10" t="s">
        <v>226</v>
      </c>
      <c r="I32" s="10" t="s">
        <v>206</v>
      </c>
      <c r="J32" s="13">
        <v>76.797000000000011</v>
      </c>
      <c r="K32" s="14"/>
      <c r="L32" t="e">
        <f>VLOOKUP(A32,Formulas!A:B,2,FALSE)</f>
        <v>#N/A</v>
      </c>
      <c r="M32" s="32"/>
    </row>
    <row r="33" spans="1:13" ht="57.5" hidden="1" customHeight="1">
      <c r="A33" s="10">
        <v>398</v>
      </c>
      <c r="B33" s="11" t="s">
        <v>681</v>
      </c>
      <c r="C33" s="10" t="s">
        <v>217</v>
      </c>
      <c r="D33" s="12" t="s">
        <v>11</v>
      </c>
      <c r="E33" s="10" t="s">
        <v>11</v>
      </c>
      <c r="F33" s="10" t="s">
        <v>682</v>
      </c>
      <c r="G33" s="10" t="s">
        <v>220</v>
      </c>
      <c r="H33" s="10" t="s">
        <v>220</v>
      </c>
      <c r="I33" s="10" t="s">
        <v>11</v>
      </c>
      <c r="J33" s="13">
        <v>195.88800000000003</v>
      </c>
      <c r="K33" s="14"/>
      <c r="L33" t="str">
        <f>VLOOKUP(A33,Formulas!A:B,2,FALSE)</f>
        <v>092928</v>
      </c>
      <c r="M33" s="32"/>
    </row>
    <row r="34" spans="1:13" ht="57.5" hidden="1" customHeight="1">
      <c r="A34" s="10">
        <v>401</v>
      </c>
      <c r="B34" s="11" t="s">
        <v>683</v>
      </c>
      <c r="C34" s="10" t="s">
        <v>217</v>
      </c>
      <c r="D34" s="12" t="s">
        <v>11</v>
      </c>
      <c r="E34" s="10" t="s">
        <v>11</v>
      </c>
      <c r="F34" s="10" t="s">
        <v>682</v>
      </c>
      <c r="G34" s="10" t="s">
        <v>220</v>
      </c>
      <c r="H34" s="10" t="s">
        <v>220</v>
      </c>
      <c r="I34" s="10" t="s">
        <v>11</v>
      </c>
      <c r="J34" s="13">
        <v>235.06559999999999</v>
      </c>
      <c r="K34" s="14"/>
      <c r="L34" t="str">
        <f>VLOOKUP(A34,Formulas!A:B,2,FALSE)</f>
        <v>092929</v>
      </c>
      <c r="M34" s="32"/>
    </row>
    <row r="35" spans="1:13" ht="57.5" hidden="1" customHeight="1">
      <c r="A35" s="10">
        <v>406</v>
      </c>
      <c r="B35" s="11" t="s">
        <v>684</v>
      </c>
      <c r="C35" s="10" t="s">
        <v>217</v>
      </c>
      <c r="D35" s="12" t="s">
        <v>11</v>
      </c>
      <c r="E35" s="10" t="s">
        <v>11</v>
      </c>
      <c r="F35" s="10" t="s">
        <v>682</v>
      </c>
      <c r="G35" s="10" t="s">
        <v>220</v>
      </c>
      <c r="H35" s="10" t="s">
        <v>220</v>
      </c>
      <c r="I35" s="10" t="s">
        <v>11</v>
      </c>
      <c r="J35" s="13">
        <v>195.88800000000003</v>
      </c>
      <c r="K35" s="14"/>
      <c r="L35" t="str">
        <f>VLOOKUP(A35,Formulas!A:B,2,FALSE)</f>
        <v>092930</v>
      </c>
      <c r="M35" s="32"/>
    </row>
    <row r="36" spans="1:13" ht="57.5" hidden="1" customHeight="1">
      <c r="A36" s="10">
        <v>409</v>
      </c>
      <c r="B36" s="11" t="s">
        <v>685</v>
      </c>
      <c r="C36" s="10" t="s">
        <v>217</v>
      </c>
      <c r="D36" s="12" t="s">
        <v>11</v>
      </c>
      <c r="E36" s="10" t="s">
        <v>11</v>
      </c>
      <c r="F36" s="10" t="s">
        <v>682</v>
      </c>
      <c r="G36" s="10" t="s">
        <v>220</v>
      </c>
      <c r="H36" s="10" t="s">
        <v>220</v>
      </c>
      <c r="I36" s="10" t="s">
        <v>11</v>
      </c>
      <c r="J36" s="13">
        <v>235.06559999999999</v>
      </c>
      <c r="K36" s="14"/>
      <c r="L36" t="str">
        <f>VLOOKUP(A36,Formulas!A:B,2,FALSE)</f>
        <v>092931</v>
      </c>
      <c r="M36" s="32"/>
    </row>
    <row r="37" spans="1:13" ht="57.5" hidden="1" customHeight="1">
      <c r="A37" s="10">
        <v>413</v>
      </c>
      <c r="B37" s="11" t="s">
        <v>690</v>
      </c>
      <c r="C37" s="10" t="s">
        <v>217</v>
      </c>
      <c r="D37" s="12" t="s">
        <v>11</v>
      </c>
      <c r="E37" s="10" t="s">
        <v>11</v>
      </c>
      <c r="F37" s="10" t="s">
        <v>691</v>
      </c>
      <c r="G37" s="10" t="s">
        <v>220</v>
      </c>
      <c r="H37" s="10" t="s">
        <v>317</v>
      </c>
      <c r="I37" s="10" t="s">
        <v>11</v>
      </c>
      <c r="J37" s="13">
        <v>173.62800000000001</v>
      </c>
      <c r="K37" s="14"/>
      <c r="L37" t="str">
        <f>VLOOKUP(A37,Formulas!A:B,2,FALSE)</f>
        <v>092936</v>
      </c>
      <c r="M37" s="32"/>
    </row>
    <row r="38" spans="1:13" ht="57.5" hidden="1" customHeight="1">
      <c r="A38" s="10">
        <v>414</v>
      </c>
      <c r="B38" s="11" t="s">
        <v>692</v>
      </c>
      <c r="C38" s="10" t="s">
        <v>217</v>
      </c>
      <c r="D38" s="12" t="s">
        <v>11</v>
      </c>
      <c r="E38" s="10" t="s">
        <v>11</v>
      </c>
      <c r="F38" s="10" t="s">
        <v>691</v>
      </c>
      <c r="G38" s="10" t="s">
        <v>220</v>
      </c>
      <c r="H38" s="10" t="s">
        <v>317</v>
      </c>
      <c r="I38" s="10" t="s">
        <v>11</v>
      </c>
      <c r="J38" s="13">
        <v>173.62800000000001</v>
      </c>
      <c r="K38" s="14"/>
      <c r="L38" t="str">
        <f>VLOOKUP(A38,Formulas!A:B,2,FALSE)</f>
        <v>092937</v>
      </c>
      <c r="M38" s="32"/>
    </row>
    <row r="39" spans="1:13" ht="57.5" hidden="1" customHeight="1">
      <c r="A39" s="10">
        <v>416</v>
      </c>
      <c r="B39" s="11" t="s">
        <v>693</v>
      </c>
      <c r="C39" s="10" t="s">
        <v>217</v>
      </c>
      <c r="D39" s="12" t="s">
        <v>11</v>
      </c>
      <c r="E39" s="10" t="s">
        <v>11</v>
      </c>
      <c r="F39" s="10" t="s">
        <v>691</v>
      </c>
      <c r="G39" s="10" t="s">
        <v>220</v>
      </c>
      <c r="H39" s="10" t="s">
        <v>317</v>
      </c>
      <c r="I39" s="10" t="s">
        <v>11</v>
      </c>
      <c r="J39" s="13">
        <v>173.62800000000001</v>
      </c>
      <c r="K39" s="14"/>
      <c r="L39" t="str">
        <f>VLOOKUP(A39,Formulas!A:B,2,FALSE)</f>
        <v>092938</v>
      </c>
      <c r="M39" s="32"/>
    </row>
    <row r="40" spans="1:13" ht="57.5" hidden="1" customHeight="1">
      <c r="A40" s="10">
        <v>417</v>
      </c>
      <c r="B40" s="11" t="s">
        <v>694</v>
      </c>
      <c r="C40" s="10" t="s">
        <v>217</v>
      </c>
      <c r="D40" s="12" t="s">
        <v>11</v>
      </c>
      <c r="E40" s="10" t="s">
        <v>11</v>
      </c>
      <c r="F40" s="10" t="s">
        <v>691</v>
      </c>
      <c r="G40" s="10" t="s">
        <v>220</v>
      </c>
      <c r="H40" s="10" t="s">
        <v>317</v>
      </c>
      <c r="I40" s="10" t="s">
        <v>11</v>
      </c>
      <c r="J40" s="13">
        <v>208.3536</v>
      </c>
      <c r="K40" s="14"/>
      <c r="L40" t="str">
        <f>VLOOKUP(A40,Formulas!A:B,2,FALSE)</f>
        <v>092939</v>
      </c>
      <c r="M40" s="32"/>
    </row>
    <row r="41" spans="1:13" ht="57.5" hidden="1" customHeight="1">
      <c r="A41" s="10">
        <v>420</v>
      </c>
      <c r="B41" s="11" t="s">
        <v>695</v>
      </c>
      <c r="C41" s="10" t="s">
        <v>217</v>
      </c>
      <c r="D41" s="12" t="s">
        <v>11</v>
      </c>
      <c r="E41" s="10" t="s">
        <v>11</v>
      </c>
      <c r="F41" s="10" t="s">
        <v>691</v>
      </c>
      <c r="G41" s="10" t="s">
        <v>220</v>
      </c>
      <c r="H41" s="10" t="s">
        <v>317</v>
      </c>
      <c r="I41" s="10" t="s">
        <v>11</v>
      </c>
      <c r="J41" s="13">
        <v>208.3536</v>
      </c>
      <c r="K41" s="14"/>
      <c r="L41" t="str">
        <f>VLOOKUP(A41,Formulas!A:B,2,FALSE)</f>
        <v>092940</v>
      </c>
      <c r="M41" s="32"/>
    </row>
    <row r="42" spans="1:13" ht="57.5" hidden="1" customHeight="1">
      <c r="A42" s="10">
        <v>423</v>
      </c>
      <c r="B42" s="11" t="s">
        <v>696</v>
      </c>
      <c r="C42" s="10" t="s">
        <v>217</v>
      </c>
      <c r="D42" s="12" t="s">
        <v>11</v>
      </c>
      <c r="E42" s="10" t="s">
        <v>11</v>
      </c>
      <c r="F42" s="10" t="s">
        <v>691</v>
      </c>
      <c r="G42" s="10" t="s">
        <v>220</v>
      </c>
      <c r="H42" s="10" t="s">
        <v>317</v>
      </c>
      <c r="I42" s="10" t="s">
        <v>11</v>
      </c>
      <c r="J42" s="13">
        <v>208.3536</v>
      </c>
      <c r="K42" s="14"/>
      <c r="L42" t="str">
        <f>VLOOKUP(A42,Formulas!A:B,2,FALSE)</f>
        <v>092941</v>
      </c>
      <c r="M42" s="32"/>
    </row>
    <row r="43" spans="1:13" ht="57.5" hidden="1" customHeight="1">
      <c r="A43" s="10">
        <v>424</v>
      </c>
      <c r="B43" s="11" t="s">
        <v>697</v>
      </c>
      <c r="C43" s="10" t="s">
        <v>217</v>
      </c>
      <c r="D43" s="12" t="s">
        <v>11</v>
      </c>
      <c r="E43" s="10" t="s">
        <v>11</v>
      </c>
      <c r="F43" s="10" t="s">
        <v>691</v>
      </c>
      <c r="G43" s="10" t="s">
        <v>220</v>
      </c>
      <c r="H43" s="10" t="s">
        <v>317</v>
      </c>
      <c r="I43" s="10" t="s">
        <v>11</v>
      </c>
      <c r="J43" s="13">
        <v>173.62800000000001</v>
      </c>
      <c r="K43" s="14"/>
      <c r="L43" t="str">
        <f>VLOOKUP(A43,Formulas!A:B,2,FALSE)</f>
        <v>092942</v>
      </c>
      <c r="M43" s="32"/>
    </row>
    <row r="44" spans="1:13" ht="57.5" hidden="1" customHeight="1">
      <c r="A44" s="10">
        <v>443</v>
      </c>
      <c r="B44" s="11" t="s">
        <v>698</v>
      </c>
      <c r="C44" s="10" t="s">
        <v>217</v>
      </c>
      <c r="D44" s="12" t="s">
        <v>11</v>
      </c>
      <c r="E44" s="10" t="s">
        <v>11</v>
      </c>
      <c r="F44" s="10" t="s">
        <v>206</v>
      </c>
      <c r="G44" s="10" t="s">
        <v>220</v>
      </c>
      <c r="H44" s="10" t="s">
        <v>220</v>
      </c>
      <c r="I44" s="10" t="s">
        <v>11</v>
      </c>
      <c r="J44" s="13">
        <v>244.86</v>
      </c>
      <c r="K44" s="14"/>
      <c r="L44" t="str">
        <f>VLOOKUP(A44,Formulas!A:B,2,FALSE)</f>
        <v>092944</v>
      </c>
      <c r="M44" s="32"/>
    </row>
    <row r="45" spans="1:13" ht="57.5" hidden="1" customHeight="1">
      <c r="A45" s="10">
        <v>450</v>
      </c>
      <c r="B45" s="11" t="s">
        <v>699</v>
      </c>
      <c r="C45" s="10" t="s">
        <v>217</v>
      </c>
      <c r="D45" s="12" t="s">
        <v>11</v>
      </c>
      <c r="E45" s="10" t="s">
        <v>11</v>
      </c>
      <c r="F45" s="10" t="s">
        <v>206</v>
      </c>
      <c r="G45" s="10" t="s">
        <v>220</v>
      </c>
      <c r="H45" s="10" t="s">
        <v>220</v>
      </c>
      <c r="I45" s="10" t="s">
        <v>11</v>
      </c>
      <c r="J45" s="13">
        <v>244.86</v>
      </c>
      <c r="K45" s="14"/>
      <c r="L45" t="str">
        <f>VLOOKUP(A45,Formulas!A:B,2,FALSE)</f>
        <v>092945</v>
      </c>
      <c r="M45" s="32"/>
    </row>
    <row r="46" spans="1:13" ht="57.5" hidden="1" customHeight="1">
      <c r="A46" s="10">
        <v>451</v>
      </c>
      <c r="B46" s="11" t="s">
        <v>700</v>
      </c>
      <c r="C46" s="10" t="s">
        <v>217</v>
      </c>
      <c r="D46" s="12" t="s">
        <v>11</v>
      </c>
      <c r="E46" s="10" t="s">
        <v>11</v>
      </c>
      <c r="F46" s="10" t="s">
        <v>206</v>
      </c>
      <c r="G46" s="10" t="s">
        <v>220</v>
      </c>
      <c r="H46" s="10" t="s">
        <v>220</v>
      </c>
      <c r="I46" s="10" t="s">
        <v>11</v>
      </c>
      <c r="J46" s="13">
        <v>244.86</v>
      </c>
      <c r="K46" s="14"/>
      <c r="L46" t="str">
        <f>VLOOKUP(A46,Formulas!A:B,2,FALSE)</f>
        <v>092946</v>
      </c>
      <c r="M46" s="32"/>
    </row>
    <row r="47" spans="1:13" ht="57.5" hidden="1" customHeight="1">
      <c r="A47" s="10">
        <v>516</v>
      </c>
      <c r="B47" s="11" t="s">
        <v>668</v>
      </c>
      <c r="C47" s="10" t="s">
        <v>217</v>
      </c>
      <c r="D47" s="12" t="s">
        <v>11</v>
      </c>
      <c r="E47" s="10" t="s">
        <v>11</v>
      </c>
      <c r="F47" s="10" t="s">
        <v>317</v>
      </c>
      <c r="G47" s="10" t="s">
        <v>301</v>
      </c>
      <c r="H47" s="10" t="s">
        <v>301</v>
      </c>
      <c r="I47" s="10" t="s">
        <v>11</v>
      </c>
      <c r="J47" s="13">
        <v>158.93639999999999</v>
      </c>
      <c r="K47" s="14"/>
      <c r="L47" t="str">
        <f>VLOOKUP(A47,Formulas!A:B,2,FALSE)</f>
        <v>092895</v>
      </c>
      <c r="M47" s="32"/>
    </row>
    <row r="48" spans="1:13" ht="57.5" hidden="1" customHeight="1">
      <c r="A48" s="10">
        <v>518</v>
      </c>
      <c r="B48" s="11" t="s">
        <v>669</v>
      </c>
      <c r="C48" s="10" t="s">
        <v>217</v>
      </c>
      <c r="D48" s="12" t="s">
        <v>11</v>
      </c>
      <c r="E48" s="10" t="s">
        <v>11</v>
      </c>
      <c r="F48" s="10" t="s">
        <v>317</v>
      </c>
      <c r="G48" s="10" t="s">
        <v>301</v>
      </c>
      <c r="H48" s="10" t="s">
        <v>301</v>
      </c>
      <c r="I48" s="10" t="s">
        <v>11</v>
      </c>
      <c r="J48" s="13">
        <v>158.93639999999999</v>
      </c>
      <c r="K48" s="14"/>
      <c r="L48" t="str">
        <f>VLOOKUP(A48,Formulas!A:B,2,FALSE)</f>
        <v>092896</v>
      </c>
      <c r="M48" s="32"/>
    </row>
    <row r="49" spans="1:13" ht="57.5" hidden="1" customHeight="1">
      <c r="A49" s="10">
        <v>521</v>
      </c>
      <c r="B49" s="11" t="s">
        <v>670</v>
      </c>
      <c r="C49" s="10" t="s">
        <v>217</v>
      </c>
      <c r="D49" s="12" t="s">
        <v>11</v>
      </c>
      <c r="E49" s="10" t="s">
        <v>11</v>
      </c>
      <c r="F49" s="10" t="s">
        <v>317</v>
      </c>
      <c r="G49" s="10" t="s">
        <v>301</v>
      </c>
      <c r="H49" s="10" t="s">
        <v>301</v>
      </c>
      <c r="I49" s="10" t="s">
        <v>11</v>
      </c>
      <c r="J49" s="13">
        <v>132.447</v>
      </c>
      <c r="K49" s="14"/>
      <c r="L49" t="str">
        <f>VLOOKUP(A49,Formulas!A:B,2,FALSE)</f>
        <v>092897</v>
      </c>
      <c r="M49" s="32"/>
    </row>
    <row r="50" spans="1:13" ht="57.5" hidden="1" customHeight="1">
      <c r="A50" s="10">
        <v>522</v>
      </c>
      <c r="B50" s="11" t="s">
        <v>671</v>
      </c>
      <c r="C50" s="10" t="s">
        <v>217</v>
      </c>
      <c r="D50" s="12" t="s">
        <v>11</v>
      </c>
      <c r="E50" s="10" t="s">
        <v>11</v>
      </c>
      <c r="F50" s="10" t="s">
        <v>317</v>
      </c>
      <c r="G50" s="10" t="s">
        <v>301</v>
      </c>
      <c r="H50" s="10" t="s">
        <v>301</v>
      </c>
      <c r="I50" s="10" t="s">
        <v>11</v>
      </c>
      <c r="J50" s="13">
        <v>132.447</v>
      </c>
      <c r="K50" s="14"/>
      <c r="L50" t="str">
        <f>VLOOKUP(A50,Formulas!A:B,2,FALSE)</f>
        <v>092898</v>
      </c>
      <c r="M50" s="32"/>
    </row>
    <row r="51" spans="1:13" ht="57.5" hidden="1" customHeight="1">
      <c r="A51" s="10">
        <v>528</v>
      </c>
      <c r="B51" s="11" t="s">
        <v>701</v>
      </c>
      <c r="C51" s="10" t="s">
        <v>217</v>
      </c>
      <c r="D51" s="12" t="s">
        <v>11</v>
      </c>
      <c r="E51" s="10" t="s">
        <v>11</v>
      </c>
      <c r="F51" s="10" t="s">
        <v>262</v>
      </c>
      <c r="G51" s="10" t="s">
        <v>244</v>
      </c>
      <c r="H51" s="10" t="s">
        <v>244</v>
      </c>
      <c r="I51" s="10" t="s">
        <v>11</v>
      </c>
      <c r="J51" s="13">
        <v>298.28399999999999</v>
      </c>
      <c r="K51" s="14"/>
      <c r="L51" t="str">
        <f>VLOOKUP(A51,Formulas!A:B,2,FALSE)</f>
        <v>092949</v>
      </c>
      <c r="M51" s="32"/>
    </row>
    <row r="52" spans="1:13" ht="57.5" hidden="1" customHeight="1">
      <c r="A52" s="10">
        <v>530</v>
      </c>
      <c r="B52" s="11" t="s">
        <v>702</v>
      </c>
      <c r="C52" s="10" t="s">
        <v>217</v>
      </c>
      <c r="D52" s="12" t="s">
        <v>11</v>
      </c>
      <c r="E52" s="10" t="s">
        <v>11</v>
      </c>
      <c r="F52" s="10" t="s">
        <v>262</v>
      </c>
      <c r="G52" s="10" t="s">
        <v>244</v>
      </c>
      <c r="H52" s="10" t="s">
        <v>244</v>
      </c>
      <c r="I52" s="10" t="s">
        <v>11</v>
      </c>
      <c r="J52" s="13">
        <v>298.28399999999999</v>
      </c>
      <c r="K52" s="14"/>
      <c r="L52" t="str">
        <f>VLOOKUP(A52,Formulas!A:B,2,FALSE)</f>
        <v>092950</v>
      </c>
      <c r="M52" s="32"/>
    </row>
    <row r="53" spans="1:13" ht="57.5" hidden="1" customHeight="1">
      <c r="A53" s="10">
        <v>531</v>
      </c>
      <c r="B53" s="11" t="s">
        <v>703</v>
      </c>
      <c r="C53" s="10" t="s">
        <v>217</v>
      </c>
      <c r="D53" s="12" t="s">
        <v>11</v>
      </c>
      <c r="E53" s="10" t="s">
        <v>11</v>
      </c>
      <c r="F53" s="10" t="s">
        <v>262</v>
      </c>
      <c r="G53" s="10" t="s">
        <v>244</v>
      </c>
      <c r="H53" s="10" t="s">
        <v>244</v>
      </c>
      <c r="I53" s="10" t="s">
        <v>11</v>
      </c>
      <c r="J53" s="13">
        <v>298.28399999999999</v>
      </c>
      <c r="K53" s="14"/>
      <c r="L53" t="str">
        <f>VLOOKUP(A53,Formulas!A:B,2,FALSE)</f>
        <v>092951</v>
      </c>
      <c r="M53" s="32"/>
    </row>
    <row r="54" spans="1:13" ht="57.5" hidden="1" customHeight="1">
      <c r="A54" s="10">
        <v>716</v>
      </c>
      <c r="B54" s="11" t="s">
        <v>609</v>
      </c>
      <c r="C54" s="10" t="s">
        <v>217</v>
      </c>
      <c r="D54" s="12" t="s">
        <v>11</v>
      </c>
      <c r="E54" s="10" t="s">
        <v>11</v>
      </c>
      <c r="F54" s="10" t="s">
        <v>288</v>
      </c>
      <c r="G54" s="10" t="s">
        <v>208</v>
      </c>
      <c r="H54" s="10" t="s">
        <v>610</v>
      </c>
      <c r="I54" s="10" t="s">
        <v>11</v>
      </c>
      <c r="J54" s="13">
        <v>52.311000000000007</v>
      </c>
      <c r="K54" s="14"/>
      <c r="L54" t="str">
        <f>VLOOKUP(A54,Formulas!A:B,2,FALSE)</f>
        <v>092661</v>
      </c>
      <c r="M54" s="32"/>
    </row>
    <row r="55" spans="1:13" ht="57.5" hidden="1" customHeight="1">
      <c r="A55" s="10">
        <v>725</v>
      </c>
      <c r="B55" s="11" t="s">
        <v>611</v>
      </c>
      <c r="C55" s="10" t="s">
        <v>217</v>
      </c>
      <c r="D55" s="12" t="s">
        <v>11</v>
      </c>
      <c r="E55" s="10" t="s">
        <v>11</v>
      </c>
      <c r="F55" s="10" t="s">
        <v>288</v>
      </c>
      <c r="G55" s="10" t="s">
        <v>208</v>
      </c>
      <c r="H55" s="10" t="s">
        <v>610</v>
      </c>
      <c r="I55" s="10" t="s">
        <v>11</v>
      </c>
      <c r="J55" s="13">
        <v>52.311000000000007</v>
      </c>
      <c r="K55" s="14"/>
      <c r="L55" t="str">
        <f>VLOOKUP(A55,Formulas!A:B,2,FALSE)</f>
        <v>092664</v>
      </c>
      <c r="M55" s="32"/>
    </row>
    <row r="56" spans="1:13" ht="57.5" hidden="1" customHeight="1">
      <c r="A56" s="10">
        <v>728</v>
      </c>
      <c r="B56" s="11" t="s">
        <v>612</v>
      </c>
      <c r="C56" s="10" t="s">
        <v>217</v>
      </c>
      <c r="D56" s="12" t="s">
        <v>11</v>
      </c>
      <c r="E56" s="10" t="s">
        <v>11</v>
      </c>
      <c r="F56" s="10" t="s">
        <v>288</v>
      </c>
      <c r="G56" s="10" t="s">
        <v>208</v>
      </c>
      <c r="H56" s="10" t="s">
        <v>610</v>
      </c>
      <c r="I56" s="10" t="s">
        <v>11</v>
      </c>
      <c r="J56" s="13">
        <v>52.311000000000007</v>
      </c>
      <c r="K56" s="14"/>
      <c r="L56" t="str">
        <f>VLOOKUP(A56,Formulas!A:B,2,FALSE)</f>
        <v>092665</v>
      </c>
      <c r="M56" s="32"/>
    </row>
    <row r="57" spans="1:13" ht="57.5" hidden="1" customHeight="1">
      <c r="A57" s="10">
        <v>730</v>
      </c>
      <c r="B57" s="11" t="s">
        <v>613</v>
      </c>
      <c r="C57" s="10" t="s">
        <v>217</v>
      </c>
      <c r="D57" s="12" t="s">
        <v>11</v>
      </c>
      <c r="E57" s="10" t="s">
        <v>11</v>
      </c>
      <c r="F57" s="10" t="s">
        <v>288</v>
      </c>
      <c r="G57" s="10" t="s">
        <v>208</v>
      </c>
      <c r="H57" s="10" t="s">
        <v>610</v>
      </c>
      <c r="I57" s="10" t="s">
        <v>11</v>
      </c>
      <c r="J57" s="13">
        <v>52.311000000000007</v>
      </c>
      <c r="K57" s="14"/>
      <c r="L57" t="str">
        <f>VLOOKUP(A57,Formulas!A:B,2,FALSE)</f>
        <v>092667</v>
      </c>
      <c r="M57" s="32"/>
    </row>
    <row r="58" spans="1:13" ht="57.5" hidden="1" customHeight="1">
      <c r="A58" s="10">
        <v>865</v>
      </c>
      <c r="B58" s="11" t="s">
        <v>894</v>
      </c>
      <c r="C58" s="10" t="s">
        <v>515</v>
      </c>
      <c r="D58" s="12" t="s">
        <v>11</v>
      </c>
      <c r="E58" s="10" t="s">
        <v>11</v>
      </c>
      <c r="F58" s="10" t="s">
        <v>293</v>
      </c>
      <c r="G58" s="10" t="s">
        <v>221</v>
      </c>
      <c r="H58" s="10" t="s">
        <v>291</v>
      </c>
      <c r="I58" s="10" t="s">
        <v>206</v>
      </c>
      <c r="J58" s="13">
        <v>694.51200000000006</v>
      </c>
      <c r="K58" s="14"/>
      <c r="L58" t="str">
        <f>VLOOKUP(A58,Formulas!A:B,2,FALSE)</f>
        <v>092293</v>
      </c>
      <c r="M58" s="32"/>
    </row>
    <row r="59" spans="1:13" ht="57.5" hidden="1" customHeight="1">
      <c r="A59" s="10">
        <v>866</v>
      </c>
      <c r="B59" s="11" t="s">
        <v>516</v>
      </c>
      <c r="C59" s="10" t="s">
        <v>515</v>
      </c>
      <c r="D59" s="12" t="s">
        <v>11</v>
      </c>
      <c r="E59" s="10" t="s">
        <v>11</v>
      </c>
      <c r="F59" s="10" t="s">
        <v>293</v>
      </c>
      <c r="G59" s="10" t="s">
        <v>221</v>
      </c>
      <c r="H59" s="10" t="s">
        <v>291</v>
      </c>
      <c r="I59" s="10" t="s">
        <v>206</v>
      </c>
      <c r="J59" s="13">
        <v>578.76</v>
      </c>
      <c r="K59" s="14"/>
      <c r="L59" t="str">
        <f>VLOOKUP(A59,Formulas!A:B,2,FALSE)</f>
        <v>092294</v>
      </c>
      <c r="M59" s="32"/>
    </row>
    <row r="60" spans="1:13" ht="57.5" hidden="1" customHeight="1">
      <c r="A60" s="10">
        <v>867</v>
      </c>
      <c r="B60" s="11" t="s">
        <v>517</v>
      </c>
      <c r="C60" s="10" t="s">
        <v>515</v>
      </c>
      <c r="D60" s="12" t="s">
        <v>11</v>
      </c>
      <c r="E60" s="10" t="s">
        <v>11</v>
      </c>
      <c r="F60" s="10" t="s">
        <v>293</v>
      </c>
      <c r="G60" s="10" t="s">
        <v>221</v>
      </c>
      <c r="H60" s="10" t="s">
        <v>291</v>
      </c>
      <c r="I60" s="10" t="s">
        <v>206</v>
      </c>
      <c r="J60" s="13">
        <v>694.51200000000006</v>
      </c>
      <c r="K60" s="14"/>
      <c r="L60" t="str">
        <f>VLOOKUP(A60,Formulas!A:B,2,FALSE)</f>
        <v>092295</v>
      </c>
      <c r="M60" s="32"/>
    </row>
    <row r="61" spans="1:13" ht="57.5" hidden="1" customHeight="1">
      <c r="A61" s="10">
        <v>871</v>
      </c>
      <c r="B61" s="11" t="s">
        <v>518</v>
      </c>
      <c r="C61" s="10" t="s">
        <v>515</v>
      </c>
      <c r="D61" s="12" t="s">
        <v>11</v>
      </c>
      <c r="E61" s="10" t="s">
        <v>11</v>
      </c>
      <c r="F61" s="10" t="s">
        <v>293</v>
      </c>
      <c r="G61" s="10" t="s">
        <v>221</v>
      </c>
      <c r="H61" s="10" t="s">
        <v>291</v>
      </c>
      <c r="I61" s="10" t="s">
        <v>206</v>
      </c>
      <c r="J61" s="13">
        <v>578.76</v>
      </c>
      <c r="K61" s="14"/>
      <c r="L61" t="str">
        <f>VLOOKUP(A61,Formulas!A:B,2,FALSE)</f>
        <v>092298</v>
      </c>
      <c r="M61" s="32"/>
    </row>
    <row r="62" spans="1:13" ht="57.5" hidden="1" customHeight="1">
      <c r="A62" s="10">
        <v>873</v>
      </c>
      <c r="B62" s="11" t="s">
        <v>445</v>
      </c>
      <c r="C62" s="10" t="s">
        <v>10</v>
      </c>
      <c r="D62" s="12" t="s">
        <v>446</v>
      </c>
      <c r="E62" s="10">
        <v>1350</v>
      </c>
      <c r="F62" s="10" t="s">
        <v>226</v>
      </c>
      <c r="G62" s="10" t="s">
        <v>14</v>
      </c>
      <c r="H62" s="10" t="s">
        <v>14</v>
      </c>
      <c r="I62" s="10" t="s">
        <v>11</v>
      </c>
      <c r="J62" s="13">
        <v>131.334</v>
      </c>
      <c r="K62" s="14"/>
      <c r="L62" t="str">
        <f>VLOOKUP(A62,Formulas!A:B,2,FALSE)</f>
        <v>092056</v>
      </c>
      <c r="M62" s="32"/>
    </row>
    <row r="63" spans="1:13" ht="57.5" hidden="1" customHeight="1">
      <c r="A63" s="10">
        <v>879</v>
      </c>
      <c r="B63" s="11" t="s">
        <v>447</v>
      </c>
      <c r="C63" s="10" t="s">
        <v>10</v>
      </c>
      <c r="D63" s="12" t="s">
        <v>446</v>
      </c>
      <c r="E63" s="10">
        <v>1350</v>
      </c>
      <c r="F63" s="10" t="s">
        <v>226</v>
      </c>
      <c r="G63" s="10" t="s">
        <v>14</v>
      </c>
      <c r="H63" s="10" t="s">
        <v>14</v>
      </c>
      <c r="I63" s="10" t="s">
        <v>11</v>
      </c>
      <c r="J63" s="13">
        <v>131.334</v>
      </c>
      <c r="K63" s="14"/>
      <c r="L63" t="str">
        <f>VLOOKUP(A63,Formulas!A:B,2,FALSE)</f>
        <v>092058</v>
      </c>
      <c r="M63" s="32"/>
    </row>
    <row r="64" spans="1:13" ht="57.5" hidden="1" customHeight="1">
      <c r="A64" s="10">
        <v>882</v>
      </c>
      <c r="B64" s="11" t="s">
        <v>448</v>
      </c>
      <c r="C64" s="10" t="s">
        <v>10</v>
      </c>
      <c r="D64" s="12" t="s">
        <v>164</v>
      </c>
      <c r="E64" s="10">
        <v>2700</v>
      </c>
      <c r="F64" s="10" t="s">
        <v>226</v>
      </c>
      <c r="G64" s="10" t="s">
        <v>93</v>
      </c>
      <c r="H64" s="10" t="s">
        <v>93</v>
      </c>
      <c r="I64" s="10" t="s">
        <v>11</v>
      </c>
      <c r="J64" s="13">
        <v>171.40199999999999</v>
      </c>
      <c r="K64" s="14"/>
      <c r="L64" t="str">
        <f>VLOOKUP(A64,Formulas!A:B,2,FALSE)</f>
        <v>092066</v>
      </c>
      <c r="M64" s="32"/>
    </row>
    <row r="65" spans="1:13" ht="57.5" hidden="1" customHeight="1">
      <c r="A65" s="10">
        <v>891</v>
      </c>
      <c r="B65" s="11" t="s">
        <v>449</v>
      </c>
      <c r="C65" s="10" t="s">
        <v>10</v>
      </c>
      <c r="D65" s="12" t="s">
        <v>164</v>
      </c>
      <c r="E65" s="10">
        <v>2700</v>
      </c>
      <c r="F65" s="10" t="s">
        <v>226</v>
      </c>
      <c r="G65" s="10" t="s">
        <v>93</v>
      </c>
      <c r="H65" s="10" t="s">
        <v>93</v>
      </c>
      <c r="I65" s="10" t="s">
        <v>11</v>
      </c>
      <c r="J65" s="13">
        <v>171.40199999999999</v>
      </c>
      <c r="K65" s="14"/>
      <c r="L65" t="str">
        <f>VLOOKUP(A65,Formulas!A:B,2,FALSE)</f>
        <v>092069</v>
      </c>
      <c r="M65" s="32"/>
    </row>
    <row r="66" spans="1:13" ht="57.5" hidden="1" customHeight="1">
      <c r="A66" s="10">
        <v>894</v>
      </c>
      <c r="B66" s="11" t="s">
        <v>450</v>
      </c>
      <c r="C66" s="10" t="s">
        <v>10</v>
      </c>
      <c r="D66" s="12" t="s">
        <v>451</v>
      </c>
      <c r="E66" s="10">
        <v>3750</v>
      </c>
      <c r="F66" s="10" t="s">
        <v>226</v>
      </c>
      <c r="G66" s="10" t="s">
        <v>96</v>
      </c>
      <c r="H66" s="10" t="s">
        <v>96</v>
      </c>
      <c r="I66" s="10" t="s">
        <v>11</v>
      </c>
      <c r="J66" s="13">
        <v>389.55</v>
      </c>
      <c r="K66" s="14"/>
      <c r="L66" t="str">
        <f>VLOOKUP(A66,Formulas!A:B,2,FALSE)</f>
        <v>092076</v>
      </c>
      <c r="M66" s="32"/>
    </row>
    <row r="67" spans="1:13" ht="57.5" hidden="1" customHeight="1">
      <c r="A67" s="10">
        <v>901</v>
      </c>
      <c r="B67" s="11" t="s">
        <v>452</v>
      </c>
      <c r="C67" s="10" t="s">
        <v>10</v>
      </c>
      <c r="D67" s="12" t="s">
        <v>451</v>
      </c>
      <c r="E67" s="10">
        <v>3750</v>
      </c>
      <c r="F67" s="10" t="s">
        <v>226</v>
      </c>
      <c r="G67" s="10" t="s">
        <v>96</v>
      </c>
      <c r="H67" s="10" t="s">
        <v>96</v>
      </c>
      <c r="I67" s="10" t="s">
        <v>11</v>
      </c>
      <c r="J67" s="13">
        <v>389.55</v>
      </c>
      <c r="K67" s="14"/>
      <c r="L67" t="str">
        <f>VLOOKUP(A67,Formulas!A:B,2,FALSE)</f>
        <v>092078</v>
      </c>
      <c r="M67" s="32"/>
    </row>
    <row r="68" spans="1:13" ht="57.5" hidden="1" customHeight="1">
      <c r="A68" s="10">
        <v>965</v>
      </c>
      <c r="B68" s="11" t="s">
        <v>616</v>
      </c>
      <c r="C68" s="10" t="s">
        <v>182</v>
      </c>
      <c r="D68" s="12" t="s">
        <v>11</v>
      </c>
      <c r="E68" s="10" t="s">
        <v>11</v>
      </c>
      <c r="F68" s="10" t="s">
        <v>288</v>
      </c>
      <c r="G68" s="10" t="s">
        <v>208</v>
      </c>
      <c r="H68" s="10" t="s">
        <v>245</v>
      </c>
      <c r="I68" s="10" t="s">
        <v>11</v>
      </c>
      <c r="J68" s="13">
        <v>107.961</v>
      </c>
      <c r="K68" s="14"/>
      <c r="L68" t="str">
        <f>VLOOKUP(A68,Formulas!A:B,2,FALSE)</f>
        <v>092691</v>
      </c>
      <c r="M68" s="32"/>
    </row>
    <row r="69" spans="1:13" ht="57.5" hidden="1" customHeight="1">
      <c r="A69" s="10">
        <v>968</v>
      </c>
      <c r="B69" s="11" t="s">
        <v>617</v>
      </c>
      <c r="C69" s="10" t="s">
        <v>182</v>
      </c>
      <c r="D69" s="12" t="s">
        <v>11</v>
      </c>
      <c r="E69" s="10" t="s">
        <v>11</v>
      </c>
      <c r="F69" s="10" t="s">
        <v>288</v>
      </c>
      <c r="G69" s="10" t="s">
        <v>208</v>
      </c>
      <c r="H69" s="10" t="s">
        <v>245</v>
      </c>
      <c r="I69" s="10" t="s">
        <v>11</v>
      </c>
      <c r="J69" s="13">
        <v>107.961</v>
      </c>
      <c r="K69" s="14"/>
      <c r="L69" t="str">
        <f>VLOOKUP(A69,Formulas!A:B,2,FALSE)</f>
        <v>092694</v>
      </c>
      <c r="M69" s="32"/>
    </row>
    <row r="70" spans="1:13" ht="57.5" hidden="1" customHeight="1">
      <c r="A70" s="22">
        <v>969</v>
      </c>
      <c r="B70" s="23" t="s">
        <v>618</v>
      </c>
      <c r="C70" s="10" t="s">
        <v>182</v>
      </c>
      <c r="D70" s="24" t="s">
        <v>11</v>
      </c>
      <c r="E70" s="22" t="s">
        <v>11</v>
      </c>
      <c r="F70" s="22" t="s">
        <v>288</v>
      </c>
      <c r="G70" s="22" t="s">
        <v>208</v>
      </c>
      <c r="H70" s="22" t="s">
        <v>245</v>
      </c>
      <c r="I70" s="10" t="s">
        <v>11</v>
      </c>
      <c r="J70" s="25">
        <v>107.961</v>
      </c>
      <c r="K70" s="19"/>
      <c r="L70" t="str">
        <f>VLOOKUP(A70,Formulas!A:B,2,FALSE)</f>
        <v>092695</v>
      </c>
      <c r="M70" s="32"/>
    </row>
    <row r="71" spans="1:13" ht="57.5" hidden="1" customHeight="1">
      <c r="A71" s="10">
        <v>971</v>
      </c>
      <c r="B71" s="11" t="s">
        <v>619</v>
      </c>
      <c r="C71" s="10" t="s">
        <v>182</v>
      </c>
      <c r="D71" s="24" t="s">
        <v>11</v>
      </c>
      <c r="E71" s="22" t="s">
        <v>11</v>
      </c>
      <c r="F71" s="10" t="s">
        <v>288</v>
      </c>
      <c r="G71" s="22" t="s">
        <v>208</v>
      </c>
      <c r="H71" s="22" t="s">
        <v>245</v>
      </c>
      <c r="I71" s="10" t="s">
        <v>11</v>
      </c>
      <c r="J71" s="13">
        <v>129.5532</v>
      </c>
      <c r="K71" s="14"/>
      <c r="L71" t="str">
        <f>VLOOKUP(A71,Formulas!A:B,2,FALSE)</f>
        <v>092696</v>
      </c>
      <c r="M71" s="32"/>
    </row>
    <row r="72" spans="1:13" ht="57.5" hidden="1" customHeight="1">
      <c r="A72" s="10">
        <v>984</v>
      </c>
      <c r="B72" s="11" t="s">
        <v>672</v>
      </c>
      <c r="C72" s="10" t="s">
        <v>182</v>
      </c>
      <c r="D72" s="24" t="s">
        <v>11</v>
      </c>
      <c r="E72" s="22" t="s">
        <v>11</v>
      </c>
      <c r="F72" s="10" t="s">
        <v>13</v>
      </c>
      <c r="G72" s="22" t="s">
        <v>347</v>
      </c>
      <c r="H72" s="22" t="s">
        <v>229</v>
      </c>
      <c r="I72" s="10" t="s">
        <v>11</v>
      </c>
      <c r="J72" s="13">
        <v>144.69</v>
      </c>
      <c r="K72" s="14"/>
      <c r="L72" t="str">
        <f>VLOOKUP(A72,Formulas!A:B,2,FALSE)</f>
        <v>092901</v>
      </c>
      <c r="M72" s="32"/>
    </row>
    <row r="73" spans="1:13" ht="57.5" hidden="1" customHeight="1">
      <c r="A73" s="10">
        <v>985</v>
      </c>
      <c r="B73" s="11" t="s">
        <v>673</v>
      </c>
      <c r="C73" s="10" t="s">
        <v>182</v>
      </c>
      <c r="D73" s="24" t="s">
        <v>11</v>
      </c>
      <c r="E73" s="22" t="s">
        <v>11</v>
      </c>
      <c r="F73" s="10" t="s">
        <v>13</v>
      </c>
      <c r="G73" s="22" t="s">
        <v>347</v>
      </c>
      <c r="H73" s="22" t="s">
        <v>229</v>
      </c>
      <c r="I73" s="10" t="s">
        <v>11</v>
      </c>
      <c r="J73" s="13">
        <v>173.62800000000001</v>
      </c>
      <c r="K73" s="14"/>
      <c r="L73" t="str">
        <f>VLOOKUP(A73,Formulas!A:B,2,FALSE)</f>
        <v>092902</v>
      </c>
      <c r="M73" s="32"/>
    </row>
    <row r="74" spans="1:13" ht="57.5" hidden="1" customHeight="1">
      <c r="A74" s="10">
        <v>986</v>
      </c>
      <c r="B74" s="11" t="s">
        <v>674</v>
      </c>
      <c r="C74" s="10" t="s">
        <v>182</v>
      </c>
      <c r="D74" s="24" t="s">
        <v>11</v>
      </c>
      <c r="E74" s="22" t="s">
        <v>11</v>
      </c>
      <c r="F74" s="10" t="s">
        <v>13</v>
      </c>
      <c r="G74" s="22" t="s">
        <v>347</v>
      </c>
      <c r="H74" s="22" t="s">
        <v>229</v>
      </c>
      <c r="I74" s="10" t="s">
        <v>11</v>
      </c>
      <c r="J74" s="13">
        <v>144.69</v>
      </c>
      <c r="K74" s="14"/>
      <c r="L74" t="str">
        <f>VLOOKUP(A74,Formulas!A:B,2,FALSE)</f>
        <v>092903</v>
      </c>
      <c r="M74" s="32"/>
    </row>
    <row r="75" spans="1:13" ht="57.5" hidden="1" customHeight="1">
      <c r="A75" s="10">
        <v>987</v>
      </c>
      <c r="B75" s="11" t="s">
        <v>675</v>
      </c>
      <c r="C75" s="10" t="s">
        <v>182</v>
      </c>
      <c r="D75" s="24" t="s">
        <v>11</v>
      </c>
      <c r="E75" s="22" t="s">
        <v>11</v>
      </c>
      <c r="F75" s="10" t="s">
        <v>13</v>
      </c>
      <c r="G75" s="22" t="s">
        <v>347</v>
      </c>
      <c r="H75" s="22" t="s">
        <v>229</v>
      </c>
      <c r="I75" s="10" t="s">
        <v>11</v>
      </c>
      <c r="J75" s="13">
        <v>173.62800000000001</v>
      </c>
      <c r="K75" s="14"/>
      <c r="L75" t="str">
        <f>VLOOKUP(A75,Formulas!A:B,2,FALSE)</f>
        <v>092904</v>
      </c>
      <c r="M75" s="32"/>
    </row>
    <row r="76" spans="1:13" ht="57.5" hidden="1" customHeight="1">
      <c r="A76" s="10">
        <v>988</v>
      </c>
      <c r="B76" s="11" t="s">
        <v>676</v>
      </c>
      <c r="C76" s="10" t="s">
        <v>182</v>
      </c>
      <c r="D76" s="24" t="s">
        <v>11</v>
      </c>
      <c r="E76" s="22" t="s">
        <v>11</v>
      </c>
      <c r="F76" s="10" t="s">
        <v>13</v>
      </c>
      <c r="G76" s="22" t="s">
        <v>347</v>
      </c>
      <c r="H76" s="22" t="s">
        <v>229</v>
      </c>
      <c r="I76" s="10" t="s">
        <v>11</v>
      </c>
      <c r="J76" s="13">
        <v>144.69</v>
      </c>
      <c r="K76" s="14"/>
      <c r="L76" t="str">
        <f>VLOOKUP(A76,Formulas!A:B,2,FALSE)</f>
        <v>092905</v>
      </c>
      <c r="M76" s="32"/>
    </row>
    <row r="77" spans="1:13" ht="57.5" hidden="1" customHeight="1">
      <c r="A77" s="10">
        <v>997</v>
      </c>
      <c r="B77" s="11" t="s">
        <v>620</v>
      </c>
      <c r="C77" s="10" t="s">
        <v>182</v>
      </c>
      <c r="D77" s="24" t="s">
        <v>11</v>
      </c>
      <c r="E77" s="22" t="s">
        <v>11</v>
      </c>
      <c r="F77" s="10" t="s">
        <v>94</v>
      </c>
      <c r="G77" s="22" t="s">
        <v>208</v>
      </c>
      <c r="H77" s="22" t="s">
        <v>108</v>
      </c>
      <c r="I77" s="10" t="s">
        <v>11</v>
      </c>
      <c r="J77" s="13">
        <v>148.02900000000002</v>
      </c>
      <c r="K77" s="14"/>
      <c r="L77" t="str">
        <f>VLOOKUP(A77,Formulas!A:B,2,FALSE)</f>
        <v>092705</v>
      </c>
      <c r="M77" s="32"/>
    </row>
    <row r="78" spans="1:13" ht="57.5" hidden="1" customHeight="1">
      <c r="A78" s="10">
        <v>1001</v>
      </c>
      <c r="B78" s="11" t="s">
        <v>621</v>
      </c>
      <c r="C78" s="10" t="s">
        <v>182</v>
      </c>
      <c r="D78" s="24" t="s">
        <v>11</v>
      </c>
      <c r="E78" s="22" t="s">
        <v>11</v>
      </c>
      <c r="F78" s="10" t="s">
        <v>94</v>
      </c>
      <c r="G78" s="22" t="s">
        <v>208</v>
      </c>
      <c r="H78" s="22" t="s">
        <v>108</v>
      </c>
      <c r="I78" s="10" t="s">
        <v>11</v>
      </c>
      <c r="J78" s="13">
        <v>148.02900000000002</v>
      </c>
      <c r="K78" s="14"/>
      <c r="L78" t="str">
        <f>VLOOKUP(A78,Formulas!A:B,2,FALSE)</f>
        <v>092708</v>
      </c>
      <c r="M78" s="32"/>
    </row>
    <row r="79" spans="1:13" ht="57.5" hidden="1" customHeight="1">
      <c r="A79" s="10">
        <v>1002</v>
      </c>
      <c r="B79" s="11" t="s">
        <v>622</v>
      </c>
      <c r="C79" s="10" t="s">
        <v>182</v>
      </c>
      <c r="D79" s="24" t="s">
        <v>11</v>
      </c>
      <c r="E79" s="22" t="s">
        <v>11</v>
      </c>
      <c r="F79" s="10" t="s">
        <v>94</v>
      </c>
      <c r="G79" s="22" t="s">
        <v>208</v>
      </c>
      <c r="H79" s="22" t="s">
        <v>108</v>
      </c>
      <c r="I79" s="10" t="s">
        <v>11</v>
      </c>
      <c r="J79" s="13">
        <v>177.63479999999998</v>
      </c>
      <c r="K79" s="14"/>
      <c r="L79" t="str">
        <f>VLOOKUP(A79,Formulas!A:B,2,FALSE)</f>
        <v>092709</v>
      </c>
      <c r="M79" s="32"/>
    </row>
    <row r="80" spans="1:13" ht="57.5" hidden="1" customHeight="1">
      <c r="A80" s="10">
        <v>1004</v>
      </c>
      <c r="B80" s="11" t="s">
        <v>623</v>
      </c>
      <c r="C80" s="10" t="s">
        <v>182</v>
      </c>
      <c r="D80" s="12" t="s">
        <v>11</v>
      </c>
      <c r="E80" s="10" t="s">
        <v>11</v>
      </c>
      <c r="F80" s="10" t="s">
        <v>94</v>
      </c>
      <c r="G80" s="10" t="s">
        <v>208</v>
      </c>
      <c r="H80" s="10" t="s">
        <v>108</v>
      </c>
      <c r="I80" s="10" t="s">
        <v>11</v>
      </c>
      <c r="J80" s="13">
        <v>148.02900000000002</v>
      </c>
      <c r="K80" s="14"/>
      <c r="L80" t="str">
        <f>VLOOKUP(A80,Formulas!A:B,2,FALSE)</f>
        <v>092711</v>
      </c>
      <c r="M80" s="32"/>
    </row>
    <row r="81" spans="1:13" ht="57.5" hidden="1" customHeight="1">
      <c r="A81" s="10">
        <v>1007</v>
      </c>
      <c r="B81" s="11" t="s">
        <v>519</v>
      </c>
      <c r="C81" s="10" t="s">
        <v>182</v>
      </c>
      <c r="D81" s="12" t="s">
        <v>11</v>
      </c>
      <c r="E81" s="10" t="s">
        <v>11</v>
      </c>
      <c r="F81" s="10" t="s">
        <v>440</v>
      </c>
      <c r="G81" s="10" t="s">
        <v>221</v>
      </c>
      <c r="H81" s="10" t="s">
        <v>208</v>
      </c>
      <c r="I81" s="10" t="s">
        <v>206</v>
      </c>
      <c r="J81" s="13">
        <v>153.59400000000002</v>
      </c>
      <c r="K81" s="14"/>
      <c r="L81" t="str">
        <f>VLOOKUP(A81,Formulas!A:B,2,FALSE)</f>
        <v>092346</v>
      </c>
      <c r="M81" s="32"/>
    </row>
    <row r="82" spans="1:13" ht="57.5" hidden="1" customHeight="1">
      <c r="A82" s="10">
        <v>1011</v>
      </c>
      <c r="B82" s="11" t="s">
        <v>520</v>
      </c>
      <c r="C82" s="10" t="s">
        <v>182</v>
      </c>
      <c r="D82" s="12" t="s">
        <v>11</v>
      </c>
      <c r="E82" s="10" t="s">
        <v>11</v>
      </c>
      <c r="F82" s="10" t="s">
        <v>440</v>
      </c>
      <c r="G82" s="10" t="s">
        <v>221</v>
      </c>
      <c r="H82" s="10" t="s">
        <v>208</v>
      </c>
      <c r="I82" s="10" t="s">
        <v>206</v>
      </c>
      <c r="J82" s="13">
        <v>184.31280000000001</v>
      </c>
      <c r="K82" s="14"/>
      <c r="L82" t="str">
        <f>VLOOKUP(A82,Formulas!A:B,2,FALSE)</f>
        <v>092348</v>
      </c>
      <c r="M82" s="32"/>
    </row>
    <row r="83" spans="1:13" ht="57.5" hidden="1" customHeight="1">
      <c r="A83" s="10">
        <v>1014</v>
      </c>
      <c r="B83" s="11" t="s">
        <v>521</v>
      </c>
      <c r="C83" s="10" t="s">
        <v>182</v>
      </c>
      <c r="D83" s="12" t="s">
        <v>11</v>
      </c>
      <c r="E83" s="10" t="s">
        <v>11</v>
      </c>
      <c r="F83" s="10" t="s">
        <v>440</v>
      </c>
      <c r="G83" s="10" t="s">
        <v>221</v>
      </c>
      <c r="H83" s="10" t="s">
        <v>208</v>
      </c>
      <c r="I83" s="10" t="s">
        <v>206</v>
      </c>
      <c r="J83" s="13">
        <v>153.59400000000002</v>
      </c>
      <c r="K83" s="14"/>
      <c r="L83" t="str">
        <f>VLOOKUP(A83,Formulas!A:B,2,FALSE)</f>
        <v>092349</v>
      </c>
      <c r="M83" s="32"/>
    </row>
    <row r="84" spans="1:13" ht="57.5" hidden="1" customHeight="1">
      <c r="A84" s="10">
        <v>1015</v>
      </c>
      <c r="B84" s="11" t="s">
        <v>522</v>
      </c>
      <c r="C84" s="10" t="s">
        <v>182</v>
      </c>
      <c r="D84" s="12" t="s">
        <v>11</v>
      </c>
      <c r="E84" s="10" t="s">
        <v>11</v>
      </c>
      <c r="F84" s="10" t="s">
        <v>440</v>
      </c>
      <c r="G84" s="10" t="s">
        <v>221</v>
      </c>
      <c r="H84" s="10" t="s">
        <v>208</v>
      </c>
      <c r="I84" s="10" t="s">
        <v>206</v>
      </c>
      <c r="J84" s="13">
        <v>184.31280000000001</v>
      </c>
      <c r="K84" s="14"/>
      <c r="L84" t="str">
        <f>VLOOKUP(A84,Formulas!A:B,2,FALSE)</f>
        <v>092350</v>
      </c>
      <c r="M84" s="32"/>
    </row>
    <row r="85" spans="1:13" ht="57.5" hidden="1" customHeight="1">
      <c r="A85" s="10">
        <v>1018</v>
      </c>
      <c r="B85" s="11" t="s">
        <v>523</v>
      </c>
      <c r="C85" s="10" t="s">
        <v>182</v>
      </c>
      <c r="D85" s="12" t="s">
        <v>11</v>
      </c>
      <c r="E85" s="10" t="s">
        <v>11</v>
      </c>
      <c r="F85" s="10" t="s">
        <v>440</v>
      </c>
      <c r="G85" s="10" t="s">
        <v>221</v>
      </c>
      <c r="H85" s="10" t="s">
        <v>208</v>
      </c>
      <c r="I85" s="10" t="s">
        <v>206</v>
      </c>
      <c r="J85" s="13">
        <v>153.59400000000002</v>
      </c>
      <c r="K85" s="14"/>
      <c r="L85" t="str">
        <f>VLOOKUP(A85,Formulas!A:B,2,FALSE)</f>
        <v>092351</v>
      </c>
      <c r="M85" s="32"/>
    </row>
    <row r="86" spans="1:13" ht="57.5" hidden="1" customHeight="1">
      <c r="A86" s="10">
        <v>1035</v>
      </c>
      <c r="B86" s="11" t="s">
        <v>529</v>
      </c>
      <c r="C86" s="10" t="s">
        <v>217</v>
      </c>
      <c r="D86" s="12" t="s">
        <v>11</v>
      </c>
      <c r="E86" s="10" t="s">
        <v>11</v>
      </c>
      <c r="F86" s="10" t="s">
        <v>440</v>
      </c>
      <c r="G86" s="10" t="s">
        <v>218</v>
      </c>
      <c r="H86" s="10" t="s">
        <v>221</v>
      </c>
      <c r="I86" s="10" t="s">
        <v>206</v>
      </c>
      <c r="J86" s="13">
        <v>170.95680000000002</v>
      </c>
      <c r="K86" s="14"/>
      <c r="L86" t="str">
        <f>VLOOKUP(A86,Formulas!A:B,2,FALSE)</f>
        <v>092374</v>
      </c>
      <c r="M86" s="32"/>
    </row>
    <row r="87" spans="1:13" ht="57.5" hidden="1" customHeight="1">
      <c r="A87" s="10">
        <v>1037</v>
      </c>
      <c r="B87" s="11" t="s">
        <v>528</v>
      </c>
      <c r="C87" s="10" t="s">
        <v>217</v>
      </c>
      <c r="D87" s="12" t="s">
        <v>11</v>
      </c>
      <c r="E87" s="10" t="s">
        <v>11</v>
      </c>
      <c r="F87" s="10" t="s">
        <v>440</v>
      </c>
      <c r="G87" s="10" t="s">
        <v>218</v>
      </c>
      <c r="H87" s="10" t="s">
        <v>221</v>
      </c>
      <c r="I87" s="10" t="s">
        <v>206</v>
      </c>
      <c r="J87" s="13">
        <v>142.46400000000003</v>
      </c>
      <c r="K87" s="14"/>
      <c r="L87" t="str">
        <f>VLOOKUP(A87,Formulas!A:B,2,FALSE)</f>
        <v>092373</v>
      </c>
      <c r="M87" s="32"/>
    </row>
    <row r="88" spans="1:13" ht="57.5" hidden="1" customHeight="1">
      <c r="A88" s="10">
        <v>1044</v>
      </c>
      <c r="B88" s="11" t="s">
        <v>524</v>
      </c>
      <c r="C88" s="10" t="s">
        <v>217</v>
      </c>
      <c r="D88" s="12" t="s">
        <v>11</v>
      </c>
      <c r="E88" s="10" t="s">
        <v>11</v>
      </c>
      <c r="F88" s="10" t="s">
        <v>440</v>
      </c>
      <c r="G88" s="10" t="s">
        <v>218</v>
      </c>
      <c r="H88" s="10" t="s">
        <v>221</v>
      </c>
      <c r="I88" s="10" t="s">
        <v>206</v>
      </c>
      <c r="J88" s="13">
        <v>142.46400000000003</v>
      </c>
      <c r="K88" s="14"/>
      <c r="L88" t="str">
        <f>VLOOKUP(A88,Formulas!A:B,2,FALSE)</f>
        <v>092369</v>
      </c>
      <c r="M88" s="32"/>
    </row>
    <row r="89" spans="1:13" ht="57.5" hidden="1" customHeight="1">
      <c r="A89" s="22">
        <v>1045</v>
      </c>
      <c r="B89" s="23" t="s">
        <v>525</v>
      </c>
      <c r="C89" s="10" t="s">
        <v>217</v>
      </c>
      <c r="D89" s="24" t="s">
        <v>11</v>
      </c>
      <c r="E89" s="22" t="s">
        <v>11</v>
      </c>
      <c r="F89" s="22" t="s">
        <v>440</v>
      </c>
      <c r="G89" s="22" t="s">
        <v>218</v>
      </c>
      <c r="H89" s="22" t="s">
        <v>221</v>
      </c>
      <c r="I89" s="10" t="s">
        <v>206</v>
      </c>
      <c r="J89" s="25">
        <v>170.95680000000002</v>
      </c>
      <c r="K89" s="19"/>
      <c r="L89" t="str">
        <f>VLOOKUP(A89,Formulas!A:B,2,FALSE)</f>
        <v>092370</v>
      </c>
      <c r="M89" s="32"/>
    </row>
    <row r="90" spans="1:13" ht="57.5" hidden="1" customHeight="1">
      <c r="A90" s="10">
        <v>1048</v>
      </c>
      <c r="B90" s="11" t="s">
        <v>526</v>
      </c>
      <c r="C90" s="10" t="s">
        <v>217</v>
      </c>
      <c r="D90" s="24" t="s">
        <v>11</v>
      </c>
      <c r="E90" s="22" t="s">
        <v>11</v>
      </c>
      <c r="F90" s="22" t="s">
        <v>440</v>
      </c>
      <c r="G90" s="22" t="s">
        <v>218</v>
      </c>
      <c r="H90" s="22" t="s">
        <v>221</v>
      </c>
      <c r="I90" s="10" t="s">
        <v>206</v>
      </c>
      <c r="J90" s="13">
        <v>170.95680000000002</v>
      </c>
      <c r="K90" s="14"/>
      <c r="L90" t="str">
        <f>VLOOKUP(A90,Formulas!A:B,2,FALSE)</f>
        <v>092371</v>
      </c>
      <c r="M90" s="32"/>
    </row>
    <row r="91" spans="1:13" ht="57.5" hidden="1" customHeight="1">
      <c r="A91" s="10">
        <v>1049</v>
      </c>
      <c r="B91" s="11" t="s">
        <v>527</v>
      </c>
      <c r="C91" s="10" t="s">
        <v>217</v>
      </c>
      <c r="D91" s="24" t="s">
        <v>11</v>
      </c>
      <c r="E91" s="22" t="s">
        <v>11</v>
      </c>
      <c r="F91" s="22" t="s">
        <v>440</v>
      </c>
      <c r="G91" s="22" t="s">
        <v>218</v>
      </c>
      <c r="H91" s="22" t="s">
        <v>221</v>
      </c>
      <c r="I91" s="10" t="s">
        <v>206</v>
      </c>
      <c r="J91" s="13">
        <v>142.46400000000003</v>
      </c>
      <c r="K91" s="14"/>
      <c r="L91" t="str">
        <f>VLOOKUP(A91,Formulas!A:B,2,FALSE)</f>
        <v>092372</v>
      </c>
      <c r="M91" s="32"/>
    </row>
    <row r="92" spans="1:13" ht="57.5" hidden="1" customHeight="1">
      <c r="A92" s="10">
        <v>1066</v>
      </c>
      <c r="B92" s="11" t="s">
        <v>895</v>
      </c>
      <c r="C92" s="10" t="s">
        <v>207</v>
      </c>
      <c r="D92" s="12" t="s">
        <v>11</v>
      </c>
      <c r="E92" s="10" t="s">
        <v>11</v>
      </c>
      <c r="F92" s="10" t="s">
        <v>96</v>
      </c>
      <c r="G92" s="10" t="s">
        <v>221</v>
      </c>
      <c r="H92" s="10" t="s">
        <v>13</v>
      </c>
      <c r="I92" s="10" t="s">
        <v>206</v>
      </c>
      <c r="J92" s="13">
        <v>320.54399999999998</v>
      </c>
      <c r="K92" s="14"/>
      <c r="L92" t="str">
        <f>VLOOKUP(A92,Formulas!A:B,2,FALSE)</f>
        <v>092394</v>
      </c>
      <c r="M92" s="32"/>
    </row>
    <row r="93" spans="1:13" ht="57.5" hidden="1" customHeight="1">
      <c r="A93" s="10">
        <v>1067</v>
      </c>
      <c r="B93" s="11" t="s">
        <v>530</v>
      </c>
      <c r="C93" s="10" t="s">
        <v>207</v>
      </c>
      <c r="D93" s="12" t="s">
        <v>11</v>
      </c>
      <c r="E93" s="10" t="s">
        <v>11</v>
      </c>
      <c r="F93" s="10" t="s">
        <v>96</v>
      </c>
      <c r="G93" s="10" t="s">
        <v>221</v>
      </c>
      <c r="H93" s="10" t="s">
        <v>13</v>
      </c>
      <c r="I93" s="10" t="s">
        <v>206</v>
      </c>
      <c r="J93" s="13">
        <v>267.12</v>
      </c>
      <c r="K93" s="14"/>
      <c r="L93" t="str">
        <f>VLOOKUP(A93,Formulas!A:B,2,FALSE)</f>
        <v>092395</v>
      </c>
      <c r="M93" s="32"/>
    </row>
    <row r="94" spans="1:13" ht="57.5" hidden="1" customHeight="1">
      <c r="A94" s="10">
        <v>1068</v>
      </c>
      <c r="B94" s="11" t="s">
        <v>531</v>
      </c>
      <c r="C94" s="10" t="s">
        <v>207</v>
      </c>
      <c r="D94" s="12" t="s">
        <v>11</v>
      </c>
      <c r="E94" s="10" t="s">
        <v>11</v>
      </c>
      <c r="F94" s="10" t="s">
        <v>96</v>
      </c>
      <c r="G94" s="10" t="s">
        <v>221</v>
      </c>
      <c r="H94" s="10" t="s">
        <v>13</v>
      </c>
      <c r="I94" s="10" t="s">
        <v>206</v>
      </c>
      <c r="J94" s="13">
        <v>320.54399999999998</v>
      </c>
      <c r="K94" s="19"/>
      <c r="L94" t="str">
        <f>VLOOKUP(A94,Formulas!A:B,2,FALSE)</f>
        <v>092396</v>
      </c>
      <c r="M94" s="32"/>
    </row>
    <row r="95" spans="1:13" ht="57.5" hidden="1" customHeight="1">
      <c r="A95" s="10">
        <v>1071</v>
      </c>
      <c r="B95" s="11" t="s">
        <v>532</v>
      </c>
      <c r="C95" s="10" t="s">
        <v>207</v>
      </c>
      <c r="D95" s="12" t="s">
        <v>11</v>
      </c>
      <c r="E95" s="10" t="s">
        <v>11</v>
      </c>
      <c r="F95" s="10" t="s">
        <v>96</v>
      </c>
      <c r="G95" s="10" t="s">
        <v>221</v>
      </c>
      <c r="H95" s="10" t="s">
        <v>13</v>
      </c>
      <c r="I95" s="10" t="s">
        <v>206</v>
      </c>
      <c r="J95" s="13">
        <v>267.12</v>
      </c>
      <c r="K95" s="19"/>
      <c r="L95" t="str">
        <f>VLOOKUP(A95,Formulas!A:B,2,FALSE)</f>
        <v>092398</v>
      </c>
      <c r="M95" s="32"/>
    </row>
    <row r="96" spans="1:13" ht="57.5" hidden="1" customHeight="1">
      <c r="A96" s="10">
        <v>1076</v>
      </c>
      <c r="B96" s="11" t="s">
        <v>540</v>
      </c>
      <c r="C96" s="10" t="s">
        <v>534</v>
      </c>
      <c r="D96" s="12" t="s">
        <v>11</v>
      </c>
      <c r="E96" s="10" t="s">
        <v>11</v>
      </c>
      <c r="F96" s="10" t="s">
        <v>94</v>
      </c>
      <c r="G96" s="10" t="s">
        <v>208</v>
      </c>
      <c r="H96" s="10" t="s">
        <v>221</v>
      </c>
      <c r="I96" s="10" t="s">
        <v>206</v>
      </c>
      <c r="J96" s="13">
        <v>192.32640000000001</v>
      </c>
      <c r="K96" s="19"/>
      <c r="L96" t="str">
        <f>VLOOKUP(A96,Formulas!A:B,2,FALSE)</f>
        <v>092418</v>
      </c>
      <c r="M96" s="32"/>
    </row>
    <row r="97" spans="1:13" ht="57.5" hidden="1" customHeight="1">
      <c r="A97" s="10">
        <v>1080</v>
      </c>
      <c r="B97" s="11" t="s">
        <v>541</v>
      </c>
      <c r="C97" s="10" t="s">
        <v>534</v>
      </c>
      <c r="D97" s="12" t="s">
        <v>11</v>
      </c>
      <c r="E97" s="10" t="s">
        <v>11</v>
      </c>
      <c r="F97" s="10" t="s">
        <v>94</v>
      </c>
      <c r="G97" s="10" t="s">
        <v>208</v>
      </c>
      <c r="H97" s="10" t="s">
        <v>221</v>
      </c>
      <c r="I97" s="10" t="s">
        <v>206</v>
      </c>
      <c r="J97" s="13">
        <v>160.27199999999999</v>
      </c>
      <c r="K97" s="19"/>
      <c r="L97" t="str">
        <f>VLOOKUP(A97,Formulas!A:B,2,FALSE)</f>
        <v>092419</v>
      </c>
      <c r="M97" s="32"/>
    </row>
    <row r="98" spans="1:13" ht="57.5" hidden="1" customHeight="1">
      <c r="A98" s="10">
        <v>1081</v>
      </c>
      <c r="B98" s="11" t="s">
        <v>537</v>
      </c>
      <c r="C98" s="10" t="s">
        <v>534</v>
      </c>
      <c r="D98" s="12" t="s">
        <v>11</v>
      </c>
      <c r="E98" s="10" t="s">
        <v>11</v>
      </c>
      <c r="F98" s="10" t="s">
        <v>94</v>
      </c>
      <c r="G98" s="10" t="s">
        <v>208</v>
      </c>
      <c r="H98" s="10" t="s">
        <v>221</v>
      </c>
      <c r="I98" s="10" t="s">
        <v>206</v>
      </c>
      <c r="J98" s="13">
        <v>160.27199999999999</v>
      </c>
      <c r="K98" s="19"/>
      <c r="L98" t="str">
        <f>VLOOKUP(A98,Formulas!A:B,2,FALSE)</f>
        <v>092409</v>
      </c>
      <c r="M98" s="32"/>
    </row>
    <row r="99" spans="1:13" ht="57.5" hidden="1" customHeight="1">
      <c r="A99" s="10">
        <v>1082</v>
      </c>
      <c r="B99" s="11" t="s">
        <v>538</v>
      </c>
      <c r="C99" s="10" t="s">
        <v>534</v>
      </c>
      <c r="D99" s="12" t="s">
        <v>11</v>
      </c>
      <c r="E99" s="10" t="s">
        <v>11</v>
      </c>
      <c r="F99" s="10" t="s">
        <v>94</v>
      </c>
      <c r="G99" s="10" t="s">
        <v>208</v>
      </c>
      <c r="H99" s="10" t="s">
        <v>221</v>
      </c>
      <c r="I99" s="10" t="s">
        <v>206</v>
      </c>
      <c r="J99" s="13">
        <v>192.32640000000001</v>
      </c>
      <c r="K99" s="19"/>
      <c r="L99" t="str">
        <f>VLOOKUP(A99,Formulas!A:B,2,FALSE)</f>
        <v>092410</v>
      </c>
      <c r="M99" s="32"/>
    </row>
    <row r="100" spans="1:13" ht="57.5" hidden="1" customHeight="1">
      <c r="A100" s="10">
        <v>1085</v>
      </c>
      <c r="B100" s="11" t="s">
        <v>817</v>
      </c>
      <c r="C100" s="10" t="s">
        <v>534</v>
      </c>
      <c r="D100" s="12" t="s">
        <v>11</v>
      </c>
      <c r="E100" s="10" t="s">
        <v>11</v>
      </c>
      <c r="F100" s="10" t="s">
        <v>94</v>
      </c>
      <c r="G100" s="10" t="s">
        <v>208</v>
      </c>
      <c r="H100" s="10" t="s">
        <v>221</v>
      </c>
      <c r="I100" s="10" t="s">
        <v>206</v>
      </c>
      <c r="J100" s="13">
        <v>160.27199999999999</v>
      </c>
      <c r="K100" s="19"/>
      <c r="L100" t="str">
        <f>VLOOKUP(A100,Formulas!A:B,2,FALSE)</f>
        <v>092420</v>
      </c>
      <c r="M100" s="32"/>
    </row>
    <row r="101" spans="1:13" ht="57.5" hidden="1" customHeight="1">
      <c r="A101" s="10">
        <v>1086</v>
      </c>
      <c r="B101" s="11" t="s">
        <v>539</v>
      </c>
      <c r="C101" s="10" t="s">
        <v>534</v>
      </c>
      <c r="D101" s="12" t="s">
        <v>11</v>
      </c>
      <c r="E101" s="10" t="s">
        <v>11</v>
      </c>
      <c r="F101" s="10" t="s">
        <v>94</v>
      </c>
      <c r="G101" s="10" t="s">
        <v>208</v>
      </c>
      <c r="H101" s="10" t="s">
        <v>221</v>
      </c>
      <c r="I101" s="10" t="s">
        <v>206</v>
      </c>
      <c r="J101" s="13">
        <v>160.27199999999999</v>
      </c>
      <c r="K101" s="19"/>
      <c r="L101" t="str">
        <f>VLOOKUP(A101,Formulas!A:B,2,FALSE)</f>
        <v>092411</v>
      </c>
      <c r="M101" s="32"/>
    </row>
    <row r="102" spans="1:13" ht="57.5" hidden="1" customHeight="1">
      <c r="A102" s="10">
        <v>1089</v>
      </c>
      <c r="B102" s="11" t="s">
        <v>542</v>
      </c>
      <c r="C102" s="10" t="s">
        <v>534</v>
      </c>
      <c r="D102" s="12" t="s">
        <v>11</v>
      </c>
      <c r="E102" s="10" t="s">
        <v>11</v>
      </c>
      <c r="F102" s="10" t="s">
        <v>94</v>
      </c>
      <c r="G102" s="10" t="s">
        <v>208</v>
      </c>
      <c r="H102" s="10" t="s">
        <v>221</v>
      </c>
      <c r="I102" s="10" t="s">
        <v>206</v>
      </c>
      <c r="J102" s="13">
        <v>192.32640000000001</v>
      </c>
      <c r="K102" s="19"/>
      <c r="L102" t="str">
        <f>VLOOKUP(A102,Formulas!A:B,2,FALSE)</f>
        <v>092422</v>
      </c>
      <c r="M102" s="32"/>
    </row>
    <row r="103" spans="1:13" ht="57.5" hidden="1" customHeight="1">
      <c r="A103" s="10">
        <v>1090</v>
      </c>
      <c r="B103" s="11" t="s">
        <v>624</v>
      </c>
      <c r="C103" s="10" t="s">
        <v>243</v>
      </c>
      <c r="D103" s="12" t="s">
        <v>11</v>
      </c>
      <c r="E103" s="10" t="s">
        <v>11</v>
      </c>
      <c r="F103" s="10" t="s">
        <v>14</v>
      </c>
      <c r="G103" s="10" t="s">
        <v>221</v>
      </c>
      <c r="H103" s="10" t="s">
        <v>14</v>
      </c>
      <c r="I103" s="10" t="s">
        <v>11</v>
      </c>
      <c r="J103" s="13">
        <v>231.05879999999999</v>
      </c>
      <c r="K103" s="19"/>
      <c r="L103" t="str">
        <f>VLOOKUP(A103,Formulas!A:B,2,FALSE)</f>
        <v>092712</v>
      </c>
      <c r="M103" s="32"/>
    </row>
    <row r="104" spans="1:13" ht="57.5" hidden="1" customHeight="1">
      <c r="A104" s="10">
        <v>1093</v>
      </c>
      <c r="B104" s="11" t="s">
        <v>936</v>
      </c>
      <c r="C104" s="10" t="s">
        <v>243</v>
      </c>
      <c r="D104" s="12" t="s">
        <v>11</v>
      </c>
      <c r="E104" s="10" t="s">
        <v>11</v>
      </c>
      <c r="F104" s="10" t="s">
        <v>14</v>
      </c>
      <c r="G104" s="10" t="s">
        <v>221</v>
      </c>
      <c r="H104" s="10" t="s">
        <v>14</v>
      </c>
      <c r="I104" s="10" t="s">
        <v>11</v>
      </c>
      <c r="J104" s="13">
        <v>231.05879999999999</v>
      </c>
      <c r="K104" s="19"/>
      <c r="L104" t="str">
        <f>VLOOKUP(A104,Formulas!A:B,2,FALSE)</f>
        <v>092714</v>
      </c>
      <c r="M104" s="32"/>
    </row>
    <row r="105" spans="1:13" ht="57.5" hidden="1" customHeight="1">
      <c r="A105" s="10">
        <v>1094</v>
      </c>
      <c r="B105" s="11" t="s">
        <v>625</v>
      </c>
      <c r="C105" s="10" t="s">
        <v>243</v>
      </c>
      <c r="D105" s="12" t="s">
        <v>11</v>
      </c>
      <c r="E105" s="10" t="s">
        <v>11</v>
      </c>
      <c r="F105" s="10" t="s">
        <v>14</v>
      </c>
      <c r="G105" s="10" t="s">
        <v>221</v>
      </c>
      <c r="H105" s="10" t="s">
        <v>14</v>
      </c>
      <c r="I105" s="10" t="s">
        <v>11</v>
      </c>
      <c r="J105" s="13">
        <v>192.54900000000001</v>
      </c>
      <c r="K105" s="19"/>
      <c r="L105" t="str">
        <f>VLOOKUP(A105,Formulas!A:B,2,FALSE)</f>
        <v>092715</v>
      </c>
      <c r="M105" s="32"/>
    </row>
    <row r="106" spans="1:13" ht="57.5" hidden="1" customHeight="1">
      <c r="A106" s="10">
        <v>1095</v>
      </c>
      <c r="B106" s="11" t="s">
        <v>626</v>
      </c>
      <c r="C106" s="10" t="s">
        <v>243</v>
      </c>
      <c r="D106" s="12" t="s">
        <v>11</v>
      </c>
      <c r="E106" s="10" t="s">
        <v>11</v>
      </c>
      <c r="F106" s="10" t="s">
        <v>14</v>
      </c>
      <c r="G106" s="10" t="s">
        <v>221</v>
      </c>
      <c r="H106" s="10" t="s">
        <v>14</v>
      </c>
      <c r="I106" s="10" t="s">
        <v>11</v>
      </c>
      <c r="J106" s="13">
        <v>231.05879999999999</v>
      </c>
      <c r="K106" s="19"/>
      <c r="L106" t="str">
        <f>VLOOKUP(A106,Formulas!A:B,2,FALSE)</f>
        <v>092716</v>
      </c>
      <c r="M106" s="32"/>
    </row>
    <row r="107" spans="1:13" ht="57.5" hidden="1" customHeight="1">
      <c r="A107" s="10">
        <v>1096</v>
      </c>
      <c r="B107" s="11" t="s">
        <v>627</v>
      </c>
      <c r="C107" s="10" t="s">
        <v>243</v>
      </c>
      <c r="D107" s="12" t="s">
        <v>11</v>
      </c>
      <c r="E107" s="10" t="s">
        <v>11</v>
      </c>
      <c r="F107" s="10" t="s">
        <v>14</v>
      </c>
      <c r="G107" s="10" t="s">
        <v>221</v>
      </c>
      <c r="H107" s="10" t="s">
        <v>14</v>
      </c>
      <c r="I107" s="10" t="s">
        <v>11</v>
      </c>
      <c r="J107" s="13">
        <v>192.54900000000001</v>
      </c>
      <c r="K107" s="19"/>
      <c r="L107" t="str">
        <f>VLOOKUP(A107,Formulas!A:B,2,FALSE)</f>
        <v>092717</v>
      </c>
      <c r="M107" s="32"/>
    </row>
    <row r="108" spans="1:13" ht="57.5" hidden="1" customHeight="1">
      <c r="A108" s="10">
        <v>1100</v>
      </c>
      <c r="B108" s="11" t="s">
        <v>937</v>
      </c>
      <c r="C108" s="10" t="s">
        <v>292</v>
      </c>
      <c r="D108" s="12" t="s">
        <v>11</v>
      </c>
      <c r="E108" s="10" t="s">
        <v>11</v>
      </c>
      <c r="F108" s="10" t="s">
        <v>87</v>
      </c>
      <c r="G108" s="10" t="s">
        <v>280</v>
      </c>
      <c r="H108" s="10" t="s">
        <v>222</v>
      </c>
      <c r="I108" s="10" t="s">
        <v>11</v>
      </c>
      <c r="J108" s="13">
        <v>320.54399999999998</v>
      </c>
      <c r="K108" s="19"/>
      <c r="L108" t="str">
        <f>VLOOKUP(A108,Formulas!A:B,2,FALSE)</f>
        <v>092724</v>
      </c>
      <c r="M108" s="32"/>
    </row>
    <row r="109" spans="1:13" ht="57.5" hidden="1" customHeight="1">
      <c r="A109" s="10">
        <v>1101</v>
      </c>
      <c r="B109" s="11" t="s">
        <v>628</v>
      </c>
      <c r="C109" s="10" t="s">
        <v>292</v>
      </c>
      <c r="D109" s="12" t="s">
        <v>11</v>
      </c>
      <c r="E109" s="10" t="s">
        <v>11</v>
      </c>
      <c r="F109" s="10" t="s">
        <v>87</v>
      </c>
      <c r="G109" s="10" t="s">
        <v>280</v>
      </c>
      <c r="H109" s="10" t="s">
        <v>222</v>
      </c>
      <c r="I109" s="10" t="s">
        <v>11</v>
      </c>
      <c r="J109" s="13">
        <v>267.12</v>
      </c>
      <c r="K109" s="19"/>
      <c r="L109" t="str">
        <f>VLOOKUP(A109,Formulas!A:B,2,FALSE)</f>
        <v>092725</v>
      </c>
      <c r="M109" s="32"/>
    </row>
    <row r="110" spans="1:13" ht="57.5" hidden="1" customHeight="1">
      <c r="A110" s="10">
        <v>1102</v>
      </c>
      <c r="B110" s="11" t="s">
        <v>629</v>
      </c>
      <c r="C110" s="10" t="s">
        <v>292</v>
      </c>
      <c r="D110" s="12" t="s">
        <v>11</v>
      </c>
      <c r="E110" s="10" t="s">
        <v>11</v>
      </c>
      <c r="F110" s="10" t="s">
        <v>87</v>
      </c>
      <c r="G110" s="10" t="s">
        <v>280</v>
      </c>
      <c r="H110" s="10" t="s">
        <v>222</v>
      </c>
      <c r="I110" s="10" t="s">
        <v>11</v>
      </c>
      <c r="J110" s="13">
        <v>320.54399999999998</v>
      </c>
      <c r="K110" s="19"/>
      <c r="L110" t="str">
        <f>VLOOKUP(A110,Formulas!A:B,2,FALSE)</f>
        <v>092726</v>
      </c>
      <c r="M110" s="32"/>
    </row>
    <row r="111" spans="1:13" ht="57.5" hidden="1" customHeight="1">
      <c r="A111" s="10">
        <v>1103</v>
      </c>
      <c r="B111" s="11" t="s">
        <v>630</v>
      </c>
      <c r="C111" s="10" t="s">
        <v>292</v>
      </c>
      <c r="D111" s="12" t="s">
        <v>11</v>
      </c>
      <c r="E111" s="10" t="s">
        <v>11</v>
      </c>
      <c r="F111" s="10" t="s">
        <v>87</v>
      </c>
      <c r="G111" s="10" t="s">
        <v>280</v>
      </c>
      <c r="H111" s="10" t="s">
        <v>222</v>
      </c>
      <c r="I111" s="10" t="s">
        <v>11</v>
      </c>
      <c r="J111" s="13">
        <v>267.12</v>
      </c>
      <c r="K111" s="19"/>
      <c r="L111" t="str">
        <f>VLOOKUP(A111,Formulas!A:B,2,FALSE)</f>
        <v>092727</v>
      </c>
      <c r="M111" s="32"/>
    </row>
    <row r="112" spans="1:13" ht="57.5" hidden="1" customHeight="1">
      <c r="A112" s="10">
        <v>1130</v>
      </c>
      <c r="B112" s="11" t="s">
        <v>631</v>
      </c>
      <c r="C112" s="10" t="s">
        <v>217</v>
      </c>
      <c r="D112" s="12" t="s">
        <v>11</v>
      </c>
      <c r="E112" s="10" t="s">
        <v>11</v>
      </c>
      <c r="F112" s="10" t="s">
        <v>288</v>
      </c>
      <c r="G112" s="10" t="s">
        <v>221</v>
      </c>
      <c r="H112" s="10" t="s">
        <v>14</v>
      </c>
      <c r="I112" s="10" t="s">
        <v>11</v>
      </c>
      <c r="J112" s="13">
        <v>127.995</v>
      </c>
      <c r="K112" s="19"/>
      <c r="L112" t="str">
        <f>VLOOKUP(A112,Formulas!A:B,2,FALSE)</f>
        <v>092750</v>
      </c>
      <c r="M112" s="32"/>
    </row>
    <row r="113" spans="1:13" ht="57.5" hidden="1" customHeight="1">
      <c r="A113" s="10">
        <v>1133</v>
      </c>
      <c r="B113" s="11" t="s">
        <v>632</v>
      </c>
      <c r="C113" s="10" t="s">
        <v>217</v>
      </c>
      <c r="D113" s="12" t="s">
        <v>11</v>
      </c>
      <c r="E113" s="10" t="s">
        <v>11</v>
      </c>
      <c r="F113" s="10" t="s">
        <v>288</v>
      </c>
      <c r="G113" s="10" t="s">
        <v>221</v>
      </c>
      <c r="H113" s="10" t="s">
        <v>14</v>
      </c>
      <c r="I113" s="10" t="s">
        <v>11</v>
      </c>
      <c r="J113" s="13">
        <v>153.59400000000002</v>
      </c>
      <c r="K113" s="19"/>
      <c r="L113" t="str">
        <f>VLOOKUP(A113,Formulas!A:B,2,FALSE)</f>
        <v>092753</v>
      </c>
      <c r="M113" s="32"/>
    </row>
    <row r="114" spans="1:13" ht="57.5" hidden="1" customHeight="1">
      <c r="A114" s="10">
        <v>1134</v>
      </c>
      <c r="B114" s="11" t="s">
        <v>938</v>
      </c>
      <c r="C114" s="10" t="s">
        <v>217</v>
      </c>
      <c r="D114" s="12" t="s">
        <v>11</v>
      </c>
      <c r="E114" s="10" t="s">
        <v>11</v>
      </c>
      <c r="F114" s="10" t="s">
        <v>288</v>
      </c>
      <c r="G114" s="10" t="s">
        <v>221</v>
      </c>
      <c r="H114" s="10" t="s">
        <v>14</v>
      </c>
      <c r="I114" s="10" t="s">
        <v>11</v>
      </c>
      <c r="J114" s="13">
        <v>153.59400000000002</v>
      </c>
      <c r="K114" s="19"/>
      <c r="L114" t="str">
        <f>VLOOKUP(A114,Formulas!A:B,2,FALSE)</f>
        <v>092754</v>
      </c>
      <c r="M114" s="32"/>
    </row>
    <row r="115" spans="1:13" ht="57.5" hidden="1" customHeight="1">
      <c r="A115" s="10">
        <v>1135</v>
      </c>
      <c r="B115" s="11" t="s">
        <v>633</v>
      </c>
      <c r="C115" s="10" t="s">
        <v>217</v>
      </c>
      <c r="D115" s="12" t="s">
        <v>11</v>
      </c>
      <c r="E115" s="10" t="s">
        <v>11</v>
      </c>
      <c r="F115" s="10" t="s">
        <v>288</v>
      </c>
      <c r="G115" s="10" t="s">
        <v>221</v>
      </c>
      <c r="H115" s="10" t="s">
        <v>14</v>
      </c>
      <c r="I115" s="10" t="s">
        <v>11</v>
      </c>
      <c r="J115" s="13">
        <v>127.995</v>
      </c>
      <c r="K115" s="19"/>
      <c r="L115" t="str">
        <f>VLOOKUP(A115,Formulas!A:B,2,FALSE)</f>
        <v>092755</v>
      </c>
      <c r="M115" s="32"/>
    </row>
    <row r="116" spans="1:13" ht="57.5" hidden="1" customHeight="1">
      <c r="A116" s="10">
        <v>1137</v>
      </c>
      <c r="B116" s="11" t="s">
        <v>634</v>
      </c>
      <c r="C116" s="10" t="s">
        <v>217</v>
      </c>
      <c r="D116" s="12" t="s">
        <v>11</v>
      </c>
      <c r="E116" s="10" t="s">
        <v>11</v>
      </c>
      <c r="F116" s="10" t="s">
        <v>288</v>
      </c>
      <c r="G116" s="10" t="s">
        <v>221</v>
      </c>
      <c r="H116" s="10" t="s">
        <v>14</v>
      </c>
      <c r="I116" s="10" t="s">
        <v>11</v>
      </c>
      <c r="J116" s="13">
        <v>127.995</v>
      </c>
      <c r="K116" s="19"/>
      <c r="L116" t="str">
        <f>VLOOKUP(A116,Formulas!A:B,2,FALSE)</f>
        <v>092757</v>
      </c>
      <c r="M116" s="32"/>
    </row>
    <row r="117" spans="1:13" ht="57.5" hidden="1" customHeight="1">
      <c r="A117" s="10">
        <v>1138</v>
      </c>
      <c r="B117" s="11" t="s">
        <v>635</v>
      </c>
      <c r="C117" s="10" t="s">
        <v>217</v>
      </c>
      <c r="D117" s="12" t="s">
        <v>11</v>
      </c>
      <c r="E117" s="10" t="s">
        <v>11</v>
      </c>
      <c r="F117" s="10" t="s">
        <v>288</v>
      </c>
      <c r="G117" s="10" t="s">
        <v>221</v>
      </c>
      <c r="H117" s="10" t="s">
        <v>14</v>
      </c>
      <c r="I117" s="10" t="s">
        <v>11</v>
      </c>
      <c r="J117" s="13">
        <v>153.59400000000002</v>
      </c>
      <c r="K117" s="19"/>
      <c r="L117" t="str">
        <f>VLOOKUP(A117,Formulas!A:B,2,FALSE)</f>
        <v>092758</v>
      </c>
      <c r="M117" s="32"/>
    </row>
    <row r="118" spans="1:13" ht="57.5" hidden="1" customHeight="1">
      <c r="A118" s="10">
        <v>1153</v>
      </c>
      <c r="B118" s="11" t="s">
        <v>939</v>
      </c>
      <c r="C118" s="10" t="s">
        <v>217</v>
      </c>
      <c r="D118" s="12" t="s">
        <v>11</v>
      </c>
      <c r="E118" s="10" t="s">
        <v>11</v>
      </c>
      <c r="F118" s="10" t="s">
        <v>365</v>
      </c>
      <c r="G118" s="10" t="s">
        <v>226</v>
      </c>
      <c r="H118" s="10" t="s">
        <v>14</v>
      </c>
      <c r="I118" s="10" t="s">
        <v>11</v>
      </c>
      <c r="J118" s="13">
        <v>97.498799999999989</v>
      </c>
      <c r="K118" s="19"/>
      <c r="L118" t="str">
        <f>VLOOKUP(A118,Formulas!A:B,2,FALSE)</f>
        <v>092763</v>
      </c>
      <c r="M118" s="32"/>
    </row>
    <row r="119" spans="1:13" ht="57.5" hidden="1" customHeight="1">
      <c r="A119" s="10">
        <v>1154</v>
      </c>
      <c r="B119" s="11" t="s">
        <v>636</v>
      </c>
      <c r="C119" s="10" t="s">
        <v>217</v>
      </c>
      <c r="D119" s="12" t="s">
        <v>11</v>
      </c>
      <c r="E119" s="10" t="s">
        <v>11</v>
      </c>
      <c r="F119" s="10" t="s">
        <v>365</v>
      </c>
      <c r="G119" s="10" t="s">
        <v>226</v>
      </c>
      <c r="H119" s="10" t="s">
        <v>14</v>
      </c>
      <c r="I119" s="10" t="s">
        <v>11</v>
      </c>
      <c r="J119" s="13">
        <v>81.249000000000009</v>
      </c>
      <c r="K119" s="19"/>
      <c r="L119" t="str">
        <f>VLOOKUP(A119,Formulas!A:B,2,FALSE)</f>
        <v>092764</v>
      </c>
      <c r="M119" s="32"/>
    </row>
    <row r="120" spans="1:13" ht="57.5" hidden="1" customHeight="1">
      <c r="A120" s="10">
        <v>1155</v>
      </c>
      <c r="B120" s="11" t="s">
        <v>637</v>
      </c>
      <c r="C120" s="10" t="s">
        <v>217</v>
      </c>
      <c r="D120" s="12" t="s">
        <v>11</v>
      </c>
      <c r="E120" s="10" t="s">
        <v>11</v>
      </c>
      <c r="F120" s="10" t="s">
        <v>365</v>
      </c>
      <c r="G120" s="10" t="s">
        <v>226</v>
      </c>
      <c r="H120" s="10" t="s">
        <v>14</v>
      </c>
      <c r="I120" s="10" t="s">
        <v>11</v>
      </c>
      <c r="J120" s="13">
        <v>97.498799999999989</v>
      </c>
      <c r="K120" s="19"/>
      <c r="L120" t="str">
        <f>VLOOKUP(A120,Formulas!A:B,2,FALSE)</f>
        <v>092765</v>
      </c>
      <c r="M120" s="32"/>
    </row>
    <row r="121" spans="1:13" ht="57.5" hidden="1" customHeight="1">
      <c r="A121" s="10">
        <v>1156</v>
      </c>
      <c r="B121" s="11" t="s">
        <v>638</v>
      </c>
      <c r="C121" s="10" t="s">
        <v>217</v>
      </c>
      <c r="D121" s="12" t="s">
        <v>11</v>
      </c>
      <c r="E121" s="10" t="s">
        <v>11</v>
      </c>
      <c r="F121" s="10" t="s">
        <v>365</v>
      </c>
      <c r="G121" s="10" t="s">
        <v>226</v>
      </c>
      <c r="H121" s="10" t="s">
        <v>14</v>
      </c>
      <c r="I121" s="10" t="s">
        <v>11</v>
      </c>
      <c r="J121" s="13">
        <v>81.249000000000009</v>
      </c>
      <c r="K121" s="19"/>
      <c r="L121" t="str">
        <f>VLOOKUP(A121,Formulas!A:B,2,FALSE)</f>
        <v>092766</v>
      </c>
      <c r="M121" s="32"/>
    </row>
    <row r="122" spans="1:13" ht="57.5" hidden="1" customHeight="1">
      <c r="A122" s="22">
        <v>1186</v>
      </c>
      <c r="B122" s="23" t="s">
        <v>896</v>
      </c>
      <c r="C122" s="10" t="s">
        <v>182</v>
      </c>
      <c r="D122" s="12" t="s">
        <v>11</v>
      </c>
      <c r="E122" s="10" t="s">
        <v>11</v>
      </c>
      <c r="F122" s="10" t="s">
        <v>208</v>
      </c>
      <c r="G122" s="22" t="s">
        <v>208</v>
      </c>
      <c r="H122" s="22" t="s">
        <v>208</v>
      </c>
      <c r="I122" s="10" t="s">
        <v>206</v>
      </c>
      <c r="J122" s="25">
        <v>109.51920000000001</v>
      </c>
      <c r="K122" s="19"/>
      <c r="L122" t="str">
        <f>VLOOKUP(A122,Formulas!A:B,2,FALSE)</f>
        <v>092437</v>
      </c>
      <c r="M122" s="32"/>
    </row>
    <row r="123" spans="1:13" ht="57.5" hidden="1" customHeight="1">
      <c r="A123" s="10">
        <v>1188</v>
      </c>
      <c r="B123" s="11" t="s">
        <v>545</v>
      </c>
      <c r="C123" s="10" t="s">
        <v>182</v>
      </c>
      <c r="D123" s="12" t="s">
        <v>11</v>
      </c>
      <c r="E123" s="10" t="s">
        <v>11</v>
      </c>
      <c r="F123" s="10" t="s">
        <v>208</v>
      </c>
      <c r="G123" s="22" t="s">
        <v>208</v>
      </c>
      <c r="H123" s="22" t="s">
        <v>208</v>
      </c>
      <c r="I123" s="10" t="s">
        <v>206</v>
      </c>
      <c r="J123" s="13">
        <v>91.266000000000005</v>
      </c>
      <c r="K123" s="19"/>
      <c r="L123" t="str">
        <f>VLOOKUP(A123,Formulas!A:B,2,FALSE)</f>
        <v>092438</v>
      </c>
      <c r="M123" s="32"/>
    </row>
    <row r="124" spans="1:13" ht="57.5" hidden="1" customHeight="1">
      <c r="A124" s="10">
        <v>1189</v>
      </c>
      <c r="B124" s="11" t="s">
        <v>543</v>
      </c>
      <c r="C124" s="10" t="s">
        <v>182</v>
      </c>
      <c r="D124" s="12" t="s">
        <v>11</v>
      </c>
      <c r="E124" s="10" t="s">
        <v>11</v>
      </c>
      <c r="F124" s="10" t="s">
        <v>208</v>
      </c>
      <c r="G124" s="22" t="s">
        <v>208</v>
      </c>
      <c r="H124" s="22" t="s">
        <v>208</v>
      </c>
      <c r="I124" s="10" t="s">
        <v>206</v>
      </c>
      <c r="J124" s="13">
        <v>91.266000000000005</v>
      </c>
      <c r="K124" s="19"/>
      <c r="L124" t="str">
        <f>VLOOKUP(A124,Formulas!A:B,2,FALSE)</f>
        <v>092429</v>
      </c>
      <c r="M124" s="32"/>
    </row>
    <row r="125" spans="1:13" ht="57.5" hidden="1" customHeight="1">
      <c r="A125" s="10">
        <v>1190</v>
      </c>
      <c r="B125" s="11" t="s">
        <v>546</v>
      </c>
      <c r="C125" s="10" t="s">
        <v>182</v>
      </c>
      <c r="D125" s="12" t="s">
        <v>11</v>
      </c>
      <c r="E125" s="10" t="s">
        <v>11</v>
      </c>
      <c r="F125" s="22" t="s">
        <v>208</v>
      </c>
      <c r="G125" s="10" t="s">
        <v>208</v>
      </c>
      <c r="H125" s="10" t="s">
        <v>208</v>
      </c>
      <c r="I125" s="10" t="s">
        <v>206</v>
      </c>
      <c r="J125" s="13">
        <v>109.51920000000001</v>
      </c>
      <c r="K125" s="19"/>
      <c r="L125" t="str">
        <f>VLOOKUP(A125,Formulas!A:B,2,FALSE)</f>
        <v>092439</v>
      </c>
      <c r="M125" s="32"/>
    </row>
    <row r="126" spans="1:13" ht="57.5" hidden="1" customHeight="1">
      <c r="A126" s="10">
        <v>1192</v>
      </c>
      <c r="B126" s="11" t="s">
        <v>547</v>
      </c>
      <c r="C126" s="10" t="s">
        <v>182</v>
      </c>
      <c r="D126" s="12" t="s">
        <v>11</v>
      </c>
      <c r="E126" s="10" t="s">
        <v>11</v>
      </c>
      <c r="F126" s="22" t="s">
        <v>208</v>
      </c>
      <c r="G126" s="10" t="s">
        <v>208</v>
      </c>
      <c r="H126" s="10" t="s">
        <v>208</v>
      </c>
      <c r="I126" s="10" t="s">
        <v>206</v>
      </c>
      <c r="J126" s="13">
        <v>91.266000000000005</v>
      </c>
      <c r="K126" s="19"/>
      <c r="L126" t="str">
        <f>VLOOKUP(A126,Formulas!A:B,2,FALSE)</f>
        <v>092440</v>
      </c>
      <c r="M126" s="32"/>
    </row>
    <row r="127" spans="1:13" ht="57.5" hidden="1" customHeight="1">
      <c r="A127" s="10">
        <v>1199</v>
      </c>
      <c r="B127" s="11" t="s">
        <v>897</v>
      </c>
      <c r="C127" s="10" t="s">
        <v>243</v>
      </c>
      <c r="D127" s="12" t="s">
        <v>11</v>
      </c>
      <c r="E127" s="10" t="s">
        <v>11</v>
      </c>
      <c r="F127" s="22" t="s">
        <v>96</v>
      </c>
      <c r="G127" s="10" t="s">
        <v>208</v>
      </c>
      <c r="H127" s="10" t="s">
        <v>270</v>
      </c>
      <c r="I127" s="10" t="s">
        <v>206</v>
      </c>
      <c r="J127" s="13">
        <v>320.54399999999998</v>
      </c>
      <c r="K127" s="19"/>
      <c r="L127" t="str">
        <f>VLOOKUP(A127,Formulas!A:B,2,FALSE)</f>
        <v>092449</v>
      </c>
      <c r="M127" s="32"/>
    </row>
    <row r="128" spans="1:13" ht="57.5" hidden="1" customHeight="1">
      <c r="A128" s="10">
        <v>1200</v>
      </c>
      <c r="B128" s="11" t="s">
        <v>548</v>
      </c>
      <c r="C128" s="10" t="s">
        <v>243</v>
      </c>
      <c r="D128" s="12" t="s">
        <v>11</v>
      </c>
      <c r="E128" s="10" t="s">
        <v>11</v>
      </c>
      <c r="F128" s="10" t="s">
        <v>96</v>
      </c>
      <c r="G128" s="10" t="s">
        <v>208</v>
      </c>
      <c r="H128" s="10" t="s">
        <v>270</v>
      </c>
      <c r="I128" s="10" t="s">
        <v>206</v>
      </c>
      <c r="J128" s="13">
        <v>267.12</v>
      </c>
      <c r="K128" s="19"/>
      <c r="L128" t="str">
        <f>VLOOKUP(A128,Formulas!A:B,2,FALSE)</f>
        <v>092450</v>
      </c>
      <c r="M128" s="32"/>
    </row>
    <row r="129" spans="1:13" ht="57.5" hidden="1" customHeight="1">
      <c r="A129" s="10">
        <v>1201</v>
      </c>
      <c r="B129" s="11" t="s">
        <v>549</v>
      </c>
      <c r="C129" s="10" t="s">
        <v>243</v>
      </c>
      <c r="D129" s="12" t="s">
        <v>11</v>
      </c>
      <c r="E129" s="10" t="s">
        <v>11</v>
      </c>
      <c r="F129" s="10" t="s">
        <v>96</v>
      </c>
      <c r="G129" s="10" t="s">
        <v>208</v>
      </c>
      <c r="H129" s="10" t="s">
        <v>270</v>
      </c>
      <c r="I129" s="10" t="s">
        <v>206</v>
      </c>
      <c r="J129" s="13">
        <v>320.54399999999998</v>
      </c>
      <c r="K129" s="19"/>
      <c r="L129" t="str">
        <f>VLOOKUP(A129,Formulas!A:B,2,FALSE)</f>
        <v>092451</v>
      </c>
      <c r="M129" s="32"/>
    </row>
    <row r="130" spans="1:13" ht="57.5" hidden="1" customHeight="1">
      <c r="A130" s="10">
        <v>1203</v>
      </c>
      <c r="B130" s="11" t="s">
        <v>550</v>
      </c>
      <c r="C130" s="10" t="s">
        <v>243</v>
      </c>
      <c r="D130" s="12" t="s">
        <v>11</v>
      </c>
      <c r="E130" s="10" t="s">
        <v>11</v>
      </c>
      <c r="F130" s="10" t="s">
        <v>96</v>
      </c>
      <c r="G130" s="10" t="s">
        <v>208</v>
      </c>
      <c r="H130" s="10" t="s">
        <v>270</v>
      </c>
      <c r="I130" s="10" t="s">
        <v>206</v>
      </c>
      <c r="J130" s="13">
        <v>267.12</v>
      </c>
      <c r="K130" s="19"/>
      <c r="L130" t="str">
        <f>VLOOKUP(A130,Formulas!A:B,2,FALSE)</f>
        <v>092453</v>
      </c>
      <c r="M130" s="32"/>
    </row>
    <row r="131" spans="1:13" ht="57.5" hidden="1" customHeight="1">
      <c r="A131" s="10">
        <v>1225</v>
      </c>
      <c r="B131" s="11" t="s">
        <v>639</v>
      </c>
      <c r="C131" s="10" t="s">
        <v>182</v>
      </c>
      <c r="D131" s="12" t="s">
        <v>11</v>
      </c>
      <c r="E131" s="10" t="s">
        <v>11</v>
      </c>
      <c r="F131" s="10" t="s">
        <v>95</v>
      </c>
      <c r="G131" s="10" t="s">
        <v>280</v>
      </c>
      <c r="H131" s="10" t="s">
        <v>13</v>
      </c>
      <c r="I131" s="10" t="s">
        <v>11</v>
      </c>
      <c r="J131" s="13">
        <v>121.31700000000001</v>
      </c>
      <c r="K131" s="19"/>
      <c r="L131" t="str">
        <f>VLOOKUP(A131,Formulas!A:B,2,FALSE)</f>
        <v>092777</v>
      </c>
      <c r="M131" s="32"/>
    </row>
    <row r="132" spans="1:13" ht="57.5" hidden="1" customHeight="1">
      <c r="A132" s="10">
        <v>1229</v>
      </c>
      <c r="B132" s="11" t="s">
        <v>640</v>
      </c>
      <c r="C132" s="10" t="s">
        <v>182</v>
      </c>
      <c r="D132" s="12" t="s">
        <v>11</v>
      </c>
      <c r="E132" s="10" t="s">
        <v>11</v>
      </c>
      <c r="F132" s="10" t="s">
        <v>95</v>
      </c>
      <c r="G132" s="10" t="s">
        <v>280</v>
      </c>
      <c r="H132" s="10" t="s">
        <v>13</v>
      </c>
      <c r="I132" s="10" t="s">
        <v>11</v>
      </c>
      <c r="J132" s="13">
        <v>121.31700000000001</v>
      </c>
      <c r="K132" s="14"/>
      <c r="L132" t="str">
        <f>VLOOKUP(A132,Formulas!A:B,2,FALSE)</f>
        <v>092780</v>
      </c>
      <c r="M132" s="32"/>
    </row>
    <row r="133" spans="1:13" ht="57.5" hidden="1" customHeight="1">
      <c r="A133" s="10">
        <v>1230</v>
      </c>
      <c r="B133" s="11" t="s">
        <v>641</v>
      </c>
      <c r="C133" s="10" t="s">
        <v>182</v>
      </c>
      <c r="D133" s="12" t="s">
        <v>11</v>
      </c>
      <c r="E133" s="10" t="s">
        <v>11</v>
      </c>
      <c r="F133" s="10" t="s">
        <v>95</v>
      </c>
      <c r="G133" s="10" t="s">
        <v>280</v>
      </c>
      <c r="H133" s="10" t="s">
        <v>13</v>
      </c>
      <c r="I133" s="10" t="s">
        <v>11</v>
      </c>
      <c r="J133" s="13">
        <v>145.5804</v>
      </c>
      <c r="K133" s="14"/>
      <c r="L133" t="str">
        <f>VLOOKUP(A133,Formulas!A:B,2,FALSE)</f>
        <v>092781</v>
      </c>
      <c r="M133" s="32"/>
    </row>
    <row r="134" spans="1:13" ht="57.5" hidden="1" customHeight="1">
      <c r="A134" s="10">
        <v>1231</v>
      </c>
      <c r="B134" s="11" t="s">
        <v>642</v>
      </c>
      <c r="C134" s="10" t="s">
        <v>182</v>
      </c>
      <c r="D134" s="12" t="s">
        <v>11</v>
      </c>
      <c r="E134" s="10" t="s">
        <v>11</v>
      </c>
      <c r="F134" s="10" t="s">
        <v>95</v>
      </c>
      <c r="G134" s="10" t="s">
        <v>280</v>
      </c>
      <c r="H134" s="10" t="s">
        <v>13</v>
      </c>
      <c r="I134" s="10" t="s">
        <v>11</v>
      </c>
      <c r="J134" s="13">
        <v>121.31700000000001</v>
      </c>
      <c r="K134" s="14"/>
      <c r="L134" t="str">
        <f>VLOOKUP(A134,Formulas!A:B,2,FALSE)</f>
        <v>092782</v>
      </c>
      <c r="M134" s="32"/>
    </row>
    <row r="135" spans="1:13" ht="57.5" hidden="1" customHeight="1">
      <c r="A135" s="10">
        <v>1233</v>
      </c>
      <c r="B135" s="11" t="s">
        <v>643</v>
      </c>
      <c r="C135" s="10" t="s">
        <v>182</v>
      </c>
      <c r="D135" s="12" t="s">
        <v>11</v>
      </c>
      <c r="E135" s="10" t="s">
        <v>11</v>
      </c>
      <c r="F135" s="10" t="s">
        <v>95</v>
      </c>
      <c r="G135" s="10" t="s">
        <v>280</v>
      </c>
      <c r="H135" s="10" t="s">
        <v>13</v>
      </c>
      <c r="I135" s="10" t="s">
        <v>11</v>
      </c>
      <c r="J135" s="13">
        <v>121.31700000000001</v>
      </c>
      <c r="K135" s="14"/>
      <c r="L135" t="str">
        <f>VLOOKUP(A135,Formulas!A:B,2,FALSE)</f>
        <v>092784</v>
      </c>
      <c r="M135" s="32"/>
    </row>
    <row r="136" spans="1:13" ht="57.5" hidden="1" customHeight="1">
      <c r="A136" s="10">
        <v>1255</v>
      </c>
      <c r="B136" s="11" t="s">
        <v>553</v>
      </c>
      <c r="C136" s="10" t="s">
        <v>497</v>
      </c>
      <c r="D136" s="12" t="s">
        <v>11</v>
      </c>
      <c r="E136" s="10" t="s">
        <v>11</v>
      </c>
      <c r="F136" s="10" t="s">
        <v>301</v>
      </c>
      <c r="G136" s="10" t="s">
        <v>208</v>
      </c>
      <c r="H136" s="10" t="s">
        <v>551</v>
      </c>
      <c r="I136" s="10" t="s">
        <v>291</v>
      </c>
      <c r="J136" s="13">
        <v>517.54500000000007</v>
      </c>
      <c r="K136" s="14"/>
      <c r="L136" t="str">
        <f>VLOOKUP(A136,Formulas!A:B,2,FALSE)</f>
        <v>092503</v>
      </c>
      <c r="M136" s="32"/>
    </row>
    <row r="137" spans="1:13" ht="57.5" hidden="1" customHeight="1">
      <c r="A137" s="10">
        <v>1257</v>
      </c>
      <c r="B137" s="11" t="s">
        <v>552</v>
      </c>
      <c r="C137" s="10" t="s">
        <v>497</v>
      </c>
      <c r="D137" s="12" t="s">
        <v>11</v>
      </c>
      <c r="E137" s="10" t="s">
        <v>11</v>
      </c>
      <c r="F137" s="10" t="s">
        <v>301</v>
      </c>
      <c r="G137" s="10" t="s">
        <v>208</v>
      </c>
      <c r="H137" s="10" t="s">
        <v>551</v>
      </c>
      <c r="I137" s="10" t="s">
        <v>291</v>
      </c>
      <c r="J137" s="13">
        <v>517.54500000000007</v>
      </c>
      <c r="K137" s="14"/>
      <c r="L137" t="str">
        <f>VLOOKUP(A137,Formulas!A:B,2,FALSE)</f>
        <v>092500</v>
      </c>
      <c r="M137" s="32"/>
    </row>
    <row r="138" spans="1:13" ht="57.5" hidden="1" customHeight="1">
      <c r="A138" s="10">
        <v>1258</v>
      </c>
      <c r="B138" s="11" t="s">
        <v>898</v>
      </c>
      <c r="C138" s="10" t="s">
        <v>497</v>
      </c>
      <c r="D138" s="12" t="s">
        <v>11</v>
      </c>
      <c r="E138" s="10" t="s">
        <v>11</v>
      </c>
      <c r="F138" s="10" t="s">
        <v>301</v>
      </c>
      <c r="G138" s="10" t="s">
        <v>208</v>
      </c>
      <c r="H138" s="10" t="s">
        <v>551</v>
      </c>
      <c r="I138" s="10" t="s">
        <v>291</v>
      </c>
      <c r="J138" s="13">
        <v>517.54500000000007</v>
      </c>
      <c r="K138" s="14"/>
      <c r="L138" t="str">
        <f>VLOOKUP(A138,Formulas!A:B,2,FALSE)</f>
        <v>092501</v>
      </c>
      <c r="M138" s="32"/>
    </row>
    <row r="139" spans="1:13" ht="57.5" hidden="1" customHeight="1">
      <c r="A139" s="10">
        <v>1260</v>
      </c>
      <c r="B139" s="11" t="s">
        <v>899</v>
      </c>
      <c r="C139" s="10" t="s">
        <v>497</v>
      </c>
      <c r="D139" s="12" t="s">
        <v>11</v>
      </c>
      <c r="E139" s="10" t="s">
        <v>11</v>
      </c>
      <c r="F139" s="10" t="s">
        <v>301</v>
      </c>
      <c r="G139" s="10" t="s">
        <v>208</v>
      </c>
      <c r="H139" s="10" t="s">
        <v>551</v>
      </c>
      <c r="I139" s="10" t="s">
        <v>291</v>
      </c>
      <c r="J139" s="13">
        <v>517.54500000000007</v>
      </c>
      <c r="K139" s="14"/>
      <c r="L139" t="str">
        <f>VLOOKUP(A139,Formulas!A:B,2,FALSE)</f>
        <v>092505</v>
      </c>
      <c r="M139" s="32"/>
    </row>
    <row r="140" spans="1:13" ht="57.5" hidden="1" customHeight="1">
      <c r="A140" s="10">
        <v>1273</v>
      </c>
      <c r="B140" s="11" t="s">
        <v>555</v>
      </c>
      <c r="C140" s="10" t="s">
        <v>292</v>
      </c>
      <c r="D140" s="12" t="s">
        <v>11</v>
      </c>
      <c r="E140" s="10" t="s">
        <v>11</v>
      </c>
      <c r="F140" s="10" t="s">
        <v>96</v>
      </c>
      <c r="G140" s="10" t="s">
        <v>208</v>
      </c>
      <c r="H140" s="10" t="s">
        <v>225</v>
      </c>
      <c r="I140" s="10" t="s">
        <v>206</v>
      </c>
      <c r="J140" s="13">
        <v>437.40899999999999</v>
      </c>
      <c r="K140" s="14"/>
      <c r="L140" t="str">
        <f>VLOOKUP(A140,Formulas!A:B,2,FALSE)</f>
        <v>092520</v>
      </c>
      <c r="M140" s="32"/>
    </row>
    <row r="141" spans="1:13" ht="57.5" hidden="1" customHeight="1">
      <c r="A141" s="10">
        <v>1276</v>
      </c>
      <c r="B141" s="11" t="s">
        <v>900</v>
      </c>
      <c r="C141" s="10" t="s">
        <v>292</v>
      </c>
      <c r="D141" s="12" t="s">
        <v>11</v>
      </c>
      <c r="E141" s="10" t="s">
        <v>11</v>
      </c>
      <c r="F141" s="10" t="s">
        <v>96</v>
      </c>
      <c r="G141" s="10" t="s">
        <v>208</v>
      </c>
      <c r="H141" s="10" t="s">
        <v>225</v>
      </c>
      <c r="I141" s="10" t="s">
        <v>206</v>
      </c>
      <c r="J141" s="13">
        <v>524.89080000000001</v>
      </c>
      <c r="K141" s="14"/>
      <c r="L141" t="str">
        <f>VLOOKUP(A141,Formulas!A:B,2,FALSE)</f>
        <v>092522</v>
      </c>
      <c r="M141" s="32"/>
    </row>
    <row r="142" spans="1:13" ht="57.5" hidden="1" customHeight="1">
      <c r="A142" s="10">
        <v>1277</v>
      </c>
      <c r="B142" s="11" t="s">
        <v>556</v>
      </c>
      <c r="C142" s="10" t="s">
        <v>292</v>
      </c>
      <c r="D142" s="12" t="s">
        <v>11</v>
      </c>
      <c r="E142" s="10" t="s">
        <v>11</v>
      </c>
      <c r="F142" s="10" t="s">
        <v>96</v>
      </c>
      <c r="G142" s="10" t="s">
        <v>208</v>
      </c>
      <c r="H142" s="10" t="s">
        <v>225</v>
      </c>
      <c r="I142" s="10" t="s">
        <v>206</v>
      </c>
      <c r="J142" s="13">
        <v>524.89080000000001</v>
      </c>
      <c r="K142" s="14"/>
      <c r="L142" t="str">
        <f>VLOOKUP(A142,Formulas!A:B,2,FALSE)</f>
        <v>092523</v>
      </c>
      <c r="M142" s="32"/>
    </row>
    <row r="143" spans="1:13" ht="57.5" hidden="1" customHeight="1">
      <c r="A143" s="10">
        <v>1280</v>
      </c>
      <c r="B143" s="11" t="s">
        <v>557</v>
      </c>
      <c r="C143" s="10" t="s">
        <v>292</v>
      </c>
      <c r="D143" s="12" t="s">
        <v>11</v>
      </c>
      <c r="E143" s="10" t="s">
        <v>11</v>
      </c>
      <c r="F143" s="10" t="s">
        <v>96</v>
      </c>
      <c r="G143" s="10" t="s">
        <v>208</v>
      </c>
      <c r="H143" s="10" t="s">
        <v>225</v>
      </c>
      <c r="I143" s="10" t="s">
        <v>206</v>
      </c>
      <c r="J143" s="13">
        <v>437.40899999999999</v>
      </c>
      <c r="K143" s="14"/>
      <c r="L143" t="str">
        <f>VLOOKUP(A143,Formulas!A:B,2,FALSE)</f>
        <v>092526</v>
      </c>
      <c r="M143" s="32"/>
    </row>
    <row r="144" spans="1:13" ht="57.5" hidden="1" customHeight="1">
      <c r="A144" s="10">
        <v>1282</v>
      </c>
      <c r="B144" s="11" t="s">
        <v>558</v>
      </c>
      <c r="C144" s="10" t="s">
        <v>303</v>
      </c>
      <c r="D144" s="12" t="s">
        <v>11</v>
      </c>
      <c r="E144" s="10" t="s">
        <v>11</v>
      </c>
      <c r="F144" s="10" t="s">
        <v>96</v>
      </c>
      <c r="G144" s="10" t="s">
        <v>208</v>
      </c>
      <c r="H144" s="10" t="s">
        <v>206</v>
      </c>
      <c r="I144" s="10" t="s">
        <v>206</v>
      </c>
      <c r="J144" s="13">
        <v>657.78300000000002</v>
      </c>
      <c r="K144" s="14"/>
      <c r="L144" t="str">
        <f>VLOOKUP(A144,Formulas!A:B,2,FALSE)</f>
        <v>092529</v>
      </c>
      <c r="M144" s="32"/>
    </row>
    <row r="145" spans="1:13" ht="57.5" hidden="1" customHeight="1">
      <c r="A145" s="10">
        <v>1288</v>
      </c>
      <c r="B145" s="11" t="s">
        <v>901</v>
      </c>
      <c r="C145" s="10" t="s">
        <v>303</v>
      </c>
      <c r="D145" s="12" t="s">
        <v>11</v>
      </c>
      <c r="E145" s="10" t="s">
        <v>11</v>
      </c>
      <c r="F145" s="10" t="s">
        <v>96</v>
      </c>
      <c r="G145" s="10" t="s">
        <v>208</v>
      </c>
      <c r="H145" s="10" t="s">
        <v>206</v>
      </c>
      <c r="I145" s="10" t="s">
        <v>206</v>
      </c>
      <c r="J145" s="13">
        <v>789.33960000000013</v>
      </c>
      <c r="K145" s="14"/>
      <c r="L145" t="str">
        <f>VLOOKUP(A145,Formulas!A:B,2,FALSE)</f>
        <v>092531</v>
      </c>
      <c r="M145" s="32"/>
    </row>
    <row r="146" spans="1:13" ht="57.5" hidden="1" customHeight="1">
      <c r="A146" s="10">
        <v>1289</v>
      </c>
      <c r="B146" s="11" t="s">
        <v>559</v>
      </c>
      <c r="C146" s="10" t="s">
        <v>303</v>
      </c>
      <c r="D146" s="12" t="s">
        <v>11</v>
      </c>
      <c r="E146" s="10" t="s">
        <v>11</v>
      </c>
      <c r="F146" s="10" t="s">
        <v>96</v>
      </c>
      <c r="G146" s="10" t="s">
        <v>208</v>
      </c>
      <c r="H146" s="10" t="s">
        <v>206</v>
      </c>
      <c r="I146" s="10" t="s">
        <v>206</v>
      </c>
      <c r="J146" s="13">
        <v>789.33960000000013</v>
      </c>
      <c r="K146" s="14"/>
      <c r="L146" t="str">
        <f>VLOOKUP(A146,Formulas!A:B,2,FALSE)</f>
        <v>092532</v>
      </c>
      <c r="M146" s="32"/>
    </row>
    <row r="147" spans="1:13" ht="57.5" hidden="1" customHeight="1">
      <c r="A147" s="10">
        <v>1290</v>
      </c>
      <c r="B147" s="11" t="s">
        <v>560</v>
      </c>
      <c r="C147" s="10" t="s">
        <v>303</v>
      </c>
      <c r="D147" s="12" t="s">
        <v>11</v>
      </c>
      <c r="E147" s="10" t="s">
        <v>11</v>
      </c>
      <c r="F147" s="10" t="s">
        <v>96</v>
      </c>
      <c r="G147" s="10" t="s">
        <v>208</v>
      </c>
      <c r="H147" s="10" t="s">
        <v>206</v>
      </c>
      <c r="I147" s="10" t="s">
        <v>206</v>
      </c>
      <c r="J147" s="13">
        <v>657.78300000000002</v>
      </c>
      <c r="K147" s="14"/>
      <c r="L147" t="str">
        <f>VLOOKUP(A147,Formulas!A:B,2,FALSE)</f>
        <v>092535</v>
      </c>
      <c r="M147" s="32"/>
    </row>
    <row r="148" spans="1:13" ht="57.5" hidden="1" customHeight="1">
      <c r="A148" s="10">
        <v>1299</v>
      </c>
      <c r="B148" s="11" t="s">
        <v>561</v>
      </c>
      <c r="C148" s="10" t="s">
        <v>562</v>
      </c>
      <c r="D148" s="12" t="s">
        <v>11</v>
      </c>
      <c r="E148" s="10" t="s">
        <v>11</v>
      </c>
      <c r="F148" s="10" t="s">
        <v>347</v>
      </c>
      <c r="G148" s="10" t="s">
        <v>226</v>
      </c>
      <c r="H148" s="10" t="s">
        <v>1557</v>
      </c>
      <c r="I148" s="10" t="s">
        <v>291</v>
      </c>
      <c r="J148" s="13">
        <v>622.16700000000003</v>
      </c>
      <c r="K148" s="14"/>
      <c r="L148" t="str">
        <f>VLOOKUP(A148,Formulas!A:B,2,FALSE)</f>
        <v>092538</v>
      </c>
      <c r="M148" s="32"/>
    </row>
    <row r="149" spans="1:13" ht="57.5" customHeight="1">
      <c r="A149" s="10">
        <v>1300</v>
      </c>
      <c r="B149" s="11" t="s">
        <v>855</v>
      </c>
      <c r="C149" s="10" t="s">
        <v>562</v>
      </c>
      <c r="D149" s="12" t="s">
        <v>11</v>
      </c>
      <c r="E149" s="10" t="s">
        <v>11</v>
      </c>
      <c r="F149" s="10" t="s">
        <v>347</v>
      </c>
      <c r="G149" s="10" t="s">
        <v>226</v>
      </c>
      <c r="H149" s="10" t="s">
        <v>1557</v>
      </c>
      <c r="I149" s="10" t="s">
        <v>291</v>
      </c>
      <c r="J149" s="13">
        <v>746.60039999999992</v>
      </c>
      <c r="K149" s="14"/>
      <c r="L149" t="e">
        <f>VLOOKUP(A149,Formulas!A:B,2,FALSE)</f>
        <v>#N/A</v>
      </c>
      <c r="M149" s="32"/>
    </row>
    <row r="150" spans="1:13" ht="57.5" hidden="1" customHeight="1">
      <c r="A150" s="10">
        <v>1301</v>
      </c>
      <c r="B150" s="11" t="s">
        <v>563</v>
      </c>
      <c r="C150" s="10" t="s">
        <v>562</v>
      </c>
      <c r="D150" s="12" t="s">
        <v>11</v>
      </c>
      <c r="E150" s="10" t="s">
        <v>11</v>
      </c>
      <c r="F150" s="10" t="s">
        <v>347</v>
      </c>
      <c r="G150" s="10" t="s">
        <v>226</v>
      </c>
      <c r="H150" s="10" t="s">
        <v>1557</v>
      </c>
      <c r="I150" s="10" t="s">
        <v>291</v>
      </c>
      <c r="J150" s="13">
        <v>622.16700000000003</v>
      </c>
      <c r="K150" s="14"/>
      <c r="L150" t="str">
        <f>VLOOKUP(A150,Formulas!A:B,2,FALSE)</f>
        <v>092539</v>
      </c>
      <c r="M150" s="32"/>
    </row>
    <row r="151" spans="1:13" ht="57.5" customHeight="1">
      <c r="A151" s="10">
        <v>1304</v>
      </c>
      <c r="B151" s="11" t="s">
        <v>902</v>
      </c>
      <c r="C151" s="10" t="s">
        <v>562</v>
      </c>
      <c r="D151" s="12" t="s">
        <v>11</v>
      </c>
      <c r="E151" s="10" t="s">
        <v>11</v>
      </c>
      <c r="F151" s="10" t="s">
        <v>347</v>
      </c>
      <c r="G151" s="10" t="s">
        <v>226</v>
      </c>
      <c r="H151" s="10" t="s">
        <v>1557</v>
      </c>
      <c r="I151" s="10" t="s">
        <v>291</v>
      </c>
      <c r="J151" s="13">
        <v>622.16700000000003</v>
      </c>
      <c r="K151" s="14"/>
      <c r="L151" t="e">
        <f>VLOOKUP(A151,Formulas!A:B,2,FALSE)</f>
        <v>#N/A</v>
      </c>
      <c r="M151" s="32"/>
    </row>
    <row r="152" spans="1:13" ht="57.5" hidden="1" customHeight="1">
      <c r="A152" s="10">
        <v>1307</v>
      </c>
      <c r="B152" s="11" t="s">
        <v>903</v>
      </c>
      <c r="C152" s="10" t="s">
        <v>562</v>
      </c>
      <c r="D152" s="12" t="s">
        <v>11</v>
      </c>
      <c r="E152" s="10" t="s">
        <v>11</v>
      </c>
      <c r="F152" s="10" t="s">
        <v>347</v>
      </c>
      <c r="G152" s="10" t="s">
        <v>226</v>
      </c>
      <c r="H152" s="10" t="s">
        <v>1557</v>
      </c>
      <c r="I152" s="10" t="s">
        <v>291</v>
      </c>
      <c r="J152" s="13">
        <v>746.60039999999992</v>
      </c>
      <c r="K152" s="14"/>
      <c r="L152" t="str">
        <f>VLOOKUP(A152,Formulas!A:B,2,FALSE)</f>
        <v>092545</v>
      </c>
      <c r="M152" s="32"/>
    </row>
    <row r="153" spans="1:13" ht="57.5" customHeight="1">
      <c r="A153" s="10">
        <v>1314</v>
      </c>
      <c r="B153" s="11" t="s">
        <v>904</v>
      </c>
      <c r="C153" s="10" t="s">
        <v>564</v>
      </c>
      <c r="D153" s="12" t="s">
        <v>11</v>
      </c>
      <c r="E153" s="10" t="s">
        <v>11</v>
      </c>
      <c r="F153" s="10" t="s">
        <v>301</v>
      </c>
      <c r="G153" s="10" t="s">
        <v>208</v>
      </c>
      <c r="H153" s="10" t="s">
        <v>311</v>
      </c>
      <c r="I153" s="10" t="s">
        <v>291</v>
      </c>
      <c r="J153" s="13">
        <v>824.0652</v>
      </c>
      <c r="K153" s="14"/>
      <c r="L153" t="e">
        <f>VLOOKUP(A153,Formulas!A:B,2,FALSE)</f>
        <v>#N/A</v>
      </c>
      <c r="M153" s="32"/>
    </row>
    <row r="154" spans="1:13" ht="57.5" customHeight="1">
      <c r="A154" s="10">
        <v>1315</v>
      </c>
      <c r="B154" s="11" t="s">
        <v>565</v>
      </c>
      <c r="C154" s="10" t="s">
        <v>564</v>
      </c>
      <c r="D154" s="12" t="s">
        <v>11</v>
      </c>
      <c r="E154" s="10" t="s">
        <v>11</v>
      </c>
      <c r="F154" s="10" t="s">
        <v>301</v>
      </c>
      <c r="G154" s="10" t="s">
        <v>208</v>
      </c>
      <c r="H154" s="10" t="s">
        <v>311</v>
      </c>
      <c r="I154" s="10" t="s">
        <v>291</v>
      </c>
      <c r="J154" s="13">
        <v>686.721</v>
      </c>
      <c r="K154" s="14"/>
      <c r="L154" t="e">
        <f>VLOOKUP(A154,Formulas!A:B,2,FALSE)</f>
        <v>#N/A</v>
      </c>
      <c r="M154" s="32"/>
    </row>
    <row r="155" spans="1:13" ht="57.5" customHeight="1">
      <c r="A155" s="10">
        <v>1316</v>
      </c>
      <c r="B155" s="11" t="s">
        <v>566</v>
      </c>
      <c r="C155" s="10" t="s">
        <v>564</v>
      </c>
      <c r="D155" s="12" t="s">
        <v>11</v>
      </c>
      <c r="E155" s="10" t="s">
        <v>11</v>
      </c>
      <c r="F155" s="10" t="s">
        <v>301</v>
      </c>
      <c r="G155" s="10" t="s">
        <v>208</v>
      </c>
      <c r="H155" s="10" t="s">
        <v>311</v>
      </c>
      <c r="I155" s="10" t="s">
        <v>291</v>
      </c>
      <c r="J155" s="13">
        <v>824.0652</v>
      </c>
      <c r="K155" s="14"/>
      <c r="L155" t="e">
        <f>VLOOKUP(A155,Formulas!A:B,2,FALSE)</f>
        <v>#N/A</v>
      </c>
      <c r="M155" s="32"/>
    </row>
    <row r="156" spans="1:13" ht="57.5" customHeight="1">
      <c r="A156" s="10">
        <v>1317</v>
      </c>
      <c r="B156" s="11" t="s">
        <v>567</v>
      </c>
      <c r="C156" s="10" t="s">
        <v>564</v>
      </c>
      <c r="D156" s="12" t="s">
        <v>11</v>
      </c>
      <c r="E156" s="10" t="s">
        <v>11</v>
      </c>
      <c r="F156" s="10" t="s">
        <v>301</v>
      </c>
      <c r="G156" s="10" t="s">
        <v>208</v>
      </c>
      <c r="H156" s="10" t="s">
        <v>311</v>
      </c>
      <c r="I156" s="10" t="s">
        <v>291</v>
      </c>
      <c r="J156" s="13">
        <v>686.721</v>
      </c>
      <c r="K156" s="14"/>
      <c r="L156" t="e">
        <f>VLOOKUP(A156,Formulas!A:B,2,FALSE)</f>
        <v>#N/A</v>
      </c>
      <c r="M156" s="32"/>
    </row>
    <row r="157" spans="1:13" ht="57.5" customHeight="1">
      <c r="A157" s="10">
        <v>1318</v>
      </c>
      <c r="B157" s="11" t="s">
        <v>905</v>
      </c>
      <c r="C157" s="10" t="s">
        <v>564</v>
      </c>
      <c r="D157" s="12" t="s">
        <v>11</v>
      </c>
      <c r="E157" s="10" t="s">
        <v>11</v>
      </c>
      <c r="F157" s="10" t="s">
        <v>301</v>
      </c>
      <c r="G157" s="10" t="s">
        <v>208</v>
      </c>
      <c r="H157" s="10" t="s">
        <v>311</v>
      </c>
      <c r="I157" s="10" t="s">
        <v>291</v>
      </c>
      <c r="J157" s="13">
        <v>686.721</v>
      </c>
      <c r="K157" s="14"/>
      <c r="L157" t="e">
        <f>VLOOKUP(A157,Formulas!A:B,2,FALSE)</f>
        <v>#N/A</v>
      </c>
      <c r="M157" s="32"/>
    </row>
    <row r="158" spans="1:13" ht="57.5" customHeight="1">
      <c r="A158" s="10">
        <v>1321</v>
      </c>
      <c r="B158" s="11" t="s">
        <v>906</v>
      </c>
      <c r="C158" s="10" t="s">
        <v>564</v>
      </c>
      <c r="D158" s="12" t="s">
        <v>11</v>
      </c>
      <c r="E158" s="10" t="s">
        <v>11</v>
      </c>
      <c r="F158" s="10" t="s">
        <v>301</v>
      </c>
      <c r="G158" s="10" t="s">
        <v>208</v>
      </c>
      <c r="H158" s="10" t="s">
        <v>311</v>
      </c>
      <c r="I158" s="10" t="s">
        <v>291</v>
      </c>
      <c r="J158" s="13">
        <v>686.721</v>
      </c>
      <c r="K158" s="14"/>
      <c r="L158" t="e">
        <f>VLOOKUP(A158,Formulas!A:B,2,FALSE)</f>
        <v>#N/A</v>
      </c>
      <c r="M158" s="32"/>
    </row>
    <row r="159" spans="1:13" ht="57.5" customHeight="1">
      <c r="A159" s="10">
        <v>1322</v>
      </c>
      <c r="B159" s="11" t="s">
        <v>568</v>
      </c>
      <c r="C159" s="10" t="s">
        <v>564</v>
      </c>
      <c r="D159" s="12" t="s">
        <v>11</v>
      </c>
      <c r="E159" s="10" t="s">
        <v>11</v>
      </c>
      <c r="F159" s="10" t="s">
        <v>301</v>
      </c>
      <c r="G159" s="10" t="s">
        <v>208</v>
      </c>
      <c r="H159" s="10" t="s">
        <v>311</v>
      </c>
      <c r="I159" s="10" t="s">
        <v>291</v>
      </c>
      <c r="J159" s="13">
        <v>686.721</v>
      </c>
      <c r="K159" s="14"/>
      <c r="L159" t="e">
        <f>VLOOKUP(A159,Formulas!A:B,2,FALSE)</f>
        <v>#N/A</v>
      </c>
      <c r="M159" s="32"/>
    </row>
    <row r="160" spans="1:13" ht="57.5" customHeight="1">
      <c r="A160" s="10">
        <v>1323</v>
      </c>
      <c r="B160" s="11" t="s">
        <v>569</v>
      </c>
      <c r="C160" s="10" t="s">
        <v>564</v>
      </c>
      <c r="D160" s="12" t="s">
        <v>11</v>
      </c>
      <c r="E160" s="10" t="s">
        <v>11</v>
      </c>
      <c r="F160" s="10" t="s">
        <v>301</v>
      </c>
      <c r="G160" s="10" t="s">
        <v>208</v>
      </c>
      <c r="H160" s="10" t="s">
        <v>311</v>
      </c>
      <c r="I160" s="10" t="s">
        <v>291</v>
      </c>
      <c r="J160" s="13">
        <v>686.721</v>
      </c>
      <c r="K160" s="14"/>
      <c r="L160" t="e">
        <f>VLOOKUP(A160,Formulas!A:B,2,FALSE)</f>
        <v>#N/A</v>
      </c>
      <c r="M160" s="32"/>
    </row>
    <row r="161" spans="1:13" ht="57.5" hidden="1" customHeight="1">
      <c r="A161" s="10">
        <v>1332</v>
      </c>
      <c r="B161" s="11" t="s">
        <v>570</v>
      </c>
      <c r="C161" s="10" t="s">
        <v>10</v>
      </c>
      <c r="D161" s="12" t="s">
        <v>460</v>
      </c>
      <c r="E161" s="10">
        <v>2850</v>
      </c>
      <c r="F161" s="10" t="s">
        <v>85</v>
      </c>
      <c r="G161" s="10" t="s">
        <v>226</v>
      </c>
      <c r="H161" s="10" t="s">
        <v>291</v>
      </c>
      <c r="I161" s="10" t="s">
        <v>206</v>
      </c>
      <c r="J161" s="13">
        <v>366.17700000000002</v>
      </c>
      <c r="K161" s="14"/>
      <c r="L161" t="str">
        <f>VLOOKUP(A161,Formulas!A:B,2,FALSE)</f>
        <v>092561</v>
      </c>
      <c r="M161" s="32"/>
    </row>
    <row r="162" spans="1:13" ht="57.5" hidden="1" customHeight="1">
      <c r="A162" s="22">
        <v>1333</v>
      </c>
      <c r="B162" s="23" t="s">
        <v>571</v>
      </c>
      <c r="C162" s="10" t="s">
        <v>10</v>
      </c>
      <c r="D162" s="24" t="s">
        <v>460</v>
      </c>
      <c r="E162" s="22">
        <v>2850</v>
      </c>
      <c r="F162" s="22" t="s">
        <v>85</v>
      </c>
      <c r="G162" s="22" t="s">
        <v>226</v>
      </c>
      <c r="H162" s="22" t="s">
        <v>291</v>
      </c>
      <c r="I162" s="10" t="s">
        <v>206</v>
      </c>
      <c r="J162" s="25">
        <v>366.17700000000002</v>
      </c>
      <c r="K162" s="19"/>
      <c r="L162" t="str">
        <f>VLOOKUP(A162,Formulas!A:B,2,FALSE)</f>
        <v>092562</v>
      </c>
      <c r="M162" s="32"/>
    </row>
    <row r="163" spans="1:13" ht="57.5" hidden="1" customHeight="1">
      <c r="A163" s="10">
        <v>1334</v>
      </c>
      <c r="B163" s="11" t="s">
        <v>574</v>
      </c>
      <c r="C163" s="10" t="s">
        <v>10</v>
      </c>
      <c r="D163" s="24" t="s">
        <v>460</v>
      </c>
      <c r="E163" s="22">
        <v>2850</v>
      </c>
      <c r="F163" s="22" t="s">
        <v>85</v>
      </c>
      <c r="G163" s="22" t="s">
        <v>226</v>
      </c>
      <c r="H163" s="22" t="s">
        <v>291</v>
      </c>
      <c r="I163" s="10" t="s">
        <v>206</v>
      </c>
      <c r="J163" s="13">
        <v>366.17700000000002</v>
      </c>
      <c r="K163" s="14"/>
      <c r="L163" t="str">
        <f>VLOOKUP(A163,Formulas!A:B,2,FALSE)</f>
        <v>092566</v>
      </c>
      <c r="M163" s="32"/>
    </row>
    <row r="164" spans="1:13" ht="57.5" hidden="1" customHeight="1">
      <c r="A164" s="10">
        <v>1340</v>
      </c>
      <c r="B164" s="11" t="s">
        <v>576</v>
      </c>
      <c r="C164" s="10" t="s">
        <v>10</v>
      </c>
      <c r="D164" s="24" t="s">
        <v>446</v>
      </c>
      <c r="E164" s="22">
        <v>1350</v>
      </c>
      <c r="F164" s="22" t="s">
        <v>85</v>
      </c>
      <c r="G164" s="22" t="s">
        <v>226</v>
      </c>
      <c r="H164" s="22" t="s">
        <v>577</v>
      </c>
      <c r="I164" s="10" t="s">
        <v>206</v>
      </c>
      <c r="J164" s="13">
        <v>263.78100000000001</v>
      </c>
      <c r="K164" s="14"/>
      <c r="L164" t="str">
        <f>VLOOKUP(A164,Formulas!A:B,2,FALSE)</f>
        <v>092577</v>
      </c>
      <c r="M164" s="32"/>
    </row>
    <row r="165" spans="1:13" ht="57.5" hidden="1" customHeight="1">
      <c r="A165" s="10">
        <v>1341</v>
      </c>
      <c r="B165" s="11" t="s">
        <v>581</v>
      </c>
      <c r="C165" s="10" t="s">
        <v>10</v>
      </c>
      <c r="D165" s="12" t="s">
        <v>446</v>
      </c>
      <c r="E165" s="10">
        <v>1350</v>
      </c>
      <c r="F165" s="10" t="s">
        <v>85</v>
      </c>
      <c r="G165" s="10" t="s">
        <v>226</v>
      </c>
      <c r="H165" s="10" t="s">
        <v>291</v>
      </c>
      <c r="I165" s="10" t="s">
        <v>206</v>
      </c>
      <c r="J165" s="13">
        <v>263.78100000000001</v>
      </c>
      <c r="K165" s="14"/>
      <c r="L165" t="str">
        <f>VLOOKUP(A165,Formulas!A:B,2,FALSE)</f>
        <v>092585</v>
      </c>
      <c r="M165" s="32"/>
    </row>
    <row r="166" spans="1:13" ht="57.5" hidden="1" customHeight="1">
      <c r="A166" s="10">
        <v>1343</v>
      </c>
      <c r="B166" s="11" t="s">
        <v>909</v>
      </c>
      <c r="C166" s="10" t="s">
        <v>10</v>
      </c>
      <c r="D166" s="12" t="s">
        <v>446</v>
      </c>
      <c r="E166" s="10">
        <v>1350</v>
      </c>
      <c r="F166" s="10" t="s">
        <v>85</v>
      </c>
      <c r="G166" s="10" t="s">
        <v>226</v>
      </c>
      <c r="H166" s="10" t="s">
        <v>291</v>
      </c>
      <c r="I166" s="10" t="s">
        <v>206</v>
      </c>
      <c r="J166" s="13">
        <v>263.78100000000001</v>
      </c>
      <c r="K166" s="14"/>
      <c r="L166" t="str">
        <f>VLOOKUP(A166,Formulas!A:B,2,FALSE)</f>
        <v>092587</v>
      </c>
      <c r="M166" s="32"/>
    </row>
    <row r="167" spans="1:13" ht="57.5" hidden="1" customHeight="1">
      <c r="A167" s="10">
        <v>1344</v>
      </c>
      <c r="B167" s="11" t="s">
        <v>578</v>
      </c>
      <c r="C167" s="10" t="s">
        <v>10</v>
      </c>
      <c r="D167" s="12" t="s">
        <v>446</v>
      </c>
      <c r="E167" s="10">
        <v>1350</v>
      </c>
      <c r="F167" s="10" t="s">
        <v>85</v>
      </c>
      <c r="G167" s="10" t="s">
        <v>226</v>
      </c>
      <c r="H167" s="10" t="s">
        <v>291</v>
      </c>
      <c r="I167" s="10" t="s">
        <v>206</v>
      </c>
      <c r="J167" s="13">
        <v>263.78100000000001</v>
      </c>
      <c r="K167" s="14"/>
      <c r="L167" t="str">
        <f>VLOOKUP(A167,Formulas!A:B,2,FALSE)</f>
        <v>092578</v>
      </c>
      <c r="M167" s="32"/>
    </row>
    <row r="168" spans="1:13" ht="57.5" hidden="1" customHeight="1">
      <c r="A168" s="10">
        <v>1345</v>
      </c>
      <c r="B168" s="11" t="s">
        <v>582</v>
      </c>
      <c r="C168" s="10" t="s">
        <v>10</v>
      </c>
      <c r="D168" s="24" t="s">
        <v>446</v>
      </c>
      <c r="E168" s="22">
        <v>1350</v>
      </c>
      <c r="F168" s="10" t="s">
        <v>85</v>
      </c>
      <c r="G168" s="10" t="s">
        <v>226</v>
      </c>
      <c r="H168" s="10" t="s">
        <v>291</v>
      </c>
      <c r="I168" s="10" t="s">
        <v>206</v>
      </c>
      <c r="J168" s="13">
        <v>263.78100000000001</v>
      </c>
      <c r="K168" s="14"/>
      <c r="L168" t="str">
        <f>VLOOKUP(A168,Formulas!A:B,2,FALSE)</f>
        <v>092588</v>
      </c>
      <c r="M168" s="32"/>
    </row>
    <row r="169" spans="1:13" ht="57.5" hidden="1" customHeight="1">
      <c r="A169" s="10">
        <v>1347</v>
      </c>
      <c r="B169" s="11" t="s">
        <v>910</v>
      </c>
      <c r="C169" s="10" t="s">
        <v>10</v>
      </c>
      <c r="D169" s="24" t="s">
        <v>446</v>
      </c>
      <c r="E169" s="22">
        <v>1350</v>
      </c>
      <c r="F169" s="10" t="s">
        <v>85</v>
      </c>
      <c r="G169" s="10" t="s">
        <v>226</v>
      </c>
      <c r="H169" s="10" t="s">
        <v>291</v>
      </c>
      <c r="I169" s="10" t="s">
        <v>206</v>
      </c>
      <c r="J169" s="13">
        <v>263.78100000000001</v>
      </c>
      <c r="K169" s="14"/>
      <c r="L169" t="str">
        <f>VLOOKUP(A169,Formulas!A:B,2,FALSE)</f>
        <v>092590</v>
      </c>
      <c r="M169" s="32"/>
    </row>
    <row r="170" spans="1:13" ht="57.5" customHeight="1">
      <c r="A170" s="10">
        <v>1348</v>
      </c>
      <c r="B170" s="11" t="s">
        <v>459</v>
      </c>
      <c r="C170" s="10" t="s">
        <v>10</v>
      </c>
      <c r="D170" s="24" t="s">
        <v>460</v>
      </c>
      <c r="E170" s="22">
        <v>2850</v>
      </c>
      <c r="F170" s="10" t="s">
        <v>92</v>
      </c>
      <c r="G170" s="10" t="s">
        <v>208</v>
      </c>
      <c r="H170" s="10" t="s">
        <v>461</v>
      </c>
      <c r="I170" s="10" t="s">
        <v>11</v>
      </c>
      <c r="J170" s="13">
        <v>363.95100000000002</v>
      </c>
      <c r="K170" s="14"/>
      <c r="L170" t="e">
        <f>VLOOKUP(A170,Formulas!A:B,2,FALSE)</f>
        <v>#N/A</v>
      </c>
      <c r="M170" s="32"/>
    </row>
    <row r="171" spans="1:13" ht="57.5" hidden="1" customHeight="1">
      <c r="A171" s="10">
        <v>1349</v>
      </c>
      <c r="B171" s="11" t="s">
        <v>453</v>
      </c>
      <c r="C171" s="10" t="s">
        <v>10</v>
      </c>
      <c r="D171" s="24" t="s">
        <v>446</v>
      </c>
      <c r="E171" s="22">
        <v>1350</v>
      </c>
      <c r="F171" s="10" t="s">
        <v>92</v>
      </c>
      <c r="G171" s="10" t="s">
        <v>208</v>
      </c>
      <c r="H171" s="10" t="s">
        <v>268</v>
      </c>
      <c r="I171" s="10" t="s">
        <v>11</v>
      </c>
      <c r="J171" s="13">
        <v>230.39100000000002</v>
      </c>
      <c r="K171" s="14"/>
      <c r="L171" t="str">
        <f>VLOOKUP(A171,Formulas!A:B,2,FALSE)</f>
        <v>092086</v>
      </c>
      <c r="M171" s="32"/>
    </row>
    <row r="172" spans="1:13" ht="57.5" hidden="1" customHeight="1">
      <c r="A172" s="10">
        <v>1350</v>
      </c>
      <c r="B172" s="11" t="s">
        <v>454</v>
      </c>
      <c r="C172" s="10" t="s">
        <v>10</v>
      </c>
      <c r="D172" s="24" t="s">
        <v>446</v>
      </c>
      <c r="E172" s="22">
        <v>1350</v>
      </c>
      <c r="F172" s="10" t="s">
        <v>92</v>
      </c>
      <c r="G172" s="10" t="s">
        <v>208</v>
      </c>
      <c r="H172" s="10" t="s">
        <v>268</v>
      </c>
      <c r="I172" s="10" t="s">
        <v>11</v>
      </c>
      <c r="J172" s="13">
        <v>230.39100000000002</v>
      </c>
      <c r="K172" s="14"/>
      <c r="L172" t="str">
        <f>VLOOKUP(A172,Formulas!A:B,2,FALSE)</f>
        <v>092087</v>
      </c>
      <c r="M172" s="32"/>
    </row>
    <row r="173" spans="1:13" ht="57.5" hidden="1" customHeight="1">
      <c r="A173" s="10">
        <v>1351</v>
      </c>
      <c r="B173" s="11" t="s">
        <v>455</v>
      </c>
      <c r="C173" s="10" t="s">
        <v>10</v>
      </c>
      <c r="D173" s="24" t="s">
        <v>446</v>
      </c>
      <c r="E173" s="22">
        <v>1350</v>
      </c>
      <c r="F173" s="10" t="s">
        <v>92</v>
      </c>
      <c r="G173" s="10" t="s">
        <v>208</v>
      </c>
      <c r="H173" s="10" t="s">
        <v>268</v>
      </c>
      <c r="I173" s="10" t="s">
        <v>11</v>
      </c>
      <c r="J173" s="13">
        <v>230.39100000000002</v>
      </c>
      <c r="K173" s="14"/>
      <c r="L173" t="str">
        <f>VLOOKUP(A173,Formulas!A:B,2,FALSE)</f>
        <v>092088</v>
      </c>
      <c r="M173" s="32"/>
    </row>
    <row r="174" spans="1:13" ht="57.5" hidden="1" customHeight="1">
      <c r="A174" s="10">
        <v>1361</v>
      </c>
      <c r="B174" s="11" t="s">
        <v>588</v>
      </c>
      <c r="C174" s="10" t="s">
        <v>10</v>
      </c>
      <c r="D174" s="24" t="s">
        <v>460</v>
      </c>
      <c r="E174" s="22">
        <v>2850</v>
      </c>
      <c r="F174" s="10" t="s">
        <v>85</v>
      </c>
      <c r="G174" s="10" t="s">
        <v>226</v>
      </c>
      <c r="H174" s="10" t="s">
        <v>291</v>
      </c>
      <c r="I174" s="10" t="s">
        <v>206</v>
      </c>
      <c r="J174" s="13">
        <v>366.17700000000002</v>
      </c>
      <c r="K174" s="14"/>
      <c r="L174" t="str">
        <f>VLOOKUP(A174,Formulas!A:B,2,FALSE)</f>
        <v>092596</v>
      </c>
      <c r="M174" s="32"/>
    </row>
    <row r="175" spans="1:13" ht="57.5" hidden="1" customHeight="1">
      <c r="A175" s="10">
        <v>1364</v>
      </c>
      <c r="B175" s="11" t="s">
        <v>586</v>
      </c>
      <c r="C175" s="10" t="s">
        <v>10</v>
      </c>
      <c r="D175" s="24" t="s">
        <v>460</v>
      </c>
      <c r="E175" s="22">
        <v>2850</v>
      </c>
      <c r="F175" s="10" t="s">
        <v>85</v>
      </c>
      <c r="G175" s="10" t="s">
        <v>226</v>
      </c>
      <c r="H175" s="10" t="s">
        <v>291</v>
      </c>
      <c r="I175" s="10" t="s">
        <v>206</v>
      </c>
      <c r="J175" s="13">
        <v>366.17700000000002</v>
      </c>
      <c r="K175" s="14"/>
      <c r="L175" t="str">
        <f>VLOOKUP(A175,Formulas!A:B,2,FALSE)</f>
        <v>092594</v>
      </c>
      <c r="M175" s="32"/>
    </row>
    <row r="176" spans="1:13" ht="57.5" hidden="1" customHeight="1">
      <c r="A176" s="10">
        <v>1365</v>
      </c>
      <c r="B176" s="11" t="s">
        <v>589</v>
      </c>
      <c r="C176" s="10" t="s">
        <v>10</v>
      </c>
      <c r="D176" s="24" t="s">
        <v>460</v>
      </c>
      <c r="E176" s="10">
        <v>2850</v>
      </c>
      <c r="F176" s="22" t="s">
        <v>85</v>
      </c>
      <c r="G176" s="10" t="s">
        <v>226</v>
      </c>
      <c r="H176" s="10" t="s">
        <v>291</v>
      </c>
      <c r="I176" s="10" t="s">
        <v>206</v>
      </c>
      <c r="J176" s="13">
        <v>366.17700000000002</v>
      </c>
      <c r="K176" s="14"/>
      <c r="L176" t="str">
        <f>VLOOKUP(A176,Formulas!A:B,2,FALSE)</f>
        <v>092597</v>
      </c>
      <c r="M176" s="32"/>
    </row>
    <row r="177" spans="1:13" ht="57.5" hidden="1" customHeight="1">
      <c r="A177" s="10">
        <v>1370</v>
      </c>
      <c r="B177" s="11" t="s">
        <v>646</v>
      </c>
      <c r="C177" s="10" t="s">
        <v>217</v>
      </c>
      <c r="D177" s="24" t="s">
        <v>11</v>
      </c>
      <c r="E177" s="10" t="s">
        <v>11</v>
      </c>
      <c r="F177" s="22" t="s">
        <v>645</v>
      </c>
      <c r="G177" s="10" t="s">
        <v>221</v>
      </c>
      <c r="H177" s="10" t="s">
        <v>13</v>
      </c>
      <c r="I177" s="10" t="s">
        <v>11</v>
      </c>
      <c r="J177" s="13">
        <v>222.60000000000002</v>
      </c>
      <c r="K177" s="14"/>
      <c r="L177" t="str">
        <f>VLOOKUP(A177,Formulas!A:B,2,FALSE)</f>
        <v>092792</v>
      </c>
      <c r="M177" s="32"/>
    </row>
    <row r="178" spans="1:13" ht="57.5" hidden="1" customHeight="1">
      <c r="A178" s="10">
        <v>1372</v>
      </c>
      <c r="B178" s="11" t="s">
        <v>647</v>
      </c>
      <c r="C178" s="10" t="s">
        <v>217</v>
      </c>
      <c r="D178" s="24" t="s">
        <v>11</v>
      </c>
      <c r="E178" s="10" t="s">
        <v>11</v>
      </c>
      <c r="F178" s="22" t="s">
        <v>645</v>
      </c>
      <c r="G178" s="10" t="s">
        <v>221</v>
      </c>
      <c r="H178" s="10" t="s">
        <v>13</v>
      </c>
      <c r="I178" s="10" t="s">
        <v>11</v>
      </c>
      <c r="J178" s="13">
        <v>222.60000000000002</v>
      </c>
      <c r="K178" s="14"/>
      <c r="L178" t="str">
        <f>VLOOKUP(A178,Formulas!A:B,2,FALSE)</f>
        <v>092794</v>
      </c>
      <c r="M178" s="32"/>
    </row>
    <row r="179" spans="1:13" ht="57.5" customHeight="1">
      <c r="A179" s="10">
        <v>1387</v>
      </c>
      <c r="B179" s="11" t="s">
        <v>791</v>
      </c>
      <c r="C179" s="10" t="s">
        <v>217</v>
      </c>
      <c r="D179" s="24" t="s">
        <v>11</v>
      </c>
      <c r="E179" s="10" t="s">
        <v>11</v>
      </c>
      <c r="F179" s="22" t="s">
        <v>96</v>
      </c>
      <c r="G179" s="10" t="s">
        <v>213</v>
      </c>
      <c r="H179" s="10" t="s">
        <v>301</v>
      </c>
      <c r="I179" s="10" t="s">
        <v>11</v>
      </c>
      <c r="J179" s="13">
        <v>129.5532</v>
      </c>
      <c r="K179" s="14"/>
      <c r="L179" t="e">
        <f>VLOOKUP(A179,Formulas!A:B,2,FALSE)</f>
        <v>#N/A</v>
      </c>
      <c r="M179" s="32"/>
    </row>
    <row r="180" spans="1:13" ht="57.5" hidden="1" customHeight="1">
      <c r="A180" s="10">
        <v>1388</v>
      </c>
      <c r="B180" s="11" t="s">
        <v>792</v>
      </c>
      <c r="C180" s="10" t="s">
        <v>217</v>
      </c>
      <c r="D180" s="24" t="s">
        <v>11</v>
      </c>
      <c r="E180" s="10" t="s">
        <v>11</v>
      </c>
      <c r="F180" s="22" t="s">
        <v>96</v>
      </c>
      <c r="G180" s="10" t="s">
        <v>213</v>
      </c>
      <c r="H180" s="10" t="s">
        <v>301</v>
      </c>
      <c r="I180" s="10" t="s">
        <v>11</v>
      </c>
      <c r="J180" s="13">
        <v>110.18700000000001</v>
      </c>
      <c r="K180" s="14"/>
      <c r="L180" t="str">
        <f>VLOOKUP(A180,Formulas!A:B,2,FALSE)</f>
        <v>092797</v>
      </c>
      <c r="M180" s="32"/>
    </row>
    <row r="181" spans="1:13" ht="57.5" hidden="1" customHeight="1">
      <c r="A181" s="22">
        <v>1390</v>
      </c>
      <c r="B181" s="23" t="s">
        <v>941</v>
      </c>
      <c r="C181" s="10" t="s">
        <v>217</v>
      </c>
      <c r="D181" s="24" t="s">
        <v>11</v>
      </c>
      <c r="E181" s="10" t="s">
        <v>11</v>
      </c>
      <c r="F181" s="22" t="s">
        <v>96</v>
      </c>
      <c r="G181" s="10" t="s">
        <v>213</v>
      </c>
      <c r="H181" s="10" t="s">
        <v>301</v>
      </c>
      <c r="I181" s="10" t="s">
        <v>11</v>
      </c>
      <c r="J181" s="25">
        <v>110.18700000000001</v>
      </c>
      <c r="K181" s="19"/>
      <c r="L181" t="str">
        <f>VLOOKUP(A181,Formulas!A:B,2,FALSE)</f>
        <v>092798</v>
      </c>
      <c r="M181" s="32"/>
    </row>
    <row r="182" spans="1:13" ht="57.5" hidden="1" customHeight="1">
      <c r="A182" s="10">
        <v>1391</v>
      </c>
      <c r="B182" s="11" t="s">
        <v>787</v>
      </c>
      <c r="C182" s="10" t="s">
        <v>217</v>
      </c>
      <c r="D182" s="24" t="s">
        <v>11</v>
      </c>
      <c r="E182" s="10" t="s">
        <v>11</v>
      </c>
      <c r="F182" s="10" t="s">
        <v>96</v>
      </c>
      <c r="G182" s="10" t="s">
        <v>213</v>
      </c>
      <c r="H182" s="10" t="s">
        <v>301</v>
      </c>
      <c r="I182" s="10" t="s">
        <v>11</v>
      </c>
      <c r="J182" s="13">
        <v>110.18700000000001</v>
      </c>
      <c r="K182" s="14"/>
      <c r="L182" t="str">
        <f>VLOOKUP(A182,Formulas!A:B,2,FALSE)</f>
        <v>092799</v>
      </c>
      <c r="M182" s="32"/>
    </row>
    <row r="183" spans="1:13" ht="57.5" hidden="1" customHeight="1">
      <c r="A183" s="10">
        <v>1398</v>
      </c>
      <c r="B183" s="11" t="s">
        <v>648</v>
      </c>
      <c r="C183" s="10" t="s">
        <v>182</v>
      </c>
      <c r="D183" s="24" t="s">
        <v>11</v>
      </c>
      <c r="E183" s="10" t="s">
        <v>11</v>
      </c>
      <c r="F183" s="10" t="s">
        <v>244</v>
      </c>
      <c r="G183" s="10" t="s">
        <v>229</v>
      </c>
      <c r="H183" s="10" t="s">
        <v>245</v>
      </c>
      <c r="I183" s="10" t="s">
        <v>11</v>
      </c>
      <c r="J183" s="13">
        <v>134.673</v>
      </c>
      <c r="K183" s="14"/>
      <c r="L183" t="str">
        <f>VLOOKUP(A183,Formulas!A:B,2,FALSE)</f>
        <v>092807</v>
      </c>
      <c r="M183" s="32"/>
    </row>
    <row r="184" spans="1:13" ht="57.5" hidden="1" customHeight="1">
      <c r="A184" s="10">
        <v>1399</v>
      </c>
      <c r="B184" s="11" t="s">
        <v>649</v>
      </c>
      <c r="C184" s="10" t="s">
        <v>182</v>
      </c>
      <c r="D184" s="24" t="s">
        <v>11</v>
      </c>
      <c r="E184" s="10" t="s">
        <v>11</v>
      </c>
      <c r="F184" s="10" t="s">
        <v>244</v>
      </c>
      <c r="G184" s="10" t="s">
        <v>229</v>
      </c>
      <c r="H184" s="10" t="s">
        <v>245</v>
      </c>
      <c r="I184" s="10" t="s">
        <v>11</v>
      </c>
      <c r="J184" s="13">
        <v>134.673</v>
      </c>
      <c r="K184" s="14"/>
      <c r="L184" t="str">
        <f>VLOOKUP(A184,Formulas!A:B,2,FALSE)</f>
        <v>092808</v>
      </c>
      <c r="M184" s="32"/>
    </row>
    <row r="185" spans="1:13" ht="57.5" hidden="1" customHeight="1">
      <c r="A185" s="10">
        <v>1400</v>
      </c>
      <c r="B185" s="11" t="s">
        <v>650</v>
      </c>
      <c r="C185" s="10" t="s">
        <v>182</v>
      </c>
      <c r="D185" s="24" t="s">
        <v>11</v>
      </c>
      <c r="E185" s="10" t="s">
        <v>11</v>
      </c>
      <c r="F185" s="10" t="s">
        <v>244</v>
      </c>
      <c r="G185" s="10" t="s">
        <v>229</v>
      </c>
      <c r="H185" s="10" t="s">
        <v>245</v>
      </c>
      <c r="I185" s="10" t="s">
        <v>11</v>
      </c>
      <c r="J185" s="13">
        <v>161.60759999999999</v>
      </c>
      <c r="K185" s="14"/>
      <c r="L185" t="str">
        <f>VLOOKUP(A185,Formulas!A:B,2,FALSE)</f>
        <v>092809</v>
      </c>
      <c r="M185" s="32"/>
    </row>
    <row r="186" spans="1:13" ht="57.5" hidden="1" customHeight="1">
      <c r="A186" s="10">
        <v>1401</v>
      </c>
      <c r="B186" s="11" t="s">
        <v>651</v>
      </c>
      <c r="C186" s="10" t="s">
        <v>182</v>
      </c>
      <c r="D186" s="24" t="s">
        <v>11</v>
      </c>
      <c r="E186" s="10" t="s">
        <v>11</v>
      </c>
      <c r="F186" s="10" t="s">
        <v>244</v>
      </c>
      <c r="G186" s="10" t="s">
        <v>229</v>
      </c>
      <c r="H186" s="10" t="s">
        <v>245</v>
      </c>
      <c r="I186" s="10" t="s">
        <v>11</v>
      </c>
      <c r="J186" s="13">
        <v>134.673</v>
      </c>
      <c r="K186" s="14"/>
      <c r="L186" t="str">
        <f>VLOOKUP(A186,Formulas!A:B,2,FALSE)</f>
        <v>092810</v>
      </c>
      <c r="M186" s="32"/>
    </row>
    <row r="187" spans="1:13" ht="57.5" hidden="1" customHeight="1">
      <c r="A187" s="10">
        <v>1402</v>
      </c>
      <c r="B187" s="11" t="s">
        <v>652</v>
      </c>
      <c r="C187" s="10" t="s">
        <v>182</v>
      </c>
      <c r="D187" s="24" t="s">
        <v>11</v>
      </c>
      <c r="E187" s="10" t="s">
        <v>11</v>
      </c>
      <c r="F187" s="10" t="s">
        <v>244</v>
      </c>
      <c r="G187" s="10" t="s">
        <v>229</v>
      </c>
      <c r="H187" s="10" t="s">
        <v>245</v>
      </c>
      <c r="I187" s="10" t="s">
        <v>11</v>
      </c>
      <c r="J187" s="13">
        <v>161.60759999999999</v>
      </c>
      <c r="K187" s="14"/>
      <c r="L187" t="str">
        <f>VLOOKUP(A187,Formulas!A:B,2,FALSE)</f>
        <v>092811</v>
      </c>
      <c r="M187" s="32"/>
    </row>
    <row r="188" spans="1:13" ht="57.5" hidden="1" customHeight="1">
      <c r="A188" s="10">
        <v>1406</v>
      </c>
      <c r="B188" s="11" t="s">
        <v>653</v>
      </c>
      <c r="C188" s="10" t="s">
        <v>182</v>
      </c>
      <c r="D188" s="24" t="s">
        <v>11</v>
      </c>
      <c r="E188" s="10" t="s">
        <v>11</v>
      </c>
      <c r="F188" s="10" t="s">
        <v>244</v>
      </c>
      <c r="G188" s="10" t="s">
        <v>229</v>
      </c>
      <c r="H188" s="10" t="s">
        <v>245</v>
      </c>
      <c r="I188" s="10" t="s">
        <v>11</v>
      </c>
      <c r="J188" s="13">
        <v>134.673</v>
      </c>
      <c r="K188" s="14"/>
      <c r="L188" t="str">
        <f>VLOOKUP(A188,Formulas!A:B,2,FALSE)</f>
        <v>092813</v>
      </c>
      <c r="M188" s="32"/>
    </row>
    <row r="189" spans="1:13" ht="57.5" customHeight="1">
      <c r="A189" s="10">
        <v>1408</v>
      </c>
      <c r="B189" s="11" t="s">
        <v>654</v>
      </c>
      <c r="C189" s="10" t="s">
        <v>217</v>
      </c>
      <c r="D189" s="24" t="s">
        <v>11</v>
      </c>
      <c r="E189" s="10" t="s">
        <v>11</v>
      </c>
      <c r="F189" s="10" t="s">
        <v>106</v>
      </c>
      <c r="G189" s="10" t="s">
        <v>245</v>
      </c>
      <c r="H189" s="10" t="s">
        <v>222</v>
      </c>
      <c r="I189" s="10" t="s">
        <v>11</v>
      </c>
      <c r="J189" s="13">
        <v>150.255</v>
      </c>
      <c r="K189" s="14"/>
      <c r="L189" t="e">
        <f>VLOOKUP(A189,Formulas!A:B,2,FALSE)</f>
        <v>#N/A</v>
      </c>
      <c r="M189" s="32"/>
    </row>
    <row r="190" spans="1:13" ht="57.5" hidden="1" customHeight="1">
      <c r="A190" s="10">
        <v>1411</v>
      </c>
      <c r="B190" s="11" t="s">
        <v>657</v>
      </c>
      <c r="C190" s="10" t="s">
        <v>217</v>
      </c>
      <c r="D190" s="24" t="s">
        <v>11</v>
      </c>
      <c r="E190" s="10" t="s">
        <v>11</v>
      </c>
      <c r="F190" s="10" t="s">
        <v>106</v>
      </c>
      <c r="G190" s="10" t="s">
        <v>245</v>
      </c>
      <c r="H190" s="10" t="s">
        <v>222</v>
      </c>
      <c r="I190" s="10" t="s">
        <v>11</v>
      </c>
      <c r="J190" s="13">
        <v>150.255</v>
      </c>
      <c r="K190" s="14"/>
      <c r="L190" t="str">
        <f>VLOOKUP(A190,Formulas!A:B,2,FALSE)</f>
        <v>092821</v>
      </c>
      <c r="M190" s="32"/>
    </row>
    <row r="191" spans="1:13" ht="57.5" hidden="1" customHeight="1">
      <c r="A191" s="10">
        <v>1412</v>
      </c>
      <c r="B191" s="11" t="s">
        <v>655</v>
      </c>
      <c r="C191" s="10" t="s">
        <v>217</v>
      </c>
      <c r="D191" s="24" t="s">
        <v>11</v>
      </c>
      <c r="E191" s="10" t="s">
        <v>11</v>
      </c>
      <c r="F191" s="10" t="s">
        <v>106</v>
      </c>
      <c r="G191" s="10" t="s">
        <v>245</v>
      </c>
      <c r="H191" s="10" t="s">
        <v>222</v>
      </c>
      <c r="I191" s="10" t="s">
        <v>11</v>
      </c>
      <c r="J191" s="13">
        <v>150.255</v>
      </c>
      <c r="K191" s="14"/>
      <c r="L191" t="str">
        <f>VLOOKUP(A191,Formulas!A:B,2,FALSE)</f>
        <v>092818</v>
      </c>
      <c r="M191" s="32"/>
    </row>
    <row r="192" spans="1:13" ht="57.5" hidden="1" customHeight="1">
      <c r="A192" s="10">
        <v>1413</v>
      </c>
      <c r="B192" s="11" t="s">
        <v>944</v>
      </c>
      <c r="C192" s="10" t="s">
        <v>217</v>
      </c>
      <c r="D192" s="24" t="s">
        <v>11</v>
      </c>
      <c r="E192" s="10" t="s">
        <v>11</v>
      </c>
      <c r="F192" s="10" t="s">
        <v>106</v>
      </c>
      <c r="G192" s="10" t="s">
        <v>245</v>
      </c>
      <c r="H192" s="10" t="s">
        <v>222</v>
      </c>
      <c r="I192" s="10" t="s">
        <v>11</v>
      </c>
      <c r="J192" s="13">
        <v>150.255</v>
      </c>
      <c r="K192" s="14"/>
      <c r="L192" t="str">
        <f>VLOOKUP(A192,Formulas!A:B,2,FALSE)</f>
        <v>092819</v>
      </c>
      <c r="M192" s="32"/>
    </row>
    <row r="193" spans="1:13" ht="57.5" hidden="1" customHeight="1">
      <c r="A193" s="10">
        <v>1415</v>
      </c>
      <c r="B193" s="11" t="s">
        <v>945</v>
      </c>
      <c r="C193" s="10" t="s">
        <v>217</v>
      </c>
      <c r="D193" s="24" t="s">
        <v>11</v>
      </c>
      <c r="E193" s="10" t="s">
        <v>11</v>
      </c>
      <c r="F193" s="10" t="s">
        <v>106</v>
      </c>
      <c r="G193" s="10" t="s">
        <v>245</v>
      </c>
      <c r="H193" s="10" t="s">
        <v>222</v>
      </c>
      <c r="I193" s="10" t="s">
        <v>11</v>
      </c>
      <c r="J193" s="13">
        <v>150.255</v>
      </c>
      <c r="K193" s="14"/>
      <c r="L193" t="str">
        <f>VLOOKUP(A193,Formulas!A:B,2,FALSE)</f>
        <v>092823</v>
      </c>
      <c r="M193" s="32"/>
    </row>
    <row r="194" spans="1:13" ht="57.5" hidden="1" customHeight="1">
      <c r="A194" s="10">
        <v>1430</v>
      </c>
      <c r="B194" s="11" t="s">
        <v>659</v>
      </c>
      <c r="C194" s="10" t="s">
        <v>10</v>
      </c>
      <c r="D194" s="12" t="s">
        <v>852</v>
      </c>
      <c r="E194" s="12">
        <v>975</v>
      </c>
      <c r="F194" s="10" t="s">
        <v>87</v>
      </c>
      <c r="G194" s="10" t="s">
        <v>203</v>
      </c>
      <c r="H194" s="10" t="s">
        <v>90</v>
      </c>
      <c r="I194" s="10" t="s">
        <v>11</v>
      </c>
      <c r="J194" s="13">
        <v>143.577</v>
      </c>
      <c r="K194" s="14"/>
      <c r="L194" t="str">
        <f>VLOOKUP(A194,Formulas!A:B,2,FALSE)</f>
        <v>092861</v>
      </c>
      <c r="M194" s="32"/>
    </row>
    <row r="195" spans="1:13" ht="57.5" hidden="1" customHeight="1">
      <c r="A195" s="10">
        <v>1431</v>
      </c>
      <c r="B195" s="11" t="s">
        <v>660</v>
      </c>
      <c r="C195" s="10" t="s">
        <v>10</v>
      </c>
      <c r="D195" s="12" t="s">
        <v>852</v>
      </c>
      <c r="E195" s="10">
        <v>975</v>
      </c>
      <c r="F195" s="10" t="s">
        <v>87</v>
      </c>
      <c r="G195" s="10" t="s">
        <v>203</v>
      </c>
      <c r="H195" s="10" t="s">
        <v>90</v>
      </c>
      <c r="I195" s="10" t="s">
        <v>11</v>
      </c>
      <c r="J195" s="13">
        <v>143.577</v>
      </c>
      <c r="K195" s="14"/>
      <c r="L195" t="str">
        <f>VLOOKUP(A195,Formulas!A:B,2,FALSE)</f>
        <v>092862</v>
      </c>
      <c r="M195" s="32"/>
    </row>
    <row r="196" spans="1:13" ht="57.5" hidden="1" customHeight="1">
      <c r="A196" s="10">
        <v>1433</v>
      </c>
      <c r="B196" s="11" t="s">
        <v>467</v>
      </c>
      <c r="C196" s="10" t="s">
        <v>10</v>
      </c>
      <c r="D196" s="12" t="s">
        <v>468</v>
      </c>
      <c r="E196" s="10">
        <v>1650</v>
      </c>
      <c r="F196" s="10" t="s">
        <v>92</v>
      </c>
      <c r="G196" s="10" t="s">
        <v>13</v>
      </c>
      <c r="H196" s="10" t="s">
        <v>13</v>
      </c>
      <c r="I196" s="10" t="s">
        <v>11</v>
      </c>
      <c r="J196" s="13">
        <v>238.18199999999999</v>
      </c>
      <c r="K196" s="14"/>
      <c r="L196" t="str">
        <f>VLOOKUP(A196,Formulas!A:B,2,FALSE)</f>
        <v>092102</v>
      </c>
      <c r="M196" s="32"/>
    </row>
    <row r="197" spans="1:13" ht="57.5" hidden="1" customHeight="1">
      <c r="A197" s="10">
        <v>1434</v>
      </c>
      <c r="B197" s="11" t="s">
        <v>469</v>
      </c>
      <c r="C197" s="10" t="s">
        <v>10</v>
      </c>
      <c r="D197" s="12" t="s">
        <v>468</v>
      </c>
      <c r="E197" s="10">
        <v>1650</v>
      </c>
      <c r="F197" s="10" t="s">
        <v>92</v>
      </c>
      <c r="G197" s="10" t="s">
        <v>13</v>
      </c>
      <c r="H197" s="10" t="s">
        <v>13</v>
      </c>
      <c r="I197" s="10" t="s">
        <v>11</v>
      </c>
      <c r="J197" s="13">
        <v>238.18199999999999</v>
      </c>
      <c r="K197" s="14"/>
      <c r="L197" t="str">
        <f>VLOOKUP(A197,Formulas!A:B,2,FALSE)</f>
        <v>092103</v>
      </c>
      <c r="M197" s="32"/>
    </row>
    <row r="198" spans="1:13" ht="57.5" hidden="1" customHeight="1">
      <c r="A198" s="10">
        <v>1435</v>
      </c>
      <c r="B198" s="11" t="s">
        <v>471</v>
      </c>
      <c r="C198" s="10" t="s">
        <v>10</v>
      </c>
      <c r="D198" s="12" t="s">
        <v>468</v>
      </c>
      <c r="E198" s="10">
        <v>1650</v>
      </c>
      <c r="F198" s="10" t="s">
        <v>92</v>
      </c>
      <c r="G198" s="10" t="s">
        <v>13</v>
      </c>
      <c r="H198" s="10" t="s">
        <v>13</v>
      </c>
      <c r="I198" s="10" t="s">
        <v>11</v>
      </c>
      <c r="J198" s="13">
        <v>238.18199999999999</v>
      </c>
      <c r="K198" s="14"/>
      <c r="L198" t="str">
        <f>VLOOKUP(A198,Formulas!A:B,2,FALSE)</f>
        <v>092107</v>
      </c>
      <c r="M198" s="32"/>
    </row>
    <row r="199" spans="1:13" ht="57.5" hidden="1" customHeight="1">
      <c r="A199" s="10">
        <v>1437</v>
      </c>
      <c r="B199" s="11" t="s">
        <v>478</v>
      </c>
      <c r="C199" s="10" t="s">
        <v>10</v>
      </c>
      <c r="D199" s="12" t="s">
        <v>475</v>
      </c>
      <c r="E199" s="10">
        <v>3000</v>
      </c>
      <c r="F199" s="10" t="s">
        <v>92</v>
      </c>
      <c r="G199" s="10" t="s">
        <v>94</v>
      </c>
      <c r="H199" s="10" t="s">
        <v>94</v>
      </c>
      <c r="I199" s="10" t="s">
        <v>11</v>
      </c>
      <c r="J199" s="13">
        <v>400.68</v>
      </c>
      <c r="K199" s="14"/>
      <c r="L199" t="str">
        <f>VLOOKUP(A199,Formulas!A:B,2,FALSE)</f>
        <v>092114</v>
      </c>
      <c r="M199" s="32"/>
    </row>
    <row r="200" spans="1:13" ht="57.5" hidden="1" customHeight="1">
      <c r="A200" s="22">
        <v>1438</v>
      </c>
      <c r="B200" s="23" t="s">
        <v>474</v>
      </c>
      <c r="C200" s="10" t="s">
        <v>10</v>
      </c>
      <c r="D200" s="12" t="s">
        <v>475</v>
      </c>
      <c r="E200" s="10">
        <v>3000</v>
      </c>
      <c r="F200" s="22" t="s">
        <v>92</v>
      </c>
      <c r="G200" s="10" t="s">
        <v>94</v>
      </c>
      <c r="H200" s="22" t="s">
        <v>94</v>
      </c>
      <c r="I200" s="10" t="s">
        <v>11</v>
      </c>
      <c r="J200" s="25">
        <v>400.68</v>
      </c>
      <c r="K200" s="19"/>
      <c r="L200" t="str">
        <f>VLOOKUP(A200,Formulas!A:B,2,FALSE)</f>
        <v>092110</v>
      </c>
      <c r="M200" s="32"/>
    </row>
    <row r="201" spans="1:13" ht="57.5" hidden="1" customHeight="1">
      <c r="A201" s="10">
        <v>1439</v>
      </c>
      <c r="B201" s="11" t="s">
        <v>476</v>
      </c>
      <c r="C201" s="10" t="s">
        <v>10</v>
      </c>
      <c r="D201" s="12" t="s">
        <v>475</v>
      </c>
      <c r="E201" s="10">
        <v>3000</v>
      </c>
      <c r="F201" s="22" t="s">
        <v>92</v>
      </c>
      <c r="G201" s="10" t="s">
        <v>94</v>
      </c>
      <c r="H201" s="22" t="s">
        <v>94</v>
      </c>
      <c r="I201" s="10" t="s">
        <v>11</v>
      </c>
      <c r="J201" s="13">
        <v>400.68</v>
      </c>
      <c r="K201" s="14"/>
      <c r="L201" t="str">
        <f>VLOOKUP(A201,Formulas!A:B,2,FALSE)</f>
        <v>092111</v>
      </c>
      <c r="M201" s="32"/>
    </row>
    <row r="202" spans="1:13" ht="57.5" hidden="1" customHeight="1">
      <c r="A202" s="10">
        <v>1440</v>
      </c>
      <c r="B202" s="11" t="s">
        <v>479</v>
      </c>
      <c r="C202" s="10" t="s">
        <v>10</v>
      </c>
      <c r="D202" s="12" t="s">
        <v>475</v>
      </c>
      <c r="E202" s="10">
        <v>3000</v>
      </c>
      <c r="F202" s="22" t="s">
        <v>92</v>
      </c>
      <c r="G202" s="10" t="s">
        <v>94</v>
      </c>
      <c r="H202" s="22" t="s">
        <v>94</v>
      </c>
      <c r="I202" s="10" t="s">
        <v>11</v>
      </c>
      <c r="J202" s="13">
        <v>400.68</v>
      </c>
      <c r="K202" s="14"/>
      <c r="L202" t="str">
        <f>VLOOKUP(A202,Formulas!A:B,2,FALSE)</f>
        <v>092115</v>
      </c>
      <c r="M202" s="32"/>
    </row>
    <row r="203" spans="1:13" ht="57.5" hidden="1" customHeight="1">
      <c r="A203" s="10">
        <v>1441</v>
      </c>
      <c r="B203" s="11" t="s">
        <v>481</v>
      </c>
      <c r="C203" s="10" t="s">
        <v>10</v>
      </c>
      <c r="D203" s="12" t="s">
        <v>482</v>
      </c>
      <c r="E203" s="10">
        <v>3375</v>
      </c>
      <c r="F203" s="10" t="s">
        <v>92</v>
      </c>
      <c r="G203" s="10" t="s">
        <v>392</v>
      </c>
      <c r="H203" s="22" t="s">
        <v>392</v>
      </c>
      <c r="I203" s="10" t="s">
        <v>11</v>
      </c>
      <c r="J203" s="13">
        <v>463.00800000000004</v>
      </c>
      <c r="K203" s="14"/>
      <c r="L203" t="str">
        <f>VLOOKUP(A203,Formulas!A:B,2,FALSE)</f>
        <v>092118</v>
      </c>
      <c r="M203" s="32"/>
    </row>
    <row r="204" spans="1:13" ht="57.5" hidden="1" customHeight="1">
      <c r="A204" s="10">
        <v>1443</v>
      </c>
      <c r="B204" s="11" t="s">
        <v>483</v>
      </c>
      <c r="C204" s="10" t="s">
        <v>10</v>
      </c>
      <c r="D204" s="12" t="s">
        <v>482</v>
      </c>
      <c r="E204" s="10">
        <v>3375</v>
      </c>
      <c r="F204" s="10" t="s">
        <v>92</v>
      </c>
      <c r="G204" s="10" t="s">
        <v>392</v>
      </c>
      <c r="H204" s="22" t="s">
        <v>392</v>
      </c>
      <c r="I204" s="10" t="s">
        <v>11</v>
      </c>
      <c r="J204" s="13">
        <v>463.00800000000004</v>
      </c>
      <c r="K204" s="14"/>
      <c r="L204" t="str">
        <f>VLOOKUP(A204,Formulas!A:B,2,FALSE)</f>
        <v>092119</v>
      </c>
      <c r="M204" s="32"/>
    </row>
    <row r="205" spans="1:13" ht="57.5" hidden="1" customHeight="1">
      <c r="A205" s="10">
        <v>1444</v>
      </c>
      <c r="B205" s="11" t="s">
        <v>486</v>
      </c>
      <c r="C205" s="10" t="s">
        <v>10</v>
      </c>
      <c r="D205" s="12" t="s">
        <v>482</v>
      </c>
      <c r="E205" s="10">
        <v>3375</v>
      </c>
      <c r="F205" s="10" t="s">
        <v>92</v>
      </c>
      <c r="G205" s="10" t="s">
        <v>94</v>
      </c>
      <c r="H205" s="22" t="s">
        <v>94</v>
      </c>
      <c r="I205" s="10" t="s">
        <v>11</v>
      </c>
      <c r="J205" s="13">
        <v>463.00800000000004</v>
      </c>
      <c r="K205" s="14"/>
      <c r="L205" t="str">
        <f>VLOOKUP(A205,Formulas!A:B,2,FALSE)</f>
        <v>092123</v>
      </c>
      <c r="M205" s="32"/>
    </row>
    <row r="206" spans="1:13" ht="57.5" hidden="1" customHeight="1">
      <c r="A206" s="10">
        <v>1445</v>
      </c>
      <c r="B206" s="11" t="s">
        <v>484</v>
      </c>
      <c r="C206" s="10" t="s">
        <v>10</v>
      </c>
      <c r="D206" s="12" t="s">
        <v>482</v>
      </c>
      <c r="E206" s="10">
        <v>3375</v>
      </c>
      <c r="F206" s="10" t="s">
        <v>92</v>
      </c>
      <c r="G206" s="10" t="s">
        <v>392</v>
      </c>
      <c r="H206" s="10" t="s">
        <v>392</v>
      </c>
      <c r="I206" s="10" t="s">
        <v>11</v>
      </c>
      <c r="J206" s="13">
        <v>463.00800000000004</v>
      </c>
      <c r="K206" s="14"/>
      <c r="L206" t="str">
        <f>VLOOKUP(A206,Formulas!A:B,2,FALSE)</f>
        <v>092121</v>
      </c>
      <c r="M206" s="32"/>
    </row>
    <row r="207" spans="1:13" ht="57.5" hidden="1" customHeight="1">
      <c r="A207" s="10">
        <v>1446</v>
      </c>
      <c r="B207" s="11" t="s">
        <v>485</v>
      </c>
      <c r="C207" s="10" t="s">
        <v>10</v>
      </c>
      <c r="D207" s="12" t="s">
        <v>482</v>
      </c>
      <c r="E207" s="10">
        <v>3375</v>
      </c>
      <c r="F207" s="10" t="s">
        <v>92</v>
      </c>
      <c r="G207" s="10" t="s">
        <v>392</v>
      </c>
      <c r="H207" s="10" t="s">
        <v>392</v>
      </c>
      <c r="I207" s="10" t="s">
        <v>11</v>
      </c>
      <c r="J207" s="13">
        <v>463.00800000000004</v>
      </c>
      <c r="K207" s="14"/>
      <c r="L207" t="str">
        <f>VLOOKUP(A207,Formulas!A:B,2,FALSE)</f>
        <v>092122</v>
      </c>
      <c r="M207" s="32"/>
    </row>
    <row r="208" spans="1:13" ht="57.5" hidden="1" customHeight="1">
      <c r="A208" s="10">
        <v>1447</v>
      </c>
      <c r="B208" s="11" t="s">
        <v>488</v>
      </c>
      <c r="C208" s="10" t="s">
        <v>10</v>
      </c>
      <c r="D208" s="12" t="s">
        <v>468</v>
      </c>
      <c r="E208" s="10">
        <v>1650</v>
      </c>
      <c r="F208" s="10" t="s">
        <v>92</v>
      </c>
      <c r="G208" s="10" t="s">
        <v>351</v>
      </c>
      <c r="H208" s="10" t="s">
        <v>351</v>
      </c>
      <c r="I208" s="10" t="s">
        <v>11</v>
      </c>
      <c r="J208" s="13">
        <v>271.572</v>
      </c>
      <c r="K208" s="14"/>
      <c r="L208" t="str">
        <f>VLOOKUP(A208,Formulas!A:B,2,FALSE)</f>
        <v>092125</v>
      </c>
      <c r="M208" s="32"/>
    </row>
    <row r="209" spans="1:13" ht="57.5" hidden="1" customHeight="1">
      <c r="A209" s="10">
        <v>1449</v>
      </c>
      <c r="B209" s="11" t="s">
        <v>489</v>
      </c>
      <c r="C209" s="10" t="s">
        <v>10</v>
      </c>
      <c r="D209" s="12" t="s">
        <v>468</v>
      </c>
      <c r="E209" s="10">
        <v>1650</v>
      </c>
      <c r="F209" s="10" t="s">
        <v>92</v>
      </c>
      <c r="G209" s="10" t="s">
        <v>351</v>
      </c>
      <c r="H209" s="10" t="s">
        <v>351</v>
      </c>
      <c r="I209" s="10" t="s">
        <v>11</v>
      </c>
      <c r="J209" s="13">
        <v>271.572</v>
      </c>
      <c r="K209" s="14"/>
      <c r="L209" t="str">
        <f>VLOOKUP(A209,Formulas!A:B,2,FALSE)</f>
        <v>092126</v>
      </c>
      <c r="M209" s="32"/>
    </row>
    <row r="210" spans="1:13" ht="57.5" hidden="1" customHeight="1">
      <c r="A210" s="10">
        <v>1450</v>
      </c>
      <c r="B210" s="11" t="s">
        <v>491</v>
      </c>
      <c r="C210" s="10" t="s">
        <v>10</v>
      </c>
      <c r="D210" s="12" t="s">
        <v>468</v>
      </c>
      <c r="E210" s="10">
        <v>1650</v>
      </c>
      <c r="F210" s="10" t="s">
        <v>92</v>
      </c>
      <c r="G210" s="10" t="s">
        <v>351</v>
      </c>
      <c r="H210" s="10" t="s">
        <v>351</v>
      </c>
      <c r="I210" s="10" t="s">
        <v>11</v>
      </c>
      <c r="J210" s="13">
        <v>271.572</v>
      </c>
      <c r="K210" s="14"/>
      <c r="L210" t="str">
        <f>VLOOKUP(A210,Formulas!A:B,2,FALSE)</f>
        <v>092128</v>
      </c>
      <c r="M210" s="32"/>
    </row>
    <row r="211" spans="1:13" ht="57.5" hidden="1" customHeight="1">
      <c r="A211" s="10">
        <v>1451</v>
      </c>
      <c r="B211" s="11" t="s">
        <v>493</v>
      </c>
      <c r="C211" s="10" t="s">
        <v>10</v>
      </c>
      <c r="D211" s="12" t="s">
        <v>468</v>
      </c>
      <c r="E211" s="10">
        <v>1650</v>
      </c>
      <c r="F211" s="10" t="s">
        <v>92</v>
      </c>
      <c r="G211" s="10" t="s">
        <v>351</v>
      </c>
      <c r="H211" s="10" t="s">
        <v>351</v>
      </c>
      <c r="I211" s="10" t="s">
        <v>11</v>
      </c>
      <c r="J211" s="13">
        <v>271.572</v>
      </c>
      <c r="K211" s="14"/>
      <c r="L211" t="str">
        <f>VLOOKUP(A211,Formulas!A:B,2,FALSE)</f>
        <v>092130</v>
      </c>
      <c r="M211" s="32"/>
    </row>
    <row r="212" spans="1:13" ht="57.5" hidden="1" customHeight="1">
      <c r="A212" s="10">
        <v>1456</v>
      </c>
      <c r="B212" s="11" t="s">
        <v>1567</v>
      </c>
      <c r="C212" s="10" t="s">
        <v>10</v>
      </c>
      <c r="D212" s="12" t="s">
        <v>475</v>
      </c>
      <c r="E212" s="10">
        <v>3000</v>
      </c>
      <c r="F212" s="10" t="s">
        <v>92</v>
      </c>
      <c r="G212" s="10" t="s">
        <v>94</v>
      </c>
      <c r="H212" s="10" t="s">
        <v>94</v>
      </c>
      <c r="I212" s="10" t="s">
        <v>206</v>
      </c>
      <c r="J212" s="13">
        <v>338.35200000000003</v>
      </c>
      <c r="K212" s="14"/>
      <c r="L212" t="str">
        <f>VLOOKUP(A212,Formulas!A:B,2,FALSE)</f>
        <v>092618</v>
      </c>
      <c r="M212" s="32"/>
    </row>
    <row r="213" spans="1:13" ht="57.5" hidden="1" customHeight="1">
      <c r="A213" s="10">
        <v>1457</v>
      </c>
      <c r="B213" s="11" t="s">
        <v>1568</v>
      </c>
      <c r="C213" s="10" t="s">
        <v>10</v>
      </c>
      <c r="D213" s="12" t="s">
        <v>475</v>
      </c>
      <c r="E213" s="10">
        <v>3000</v>
      </c>
      <c r="F213" s="10" t="s">
        <v>92</v>
      </c>
      <c r="G213" s="10" t="s">
        <v>94</v>
      </c>
      <c r="H213" s="10" t="s">
        <v>94</v>
      </c>
      <c r="I213" s="10" t="s">
        <v>206</v>
      </c>
      <c r="J213" s="13">
        <v>338.35200000000003</v>
      </c>
      <c r="K213" s="14"/>
      <c r="L213" t="str">
        <f>VLOOKUP(A213,Formulas!A:B,2,FALSE)</f>
        <v>092619</v>
      </c>
      <c r="M213" s="32"/>
    </row>
    <row r="214" spans="1:13" ht="57.5" hidden="1" customHeight="1">
      <c r="A214" s="10">
        <v>1462</v>
      </c>
      <c r="B214" s="11" t="s">
        <v>592</v>
      </c>
      <c r="C214" s="10" t="s">
        <v>10</v>
      </c>
      <c r="D214" s="12" t="s">
        <v>590</v>
      </c>
      <c r="E214" s="10">
        <v>2250</v>
      </c>
      <c r="F214" s="10" t="s">
        <v>90</v>
      </c>
      <c r="G214" s="10" t="s">
        <v>395</v>
      </c>
      <c r="H214" s="10" t="s">
        <v>395</v>
      </c>
      <c r="I214" s="10" t="s">
        <v>206</v>
      </c>
      <c r="J214" s="13">
        <v>608.81100000000004</v>
      </c>
      <c r="K214" s="14"/>
      <c r="L214" t="str">
        <f>VLOOKUP(A214,Formulas!A:B,2,FALSE)</f>
        <v>092626</v>
      </c>
      <c r="M214" s="32"/>
    </row>
    <row r="215" spans="1:13" ht="57.5" hidden="1" customHeight="1">
      <c r="A215" s="10">
        <v>1463</v>
      </c>
      <c r="B215" s="11" t="s">
        <v>598</v>
      </c>
      <c r="C215" s="10" t="s">
        <v>599</v>
      </c>
      <c r="D215" s="12" t="s">
        <v>591</v>
      </c>
      <c r="E215" s="10">
        <v>2550</v>
      </c>
      <c r="F215" s="10" t="s">
        <v>92</v>
      </c>
      <c r="G215" s="10" t="s">
        <v>222</v>
      </c>
      <c r="H215" s="10" t="s">
        <v>15</v>
      </c>
      <c r="I215" s="10" t="s">
        <v>206</v>
      </c>
      <c r="J215" s="13">
        <v>495.28500000000003</v>
      </c>
      <c r="K215" s="14"/>
      <c r="L215" t="str">
        <f>VLOOKUP(A215,Formulas!A:B,2,FALSE)</f>
        <v>092632</v>
      </c>
      <c r="M215" s="32"/>
    </row>
    <row r="216" spans="1:13" ht="57.5" hidden="1" customHeight="1">
      <c r="A216" s="22">
        <v>1465</v>
      </c>
      <c r="B216" s="23" t="s">
        <v>600</v>
      </c>
      <c r="C216" s="22" t="s">
        <v>599</v>
      </c>
      <c r="D216" s="24" t="s">
        <v>591</v>
      </c>
      <c r="E216" s="22">
        <v>2550</v>
      </c>
      <c r="F216" s="22" t="s">
        <v>92</v>
      </c>
      <c r="G216" s="22" t="s">
        <v>222</v>
      </c>
      <c r="H216" s="22" t="s">
        <v>15</v>
      </c>
      <c r="I216" s="10" t="s">
        <v>206</v>
      </c>
      <c r="J216" s="25">
        <v>495.28500000000003</v>
      </c>
      <c r="K216" s="19"/>
      <c r="L216" t="str">
        <f>VLOOKUP(A216,Formulas!A:B,2,FALSE)</f>
        <v>092633</v>
      </c>
      <c r="M216" s="32"/>
    </row>
    <row r="217" spans="1:13" ht="57.5" hidden="1" customHeight="1">
      <c r="A217" s="10">
        <v>1475</v>
      </c>
      <c r="B217" s="11" t="s">
        <v>914</v>
      </c>
      <c r="C217" s="22" t="s">
        <v>10</v>
      </c>
      <c r="D217" s="24" t="s">
        <v>314</v>
      </c>
      <c r="E217" s="22">
        <v>112</v>
      </c>
      <c r="F217" s="22" t="s">
        <v>317</v>
      </c>
      <c r="G217" s="10" t="s">
        <v>226</v>
      </c>
      <c r="H217" s="22" t="s">
        <v>226</v>
      </c>
      <c r="I217" s="10" t="s">
        <v>206</v>
      </c>
      <c r="J217" s="13">
        <v>213.696</v>
      </c>
      <c r="K217" s="14"/>
      <c r="L217" t="str">
        <f>VLOOKUP(A217,Formulas!A:B,2,FALSE)</f>
        <v>092652</v>
      </c>
      <c r="M217" s="32"/>
    </row>
    <row r="218" spans="1:13" ht="57.5" hidden="1" customHeight="1">
      <c r="A218" s="10">
        <v>1476</v>
      </c>
      <c r="B218" s="11" t="s">
        <v>915</v>
      </c>
      <c r="C218" s="22" t="s">
        <v>10</v>
      </c>
      <c r="D218" s="24" t="s">
        <v>314</v>
      </c>
      <c r="E218" s="22">
        <v>112</v>
      </c>
      <c r="F218" s="22" t="s">
        <v>317</v>
      </c>
      <c r="G218" s="10" t="s">
        <v>226</v>
      </c>
      <c r="H218" s="22" t="s">
        <v>226</v>
      </c>
      <c r="I218" s="10" t="s">
        <v>206</v>
      </c>
      <c r="J218" s="13">
        <v>213.696</v>
      </c>
      <c r="K218" s="14"/>
      <c r="L218" t="str">
        <f>VLOOKUP(A218,Formulas!A:B,2,FALSE)</f>
        <v>092653</v>
      </c>
      <c r="M218" s="32"/>
    </row>
    <row r="219" spans="1:13" ht="57.5" hidden="1" customHeight="1">
      <c r="A219" s="10">
        <v>1479</v>
      </c>
      <c r="B219" s="11" t="s">
        <v>605</v>
      </c>
      <c r="C219" s="22" t="s">
        <v>10</v>
      </c>
      <c r="D219" s="24" t="s">
        <v>314</v>
      </c>
      <c r="E219" s="22">
        <v>112</v>
      </c>
      <c r="F219" s="22" t="s">
        <v>317</v>
      </c>
      <c r="G219" s="10" t="s">
        <v>226</v>
      </c>
      <c r="H219" s="22" t="s">
        <v>226</v>
      </c>
      <c r="I219" s="10" t="s">
        <v>206</v>
      </c>
      <c r="J219" s="13">
        <v>213.696</v>
      </c>
      <c r="K219" s="14"/>
      <c r="L219" t="str">
        <f>VLOOKUP(A219,Formulas!A:B,2,FALSE)</f>
        <v>092655</v>
      </c>
      <c r="M219" s="32"/>
    </row>
    <row r="220" spans="1:13" ht="57.5" hidden="1" customHeight="1">
      <c r="A220" s="10">
        <v>1480</v>
      </c>
      <c r="B220" s="11" t="s">
        <v>606</v>
      </c>
      <c r="C220" s="22" t="s">
        <v>10</v>
      </c>
      <c r="D220" s="24" t="s">
        <v>314</v>
      </c>
      <c r="E220" s="22">
        <v>112</v>
      </c>
      <c r="F220" s="22" t="s">
        <v>317</v>
      </c>
      <c r="G220" s="10" t="s">
        <v>226</v>
      </c>
      <c r="H220" s="22" t="s">
        <v>226</v>
      </c>
      <c r="I220" s="10" t="s">
        <v>206</v>
      </c>
      <c r="J220" s="13">
        <v>178.08</v>
      </c>
      <c r="K220" s="14"/>
      <c r="L220" t="str">
        <f>VLOOKUP(A220,Formulas!A:B,2,FALSE)</f>
        <v>092656</v>
      </c>
      <c r="M220" s="32"/>
    </row>
    <row r="221" spans="1:13" ht="57.5" hidden="1" customHeight="1">
      <c r="A221" s="10">
        <v>1481</v>
      </c>
      <c r="B221" s="11" t="s">
        <v>607</v>
      </c>
      <c r="C221" s="22" t="s">
        <v>10</v>
      </c>
      <c r="D221" s="24" t="s">
        <v>314</v>
      </c>
      <c r="E221" s="22">
        <v>112</v>
      </c>
      <c r="F221" s="22" t="s">
        <v>317</v>
      </c>
      <c r="G221" s="10" t="s">
        <v>226</v>
      </c>
      <c r="H221" s="22" t="s">
        <v>226</v>
      </c>
      <c r="I221" s="10" t="s">
        <v>206</v>
      </c>
      <c r="J221" s="13">
        <v>213.696</v>
      </c>
      <c r="K221" s="14"/>
      <c r="L221" t="str">
        <f>VLOOKUP(A221,Formulas!A:B,2,FALSE)</f>
        <v>092657</v>
      </c>
      <c r="M221" s="32"/>
    </row>
    <row r="222" spans="1:13" ht="57.5" hidden="1" customHeight="1">
      <c r="A222" s="10">
        <v>1482</v>
      </c>
      <c r="B222" s="11" t="s">
        <v>608</v>
      </c>
      <c r="C222" s="10" t="s">
        <v>10</v>
      </c>
      <c r="D222" s="24" t="s">
        <v>314</v>
      </c>
      <c r="E222" s="22">
        <v>112</v>
      </c>
      <c r="F222" s="10" t="s">
        <v>317</v>
      </c>
      <c r="G222" s="10" t="s">
        <v>226</v>
      </c>
      <c r="H222" s="10" t="s">
        <v>226</v>
      </c>
      <c r="I222" s="10" t="s">
        <v>206</v>
      </c>
      <c r="J222" s="13">
        <v>178.08</v>
      </c>
      <c r="K222" s="14"/>
      <c r="L222" t="str">
        <f>VLOOKUP(A222,Formulas!A:B,2,FALSE)</f>
        <v>092658</v>
      </c>
      <c r="M222" s="32"/>
    </row>
    <row r="223" spans="1:13" ht="57.5" hidden="1" customHeight="1">
      <c r="A223" s="10">
        <v>1495</v>
      </c>
      <c r="B223" s="11" t="s">
        <v>946</v>
      </c>
      <c r="C223" s="10" t="s">
        <v>534</v>
      </c>
      <c r="D223" s="24" t="s">
        <v>11</v>
      </c>
      <c r="E223" s="22" t="s">
        <v>11</v>
      </c>
      <c r="F223" s="10" t="s">
        <v>94</v>
      </c>
      <c r="G223" s="10" t="s">
        <v>414</v>
      </c>
      <c r="H223" s="10" t="s">
        <v>325</v>
      </c>
      <c r="I223" s="10" t="s">
        <v>11</v>
      </c>
      <c r="J223" s="13">
        <v>200.34</v>
      </c>
      <c r="K223" s="14"/>
      <c r="L223" t="str">
        <f>VLOOKUP(A223,Formulas!A:B,2,FALSE)</f>
        <v>092868</v>
      </c>
      <c r="M223" s="32"/>
    </row>
    <row r="224" spans="1:13" ht="57.5" hidden="1" customHeight="1">
      <c r="A224" s="10">
        <v>1496</v>
      </c>
      <c r="B224" s="11" t="s">
        <v>662</v>
      </c>
      <c r="C224" s="10" t="s">
        <v>534</v>
      </c>
      <c r="D224" s="24" t="s">
        <v>11</v>
      </c>
      <c r="E224" s="22" t="s">
        <v>11</v>
      </c>
      <c r="F224" s="10" t="s">
        <v>94</v>
      </c>
      <c r="G224" s="10" t="s">
        <v>414</v>
      </c>
      <c r="H224" s="10" t="s">
        <v>325</v>
      </c>
      <c r="I224" s="10" t="s">
        <v>11</v>
      </c>
      <c r="J224" s="13">
        <v>200.34</v>
      </c>
      <c r="K224" s="14"/>
      <c r="L224" t="str">
        <f>VLOOKUP(A224,Formulas!A:B,2,FALSE)</f>
        <v>092869</v>
      </c>
      <c r="M224" s="32"/>
    </row>
    <row r="225" spans="1:13" ht="57.5" hidden="1" customHeight="1">
      <c r="A225" s="10">
        <v>1501</v>
      </c>
      <c r="B225" s="11" t="s">
        <v>663</v>
      </c>
      <c r="C225" s="10" t="s">
        <v>534</v>
      </c>
      <c r="D225" s="24" t="s">
        <v>11</v>
      </c>
      <c r="E225" s="22" t="s">
        <v>11</v>
      </c>
      <c r="F225" s="10" t="s">
        <v>94</v>
      </c>
      <c r="G225" s="10" t="s">
        <v>414</v>
      </c>
      <c r="H225" s="10" t="s">
        <v>325</v>
      </c>
      <c r="I225" s="10" t="s">
        <v>11</v>
      </c>
      <c r="J225" s="13">
        <v>240.40800000000002</v>
      </c>
      <c r="K225" s="14"/>
      <c r="L225" t="str">
        <f>VLOOKUP(A225,Formulas!A:B,2,FALSE)</f>
        <v>092873</v>
      </c>
      <c r="M225" s="32"/>
    </row>
    <row r="226" spans="1:13" ht="57.5" hidden="1" customHeight="1">
      <c r="A226" s="10">
        <v>1502</v>
      </c>
      <c r="B226" s="11" t="s">
        <v>664</v>
      </c>
      <c r="C226" s="10" t="s">
        <v>534</v>
      </c>
      <c r="D226" s="24" t="s">
        <v>11</v>
      </c>
      <c r="E226" s="22" t="s">
        <v>11</v>
      </c>
      <c r="F226" s="10" t="s">
        <v>94</v>
      </c>
      <c r="G226" s="10" t="s">
        <v>414</v>
      </c>
      <c r="H226" s="10" t="s">
        <v>325</v>
      </c>
      <c r="I226" s="10" t="s">
        <v>11</v>
      </c>
      <c r="J226" s="13">
        <v>200.34</v>
      </c>
      <c r="K226" s="14"/>
      <c r="L226" t="str">
        <f>VLOOKUP(A226,Formulas!A:B,2,FALSE)</f>
        <v>092874</v>
      </c>
      <c r="M226" s="32"/>
    </row>
    <row r="227" spans="1:13" ht="57.5" hidden="1" customHeight="1">
      <c r="A227" s="10">
        <v>1503</v>
      </c>
      <c r="B227" s="11" t="s">
        <v>665</v>
      </c>
      <c r="C227" s="10" t="s">
        <v>534</v>
      </c>
      <c r="D227" s="24" t="s">
        <v>11</v>
      </c>
      <c r="E227" s="22" t="s">
        <v>11</v>
      </c>
      <c r="F227" s="10" t="s">
        <v>94</v>
      </c>
      <c r="G227" s="10" t="s">
        <v>414</v>
      </c>
      <c r="H227" s="10" t="s">
        <v>325</v>
      </c>
      <c r="I227" s="10" t="s">
        <v>11</v>
      </c>
      <c r="J227" s="13">
        <v>200.34</v>
      </c>
      <c r="K227" s="14"/>
      <c r="L227" t="str">
        <f>VLOOKUP(A227,Formulas!A:B,2,FALSE)</f>
        <v>092875</v>
      </c>
      <c r="M227" s="32"/>
    </row>
    <row r="228" spans="1:13" ht="57.5" hidden="1" customHeight="1">
      <c r="A228" s="10">
        <v>1504</v>
      </c>
      <c r="B228" s="11" t="s">
        <v>666</v>
      </c>
      <c r="C228" s="10" t="s">
        <v>534</v>
      </c>
      <c r="D228" s="12" t="s">
        <v>11</v>
      </c>
      <c r="E228" s="10" t="s">
        <v>11</v>
      </c>
      <c r="F228" s="10" t="s">
        <v>94</v>
      </c>
      <c r="G228" s="10" t="s">
        <v>414</v>
      </c>
      <c r="H228" s="10" t="s">
        <v>325</v>
      </c>
      <c r="I228" s="10" t="s">
        <v>11</v>
      </c>
      <c r="J228" s="13">
        <v>200.34</v>
      </c>
      <c r="K228" s="14"/>
      <c r="L228" t="str">
        <f>VLOOKUP(A228,Formulas!A:B,2,FALSE)</f>
        <v>092876</v>
      </c>
      <c r="M228" s="32"/>
    </row>
    <row r="229" spans="1:13" ht="57.5" customHeight="1">
      <c r="A229" s="10">
        <v>1521</v>
      </c>
      <c r="B229" s="11" t="s">
        <v>1556</v>
      </c>
      <c r="C229" s="10" t="s">
        <v>217</v>
      </c>
      <c r="D229" s="12" t="s">
        <v>11</v>
      </c>
      <c r="E229" s="10" t="s">
        <v>11</v>
      </c>
      <c r="F229" s="10" t="s">
        <v>380</v>
      </c>
      <c r="G229" s="10" t="s">
        <v>218</v>
      </c>
      <c r="H229" s="10" t="s">
        <v>218</v>
      </c>
      <c r="I229" s="10" t="s">
        <v>11</v>
      </c>
      <c r="J229" s="13">
        <v>349.92720000000003</v>
      </c>
      <c r="K229" s="14"/>
      <c r="L229" t="e">
        <f>VLOOKUP(A229,Formulas!A:B,2,FALSE)</f>
        <v>#N/A</v>
      </c>
      <c r="M229" s="32"/>
    </row>
    <row r="230" spans="1:13" ht="57.5" hidden="1" customHeight="1">
      <c r="A230" s="10">
        <v>1522</v>
      </c>
      <c r="B230" s="11" t="s">
        <v>704</v>
      </c>
      <c r="C230" s="10" t="s">
        <v>217</v>
      </c>
      <c r="D230" s="12" t="s">
        <v>11</v>
      </c>
      <c r="E230" s="10" t="s">
        <v>11</v>
      </c>
      <c r="F230" s="10" t="s">
        <v>380</v>
      </c>
      <c r="G230" s="10" t="s">
        <v>218</v>
      </c>
      <c r="H230" s="10" t="s">
        <v>218</v>
      </c>
      <c r="I230" s="10" t="s">
        <v>11</v>
      </c>
      <c r="J230" s="13">
        <v>291.60600000000005</v>
      </c>
      <c r="K230" s="14"/>
      <c r="L230" t="str">
        <f>VLOOKUP(A230,Formulas!A:B,2,FALSE)</f>
        <v>092952</v>
      </c>
      <c r="M230" s="32"/>
    </row>
    <row r="231" spans="1:13" ht="57.5" hidden="1" customHeight="1">
      <c r="A231" s="10">
        <v>1525</v>
      </c>
      <c r="B231" s="11" t="s">
        <v>705</v>
      </c>
      <c r="C231" s="10" t="s">
        <v>217</v>
      </c>
      <c r="D231" s="12" t="s">
        <v>11</v>
      </c>
      <c r="E231" s="10" t="s">
        <v>11</v>
      </c>
      <c r="F231" s="10" t="s">
        <v>380</v>
      </c>
      <c r="G231" s="10" t="s">
        <v>218</v>
      </c>
      <c r="H231" s="10" t="s">
        <v>218</v>
      </c>
      <c r="I231" s="10" t="s">
        <v>11</v>
      </c>
      <c r="J231" s="13">
        <v>291.60600000000005</v>
      </c>
      <c r="K231" s="14"/>
      <c r="L231" t="str">
        <f>VLOOKUP(A231,Formulas!A:B,2,FALSE)</f>
        <v>092955</v>
      </c>
      <c r="M231" s="32"/>
    </row>
    <row r="232" spans="1:13" ht="57.5" hidden="1" customHeight="1">
      <c r="A232" s="10">
        <v>1530</v>
      </c>
      <c r="B232" s="11" t="s">
        <v>961</v>
      </c>
      <c r="C232" s="10" t="s">
        <v>217</v>
      </c>
      <c r="D232" s="12" t="s">
        <v>11</v>
      </c>
      <c r="E232" s="10" t="s">
        <v>11</v>
      </c>
      <c r="F232" s="10" t="s">
        <v>380</v>
      </c>
      <c r="G232" s="10" t="s">
        <v>218</v>
      </c>
      <c r="H232" s="10" t="s">
        <v>218</v>
      </c>
      <c r="I232" s="10" t="s">
        <v>11</v>
      </c>
      <c r="J232" s="13">
        <v>291.60600000000005</v>
      </c>
      <c r="K232" s="14"/>
      <c r="L232" t="str">
        <f>VLOOKUP(A232,Formulas!A:B,2,FALSE)</f>
        <v>092960</v>
      </c>
      <c r="M232" s="32"/>
    </row>
    <row r="233" spans="1:13" ht="57.5" hidden="1" customHeight="1">
      <c r="A233" s="10">
        <v>1847</v>
      </c>
      <c r="B233" s="11" t="s">
        <v>661</v>
      </c>
      <c r="C233" s="10" t="s">
        <v>10</v>
      </c>
      <c r="D233" s="12" t="s">
        <v>852</v>
      </c>
      <c r="E233" s="12">
        <v>975</v>
      </c>
      <c r="F233" s="10" t="s">
        <v>87</v>
      </c>
      <c r="G233" s="10" t="s">
        <v>203</v>
      </c>
      <c r="H233" s="10" t="s">
        <v>90</v>
      </c>
      <c r="I233" s="10" t="s">
        <v>11</v>
      </c>
      <c r="J233" s="13">
        <v>143.577</v>
      </c>
      <c r="K233" s="14"/>
      <c r="L233" t="str">
        <f>VLOOKUP(A233,Formulas!A:B,2,FALSE)</f>
        <v>092863</v>
      </c>
      <c r="M233" s="32"/>
    </row>
    <row r="234" spans="1:13" ht="57.5" hidden="1" customHeight="1">
      <c r="A234" s="10">
        <v>1848</v>
      </c>
      <c r="B234" s="11" t="s">
        <v>572</v>
      </c>
      <c r="C234" s="10" t="s">
        <v>10</v>
      </c>
      <c r="D234" s="24" t="s">
        <v>460</v>
      </c>
      <c r="E234" s="22">
        <v>2850</v>
      </c>
      <c r="F234" s="10" t="s">
        <v>85</v>
      </c>
      <c r="G234" s="10" t="s">
        <v>226</v>
      </c>
      <c r="H234" s="10" t="s">
        <v>291</v>
      </c>
      <c r="I234" s="10" t="s">
        <v>206</v>
      </c>
      <c r="J234" s="13">
        <v>366.17700000000002</v>
      </c>
      <c r="K234" s="14"/>
      <c r="L234" t="str">
        <f>VLOOKUP(A234,Formulas!A:B,2,FALSE)</f>
        <v>092563</v>
      </c>
      <c r="M234" s="32"/>
    </row>
    <row r="235" spans="1:13" ht="57.5" hidden="1" customHeight="1">
      <c r="A235" s="22">
        <v>1862</v>
      </c>
      <c r="B235" s="23" t="s">
        <v>706</v>
      </c>
      <c r="C235" s="10" t="s">
        <v>217</v>
      </c>
      <c r="D235" s="24" t="s">
        <v>11</v>
      </c>
      <c r="E235" s="22" t="s">
        <v>11</v>
      </c>
      <c r="F235" s="10" t="s">
        <v>380</v>
      </c>
      <c r="G235" s="10" t="s">
        <v>218</v>
      </c>
      <c r="H235" s="10" t="s">
        <v>218</v>
      </c>
      <c r="I235" s="10" t="s">
        <v>11</v>
      </c>
      <c r="J235" s="25">
        <v>291.60600000000005</v>
      </c>
      <c r="K235" s="19"/>
      <c r="L235" t="str">
        <f>VLOOKUP(A235,Formulas!A:B,2,FALSE)</f>
        <v>092958</v>
      </c>
      <c r="M235" s="32"/>
    </row>
    <row r="236" spans="1:13" ht="57.5" hidden="1" customHeight="1">
      <c r="A236" s="10">
        <v>1870</v>
      </c>
      <c r="B236" s="11" t="s">
        <v>583</v>
      </c>
      <c r="C236" s="10" t="s">
        <v>10</v>
      </c>
      <c r="D236" s="24" t="s">
        <v>446</v>
      </c>
      <c r="E236" s="22">
        <v>1350</v>
      </c>
      <c r="F236" s="10" t="s">
        <v>85</v>
      </c>
      <c r="G236" s="10" t="s">
        <v>226</v>
      </c>
      <c r="H236" s="10" t="s">
        <v>291</v>
      </c>
      <c r="I236" s="10" t="s">
        <v>206</v>
      </c>
      <c r="J236" s="13">
        <v>263.78100000000001</v>
      </c>
      <c r="K236" s="14"/>
      <c r="L236" t="str">
        <f>VLOOKUP(A236,Formulas!A:B,2,FALSE)</f>
        <v>092591</v>
      </c>
      <c r="M236" s="32"/>
    </row>
    <row r="237" spans="1:13" ht="57.5" hidden="1" customHeight="1">
      <c r="A237" s="10">
        <v>1875</v>
      </c>
      <c r="B237" s="11" t="s">
        <v>462</v>
      </c>
      <c r="C237" s="10" t="s">
        <v>10</v>
      </c>
      <c r="D237" s="24" t="s">
        <v>460</v>
      </c>
      <c r="E237" s="22">
        <v>2850</v>
      </c>
      <c r="F237" s="10" t="s">
        <v>92</v>
      </c>
      <c r="G237" s="10" t="s">
        <v>208</v>
      </c>
      <c r="H237" s="10" t="s">
        <v>461</v>
      </c>
      <c r="I237" s="10" t="s">
        <v>11</v>
      </c>
      <c r="J237" s="13">
        <v>363.95100000000002</v>
      </c>
      <c r="K237" s="14"/>
      <c r="L237" t="str">
        <f>VLOOKUP(A237,Formulas!A:B,2,FALSE)</f>
        <v>092095</v>
      </c>
      <c r="M237" s="32"/>
    </row>
    <row r="238" spans="1:13" ht="57.5" hidden="1" customHeight="1">
      <c r="A238" s="10">
        <v>1880</v>
      </c>
      <c r="B238" s="11" t="s">
        <v>1571</v>
      </c>
      <c r="C238" s="10" t="s">
        <v>10</v>
      </c>
      <c r="D238" s="24" t="s">
        <v>475</v>
      </c>
      <c r="E238" s="22">
        <v>3000</v>
      </c>
      <c r="F238" s="10" t="s">
        <v>92</v>
      </c>
      <c r="G238" s="10" t="s">
        <v>94</v>
      </c>
      <c r="H238" s="10" t="s">
        <v>94</v>
      </c>
      <c r="I238" s="10" t="s">
        <v>206</v>
      </c>
      <c r="J238" s="13">
        <v>338.35200000000003</v>
      </c>
      <c r="K238" s="14"/>
      <c r="L238" t="str">
        <f>VLOOKUP(A238,Formulas!A:B,2,FALSE)</f>
        <v>092623</v>
      </c>
      <c r="M238" s="32"/>
    </row>
    <row r="239" spans="1:13" ht="57.5" hidden="1" customHeight="1">
      <c r="A239" s="10">
        <v>1892</v>
      </c>
      <c r="B239" s="11" t="s">
        <v>490</v>
      </c>
      <c r="C239" s="10" t="s">
        <v>10</v>
      </c>
      <c r="D239" s="24" t="s">
        <v>468</v>
      </c>
      <c r="E239" s="22">
        <v>1650</v>
      </c>
      <c r="F239" s="10" t="s">
        <v>92</v>
      </c>
      <c r="G239" s="10" t="s">
        <v>351</v>
      </c>
      <c r="H239" s="10" t="s">
        <v>351</v>
      </c>
      <c r="I239" s="10" t="s">
        <v>11</v>
      </c>
      <c r="J239" s="13">
        <v>271.572</v>
      </c>
      <c r="K239" s="14"/>
      <c r="L239" t="str">
        <f>VLOOKUP(A239,Formulas!A:B,2,FALSE)</f>
        <v>092127</v>
      </c>
      <c r="M239" s="32"/>
    </row>
    <row r="240" spans="1:13" ht="57.5" hidden="1" customHeight="1">
      <c r="A240" s="10">
        <v>1900</v>
      </c>
      <c r="B240" s="11" t="s">
        <v>464</v>
      </c>
      <c r="C240" s="10" t="s">
        <v>10</v>
      </c>
      <c r="D240" s="24" t="s">
        <v>460</v>
      </c>
      <c r="E240" s="22">
        <v>2850</v>
      </c>
      <c r="F240" s="10" t="s">
        <v>92</v>
      </c>
      <c r="G240" s="10" t="s">
        <v>208</v>
      </c>
      <c r="H240" s="10" t="s">
        <v>461</v>
      </c>
      <c r="I240" s="10" t="s">
        <v>11</v>
      </c>
      <c r="J240" s="13">
        <v>363.95100000000002</v>
      </c>
      <c r="K240" s="14"/>
      <c r="L240" t="str">
        <f>VLOOKUP(A240,Formulas!A:B,2,FALSE)</f>
        <v>092098</v>
      </c>
      <c r="M240" s="32"/>
    </row>
    <row r="241" spans="1:13" ht="57.5" hidden="1" customHeight="1">
      <c r="A241" s="10">
        <v>1901</v>
      </c>
      <c r="B241" s="11" t="s">
        <v>456</v>
      </c>
      <c r="C241" s="10" t="s">
        <v>10</v>
      </c>
      <c r="D241" s="24" t="s">
        <v>446</v>
      </c>
      <c r="E241" s="22">
        <v>1350</v>
      </c>
      <c r="F241" s="10" t="s">
        <v>92</v>
      </c>
      <c r="G241" s="10" t="s">
        <v>208</v>
      </c>
      <c r="H241" s="10" t="s">
        <v>268</v>
      </c>
      <c r="I241" s="10" t="s">
        <v>11</v>
      </c>
      <c r="J241" s="13">
        <v>230.39100000000002</v>
      </c>
      <c r="K241" s="14"/>
      <c r="L241" t="str">
        <f>VLOOKUP(A241,Formulas!A:B,2,FALSE)</f>
        <v>092090</v>
      </c>
      <c r="M241" s="32"/>
    </row>
    <row r="242" spans="1:13" ht="57.5" hidden="1" customHeight="1">
      <c r="A242" s="10">
        <v>1937</v>
      </c>
      <c r="B242" s="11" t="s">
        <v>579</v>
      </c>
      <c r="C242" s="10" t="s">
        <v>10</v>
      </c>
      <c r="D242" s="24" t="s">
        <v>446</v>
      </c>
      <c r="E242" s="22">
        <v>1350</v>
      </c>
      <c r="F242" s="10" t="s">
        <v>85</v>
      </c>
      <c r="G242" s="10" t="s">
        <v>226</v>
      </c>
      <c r="H242" s="10" t="s">
        <v>291</v>
      </c>
      <c r="I242" s="10" t="s">
        <v>206</v>
      </c>
      <c r="J242" s="13">
        <v>263.78100000000001</v>
      </c>
      <c r="K242" s="14"/>
      <c r="L242" t="str">
        <f>VLOOKUP(A242,Formulas!A:B,2,FALSE)</f>
        <v>092579</v>
      </c>
      <c r="M242" s="32"/>
    </row>
    <row r="243" spans="1:13" ht="57.5" hidden="1" customHeight="1">
      <c r="A243" s="10">
        <v>1942</v>
      </c>
      <c r="B243" s="11" t="s">
        <v>501</v>
      </c>
      <c r="C243" s="12" t="s">
        <v>182</v>
      </c>
      <c r="D243" s="24" t="s">
        <v>11</v>
      </c>
      <c r="E243" s="24" t="s">
        <v>11</v>
      </c>
      <c r="F243" s="12" t="s">
        <v>96</v>
      </c>
      <c r="G243" s="12" t="s">
        <v>90</v>
      </c>
      <c r="H243" s="12" t="s">
        <v>90</v>
      </c>
      <c r="I243" s="12" t="s">
        <v>206</v>
      </c>
      <c r="J243" s="13">
        <v>76.797000000000011</v>
      </c>
      <c r="K243" s="38"/>
      <c r="L243" t="str">
        <f>VLOOKUP(A243,Formulas!A:B,2,FALSE)</f>
        <v>092174</v>
      </c>
      <c r="M243" s="32"/>
    </row>
    <row r="244" spans="1:13" ht="57.5" hidden="1" customHeight="1">
      <c r="A244" s="10">
        <v>1945</v>
      </c>
      <c r="B244" s="11" t="s">
        <v>788</v>
      </c>
      <c r="C244" s="10" t="s">
        <v>217</v>
      </c>
      <c r="D244" s="24" t="s">
        <v>11</v>
      </c>
      <c r="E244" s="22" t="s">
        <v>11</v>
      </c>
      <c r="F244" s="10" t="s">
        <v>96</v>
      </c>
      <c r="G244" s="10" t="s">
        <v>213</v>
      </c>
      <c r="H244" s="10" t="s">
        <v>301</v>
      </c>
      <c r="I244" s="10" t="s">
        <v>11</v>
      </c>
      <c r="J244" s="13">
        <v>110.18700000000001</v>
      </c>
      <c r="K244" s="14"/>
      <c r="L244" t="str">
        <f>VLOOKUP(A244,Formulas!A:B,2,FALSE)</f>
        <v>092800</v>
      </c>
      <c r="M244" s="32"/>
    </row>
    <row r="245" spans="1:13" ht="57.5" hidden="1" customHeight="1">
      <c r="A245" s="10">
        <v>1951</v>
      </c>
      <c r="B245" s="11" t="s">
        <v>789</v>
      </c>
      <c r="C245" s="10" t="s">
        <v>217</v>
      </c>
      <c r="D245" s="24" t="s">
        <v>11</v>
      </c>
      <c r="E245" s="22" t="s">
        <v>11</v>
      </c>
      <c r="F245" s="10" t="s">
        <v>96</v>
      </c>
      <c r="G245" s="10" t="s">
        <v>213</v>
      </c>
      <c r="H245" s="10" t="s">
        <v>301</v>
      </c>
      <c r="I245" s="10" t="s">
        <v>11</v>
      </c>
      <c r="J245" s="13">
        <v>110.18700000000001</v>
      </c>
      <c r="K245" s="14"/>
      <c r="L245" t="str">
        <f>VLOOKUP(A245,Formulas!A:B,2,FALSE)</f>
        <v>092801</v>
      </c>
      <c r="M245" s="32"/>
    </row>
    <row r="246" spans="1:13" ht="57.5" customHeight="1">
      <c r="A246" s="10">
        <v>1990</v>
      </c>
      <c r="B246" s="11" t="s">
        <v>981</v>
      </c>
      <c r="C246" s="10" t="s">
        <v>217</v>
      </c>
      <c r="D246" s="12" t="s">
        <v>11</v>
      </c>
      <c r="E246" s="10" t="s">
        <v>11</v>
      </c>
      <c r="F246" s="10" t="s">
        <v>691</v>
      </c>
      <c r="G246" s="10" t="s">
        <v>220</v>
      </c>
      <c r="H246" s="10" t="s">
        <v>317</v>
      </c>
      <c r="I246" s="10" t="s">
        <v>11</v>
      </c>
      <c r="J246" s="13">
        <v>173.62800000000001</v>
      </c>
      <c r="K246" s="14"/>
      <c r="L246" t="e">
        <f>VLOOKUP(A246,Formulas!A:B,2,FALSE)</f>
        <v>#N/A</v>
      </c>
      <c r="M246" s="32"/>
    </row>
    <row r="247" spans="1:13" ht="57.5" hidden="1" customHeight="1">
      <c r="A247" s="10">
        <v>2014</v>
      </c>
      <c r="B247" s="11" t="s">
        <v>686</v>
      </c>
      <c r="C247" s="10" t="s">
        <v>217</v>
      </c>
      <c r="D247" s="12" t="s">
        <v>11</v>
      </c>
      <c r="E247" s="10" t="s">
        <v>11</v>
      </c>
      <c r="F247" s="10" t="s">
        <v>682</v>
      </c>
      <c r="G247" s="10" t="s">
        <v>220</v>
      </c>
      <c r="H247" s="10" t="s">
        <v>220</v>
      </c>
      <c r="I247" s="10" t="s">
        <v>11</v>
      </c>
      <c r="J247" s="13">
        <v>195.88800000000003</v>
      </c>
      <c r="K247" s="14"/>
      <c r="L247" t="str">
        <f>VLOOKUP(A247,Formulas!A:B,2,FALSE)</f>
        <v>092932</v>
      </c>
      <c r="M247" s="32"/>
    </row>
    <row r="248" spans="1:13" ht="57.5" hidden="1" customHeight="1">
      <c r="A248" s="10">
        <v>2019</v>
      </c>
      <c r="B248" s="11" t="s">
        <v>587</v>
      </c>
      <c r="C248" s="10" t="s">
        <v>10</v>
      </c>
      <c r="D248" s="12" t="s">
        <v>460</v>
      </c>
      <c r="E248" s="10">
        <v>2850</v>
      </c>
      <c r="F248" s="10" t="s">
        <v>85</v>
      </c>
      <c r="G248" s="10" t="s">
        <v>226</v>
      </c>
      <c r="H248" s="10" t="s">
        <v>291</v>
      </c>
      <c r="I248" s="10" t="s">
        <v>206</v>
      </c>
      <c r="J248" s="13">
        <v>366.17700000000002</v>
      </c>
      <c r="K248" s="14"/>
      <c r="L248" t="str">
        <f>VLOOKUP(A248,Formulas!A:B,2,FALSE)</f>
        <v>092595</v>
      </c>
      <c r="M248" s="32"/>
    </row>
    <row r="249" spans="1:13" ht="57.5" hidden="1" customHeight="1">
      <c r="A249" s="10">
        <v>2022</v>
      </c>
      <c r="B249" s="11" t="s">
        <v>533</v>
      </c>
      <c r="C249" s="10" t="s">
        <v>534</v>
      </c>
      <c r="D249" s="24" t="s">
        <v>11</v>
      </c>
      <c r="E249" s="22" t="s">
        <v>11</v>
      </c>
      <c r="F249" s="10" t="s">
        <v>94</v>
      </c>
      <c r="G249" s="10" t="s">
        <v>208</v>
      </c>
      <c r="H249" s="10" t="s">
        <v>221</v>
      </c>
      <c r="I249" s="10" t="s">
        <v>206</v>
      </c>
      <c r="J249" s="13">
        <v>192.32640000000001</v>
      </c>
      <c r="K249" s="14"/>
      <c r="L249" t="str">
        <f>VLOOKUP(A249,Formulas!A:B,2,FALSE)</f>
        <v>092402</v>
      </c>
      <c r="M249" s="32"/>
    </row>
    <row r="250" spans="1:13" ht="57.5" hidden="1" customHeight="1">
      <c r="A250" s="10">
        <v>2025</v>
      </c>
      <c r="B250" s="11" t="s">
        <v>907</v>
      </c>
      <c r="C250" s="10" t="s">
        <v>10</v>
      </c>
      <c r="D250" s="24" t="s">
        <v>446</v>
      </c>
      <c r="E250" s="22">
        <v>1350</v>
      </c>
      <c r="F250" s="10" t="s">
        <v>85</v>
      </c>
      <c r="G250" s="10" t="s">
        <v>226</v>
      </c>
      <c r="H250" s="10" t="s">
        <v>291</v>
      </c>
      <c r="I250" s="10" t="s">
        <v>206</v>
      </c>
      <c r="J250" s="13">
        <v>263.78100000000001</v>
      </c>
      <c r="K250" s="14"/>
      <c r="L250" t="str">
        <f>VLOOKUP(A250,Formulas!A:B,2,FALSE)</f>
        <v>092580</v>
      </c>
      <c r="M250" s="32"/>
    </row>
    <row r="251" spans="1:13" ht="57.5" hidden="1" customHeight="1">
      <c r="A251" s="10">
        <v>2028</v>
      </c>
      <c r="B251" s="11" t="s">
        <v>680</v>
      </c>
      <c r="C251" s="10" t="s">
        <v>217</v>
      </c>
      <c r="D251" s="24" t="s">
        <v>11</v>
      </c>
      <c r="E251" s="22" t="s">
        <v>11</v>
      </c>
      <c r="F251" s="10" t="s">
        <v>262</v>
      </c>
      <c r="G251" s="10" t="s">
        <v>288</v>
      </c>
      <c r="H251" s="10" t="s">
        <v>288</v>
      </c>
      <c r="I251" s="10" t="s">
        <v>11</v>
      </c>
      <c r="J251" s="13">
        <v>244.86</v>
      </c>
      <c r="K251" s="14"/>
      <c r="L251" t="str">
        <f>VLOOKUP(A251,Formulas!A:B,2,FALSE)</f>
        <v>092927</v>
      </c>
      <c r="M251" s="32"/>
    </row>
    <row r="252" spans="1:13" ht="57.5" hidden="1" customHeight="1">
      <c r="A252" s="10">
        <v>2040</v>
      </c>
      <c r="B252" s="11" t="s">
        <v>940</v>
      </c>
      <c r="C252" s="10" t="s">
        <v>182</v>
      </c>
      <c r="D252" s="24" t="s">
        <v>11</v>
      </c>
      <c r="E252" s="22" t="s">
        <v>11</v>
      </c>
      <c r="F252" s="10" t="s">
        <v>95</v>
      </c>
      <c r="G252" s="10" t="s">
        <v>280</v>
      </c>
      <c r="H252" s="10" t="s">
        <v>13</v>
      </c>
      <c r="I252" s="10" t="s">
        <v>11</v>
      </c>
      <c r="J252" s="13">
        <v>121.31700000000001</v>
      </c>
      <c r="K252" s="14"/>
      <c r="L252" t="str">
        <f>VLOOKUP(A252,Formulas!A:B,2,FALSE)</f>
        <v>092786</v>
      </c>
      <c r="M252" s="32"/>
    </row>
    <row r="253" spans="1:13" ht="57.5" hidden="1" customHeight="1">
      <c r="A253" s="10">
        <v>2041</v>
      </c>
      <c r="B253" s="11" t="s">
        <v>463</v>
      </c>
      <c r="C253" s="10" t="s">
        <v>10</v>
      </c>
      <c r="D253" s="24" t="s">
        <v>460</v>
      </c>
      <c r="E253" s="22">
        <v>2850</v>
      </c>
      <c r="F253" s="10" t="s">
        <v>92</v>
      </c>
      <c r="G253" s="10" t="s">
        <v>208</v>
      </c>
      <c r="H253" s="10" t="s">
        <v>461</v>
      </c>
      <c r="I253" s="10" t="s">
        <v>11</v>
      </c>
      <c r="J253" s="13">
        <v>363.95100000000002</v>
      </c>
      <c r="K253" s="14"/>
      <c r="L253" t="str">
        <f>VLOOKUP(A253,Formulas!A:B,2,FALSE)</f>
        <v>092097</v>
      </c>
      <c r="M253" s="32"/>
    </row>
    <row r="254" spans="1:13" ht="57.5" hidden="1" customHeight="1">
      <c r="A254" s="22">
        <v>2050</v>
      </c>
      <c r="B254" s="23" t="s">
        <v>514</v>
      </c>
      <c r="C254" s="10" t="s">
        <v>511</v>
      </c>
      <c r="D254" s="24" t="s">
        <v>11</v>
      </c>
      <c r="E254" s="22" t="s">
        <v>11</v>
      </c>
      <c r="F254" s="10" t="s">
        <v>96</v>
      </c>
      <c r="G254" s="10" t="s">
        <v>226</v>
      </c>
      <c r="H254" s="10" t="s">
        <v>226</v>
      </c>
      <c r="I254" s="10" t="s">
        <v>206</v>
      </c>
      <c r="J254" s="25">
        <v>76.797000000000011</v>
      </c>
      <c r="K254" s="19"/>
      <c r="L254" t="str">
        <f>VLOOKUP(A254,Formulas!A:B,2,FALSE)</f>
        <v>092200</v>
      </c>
      <c r="M254" s="32"/>
    </row>
    <row r="255" spans="1:13" ht="57.5" hidden="1" customHeight="1">
      <c r="A255" s="10">
        <v>2064</v>
      </c>
      <c r="B255" s="11" t="s">
        <v>947</v>
      </c>
      <c r="C255" s="10" t="s">
        <v>534</v>
      </c>
      <c r="D255" s="12" t="s">
        <v>11</v>
      </c>
      <c r="E255" s="10" t="s">
        <v>11</v>
      </c>
      <c r="F255" s="10" t="s">
        <v>94</v>
      </c>
      <c r="G255" s="10" t="s">
        <v>414</v>
      </c>
      <c r="H255" s="10" t="s">
        <v>325</v>
      </c>
      <c r="I255" s="10" t="s">
        <v>11</v>
      </c>
      <c r="J255" s="13">
        <v>240.40800000000002</v>
      </c>
      <c r="K255" s="14"/>
      <c r="L255" t="str">
        <f>VLOOKUP(A255,Formulas!A:B,2,FALSE)</f>
        <v>092878</v>
      </c>
      <c r="M255" s="32"/>
    </row>
    <row r="256" spans="1:13" ht="57.5" hidden="1" customHeight="1">
      <c r="A256" s="10">
        <v>2079</v>
      </c>
      <c r="B256" s="11" t="s">
        <v>687</v>
      </c>
      <c r="C256" s="10" t="s">
        <v>217</v>
      </c>
      <c r="D256" s="12" t="s">
        <v>11</v>
      </c>
      <c r="E256" s="10" t="s">
        <v>11</v>
      </c>
      <c r="F256" s="10" t="s">
        <v>682</v>
      </c>
      <c r="G256" s="10" t="s">
        <v>220</v>
      </c>
      <c r="H256" s="10" t="s">
        <v>220</v>
      </c>
      <c r="I256" s="10" t="s">
        <v>11</v>
      </c>
      <c r="J256" s="13">
        <v>195.88800000000003</v>
      </c>
      <c r="K256" s="14"/>
      <c r="L256" t="str">
        <f>VLOOKUP(A256,Formulas!A:B,2,FALSE)</f>
        <v>092933</v>
      </c>
      <c r="M256" s="32"/>
    </row>
    <row r="257" spans="1:13" ht="57.5" hidden="1" customHeight="1">
      <c r="A257" s="10">
        <v>2111</v>
      </c>
      <c r="B257" s="11" t="s">
        <v>466</v>
      </c>
      <c r="C257" s="10" t="s">
        <v>10</v>
      </c>
      <c r="D257" s="12" t="s">
        <v>460</v>
      </c>
      <c r="E257" s="10">
        <v>2850</v>
      </c>
      <c r="F257" s="10" t="s">
        <v>92</v>
      </c>
      <c r="G257" s="10" t="s">
        <v>208</v>
      </c>
      <c r="H257" s="10" t="s">
        <v>461</v>
      </c>
      <c r="I257" s="10" t="s">
        <v>11</v>
      </c>
      <c r="J257" s="13">
        <v>363.95100000000002</v>
      </c>
      <c r="K257" s="14"/>
      <c r="L257" t="str">
        <f>VLOOKUP(A257,Formulas!A:B,2,FALSE)</f>
        <v>092101</v>
      </c>
      <c r="M257" s="32"/>
    </row>
    <row r="258" spans="1:13" ht="57.5" hidden="1" customHeight="1">
      <c r="A258" s="10">
        <v>2124</v>
      </c>
      <c r="B258" s="11" t="s">
        <v>601</v>
      </c>
      <c r="C258" s="10" t="s">
        <v>599</v>
      </c>
      <c r="D258" s="12" t="s">
        <v>591</v>
      </c>
      <c r="E258" s="10">
        <v>2550</v>
      </c>
      <c r="F258" s="10" t="s">
        <v>92</v>
      </c>
      <c r="G258" s="10" t="s">
        <v>222</v>
      </c>
      <c r="H258" s="10" t="s">
        <v>15</v>
      </c>
      <c r="I258" s="10" t="s">
        <v>206</v>
      </c>
      <c r="J258" s="13">
        <v>495.28500000000003</v>
      </c>
      <c r="K258" s="14"/>
      <c r="L258" t="str">
        <f>VLOOKUP(A258,Formulas!A:B,2,FALSE)</f>
        <v>092638</v>
      </c>
      <c r="M258" s="32"/>
    </row>
    <row r="259" spans="1:13" ht="57.5" hidden="1" customHeight="1">
      <c r="A259" s="10">
        <v>2125</v>
      </c>
      <c r="B259" s="11" t="s">
        <v>602</v>
      </c>
      <c r="C259" s="10" t="s">
        <v>599</v>
      </c>
      <c r="D259" s="12" t="s">
        <v>591</v>
      </c>
      <c r="E259" s="10">
        <v>2550</v>
      </c>
      <c r="F259" s="10" t="s">
        <v>92</v>
      </c>
      <c r="G259" s="10" t="s">
        <v>222</v>
      </c>
      <c r="H259" s="10" t="s">
        <v>15</v>
      </c>
      <c r="I259" s="10" t="s">
        <v>206</v>
      </c>
      <c r="J259" s="13">
        <v>495.28500000000003</v>
      </c>
      <c r="K259" s="14"/>
      <c r="L259" t="str">
        <f>VLOOKUP(A259,Formulas!A:B,2,FALSE)</f>
        <v>092642</v>
      </c>
      <c r="M259" s="32"/>
    </row>
    <row r="260" spans="1:13" ht="57.5" hidden="1" customHeight="1">
      <c r="A260" s="10">
        <v>2130</v>
      </c>
      <c r="B260" s="11" t="s">
        <v>942</v>
      </c>
      <c r="C260" s="10" t="s">
        <v>217</v>
      </c>
      <c r="D260" s="12" t="s">
        <v>11</v>
      </c>
      <c r="E260" s="10" t="s">
        <v>11</v>
      </c>
      <c r="F260" s="10" t="s">
        <v>96</v>
      </c>
      <c r="G260" s="10" t="s">
        <v>213</v>
      </c>
      <c r="H260" s="10" t="s">
        <v>301</v>
      </c>
      <c r="I260" s="10" t="s">
        <v>11</v>
      </c>
      <c r="J260" s="13">
        <v>129.5532</v>
      </c>
      <c r="K260" s="14"/>
      <c r="L260" t="str">
        <f>VLOOKUP(A260,Formulas!A:B,2,FALSE)</f>
        <v>092802</v>
      </c>
      <c r="M260" s="32"/>
    </row>
    <row r="261" spans="1:13" ht="57.5" hidden="1" customHeight="1">
      <c r="A261" s="10">
        <v>2138</v>
      </c>
      <c r="B261" s="11" t="s">
        <v>580</v>
      </c>
      <c r="C261" s="10" t="s">
        <v>10</v>
      </c>
      <c r="D261" s="12" t="s">
        <v>446</v>
      </c>
      <c r="E261" s="10">
        <v>1350</v>
      </c>
      <c r="F261" s="10" t="s">
        <v>85</v>
      </c>
      <c r="G261" s="10" t="s">
        <v>226</v>
      </c>
      <c r="H261" s="10" t="s">
        <v>291</v>
      </c>
      <c r="I261" s="10" t="s">
        <v>206</v>
      </c>
      <c r="J261" s="13">
        <v>263.78100000000001</v>
      </c>
      <c r="K261" s="14"/>
      <c r="L261" t="str">
        <f>VLOOKUP(A261,Formulas!A:B,2,FALSE)</f>
        <v>092581</v>
      </c>
      <c r="M261" s="32"/>
    </row>
    <row r="262" spans="1:13" ht="57.5" hidden="1" customHeight="1">
      <c r="A262" s="10">
        <v>2140</v>
      </c>
      <c r="B262" s="11" t="s">
        <v>913</v>
      </c>
      <c r="C262" s="10" t="s">
        <v>599</v>
      </c>
      <c r="D262" s="12" t="s">
        <v>591</v>
      </c>
      <c r="E262" s="10">
        <v>2550</v>
      </c>
      <c r="F262" s="10" t="s">
        <v>92</v>
      </c>
      <c r="G262" s="10" t="s">
        <v>222</v>
      </c>
      <c r="H262" s="10" t="s">
        <v>15</v>
      </c>
      <c r="I262" s="10" t="s">
        <v>206</v>
      </c>
      <c r="J262" s="13">
        <v>495.28500000000003</v>
      </c>
      <c r="K262" s="14"/>
      <c r="L262" t="str">
        <f>VLOOKUP(A262,Formulas!A:B,2,FALSE)</f>
        <v>092643</v>
      </c>
      <c r="M262" s="32"/>
    </row>
    <row r="263" spans="1:13" ht="57.5" customHeight="1">
      <c r="A263" s="10">
        <v>2151</v>
      </c>
      <c r="B263" s="11" t="s">
        <v>785</v>
      </c>
      <c r="C263" s="10" t="s">
        <v>217</v>
      </c>
      <c r="D263" s="12" t="s">
        <v>11</v>
      </c>
      <c r="E263" s="10" t="s">
        <v>11</v>
      </c>
      <c r="F263" s="10" t="s">
        <v>96</v>
      </c>
      <c r="G263" s="10" t="s">
        <v>213</v>
      </c>
      <c r="H263" s="10" t="s">
        <v>301</v>
      </c>
      <c r="I263" s="10" t="s">
        <v>11</v>
      </c>
      <c r="J263" s="13">
        <v>110.18700000000001</v>
      </c>
      <c r="K263" s="14"/>
      <c r="L263" t="e">
        <f>VLOOKUP(A263,Formulas!A:B,2,FALSE)</f>
        <v>#N/A</v>
      </c>
      <c r="M263" s="32"/>
    </row>
    <row r="264" spans="1:13" ht="57.5" hidden="1" customHeight="1">
      <c r="A264" s="10">
        <v>2155</v>
      </c>
      <c r="B264" s="11" t="s">
        <v>535</v>
      </c>
      <c r="C264" s="10" t="s">
        <v>534</v>
      </c>
      <c r="D264" s="12" t="s">
        <v>11</v>
      </c>
      <c r="E264" s="10" t="s">
        <v>11</v>
      </c>
      <c r="F264" s="10" t="s">
        <v>94</v>
      </c>
      <c r="G264" s="10" t="s">
        <v>208</v>
      </c>
      <c r="H264" s="10" t="s">
        <v>221</v>
      </c>
      <c r="I264" s="10" t="s">
        <v>206</v>
      </c>
      <c r="J264" s="13">
        <v>160.27199999999999</v>
      </c>
      <c r="K264" s="14"/>
      <c r="L264" t="str">
        <f>VLOOKUP(A264,Formulas!A:B,2,FALSE)</f>
        <v>092403</v>
      </c>
      <c r="M264" s="32"/>
    </row>
    <row r="265" spans="1:13" ht="57.5" hidden="1" customHeight="1">
      <c r="A265" s="10">
        <v>2158</v>
      </c>
      <c r="B265" s="11" t="s">
        <v>536</v>
      </c>
      <c r="C265" s="10" t="s">
        <v>534</v>
      </c>
      <c r="D265" s="12" t="s">
        <v>11</v>
      </c>
      <c r="E265" s="10" t="s">
        <v>11</v>
      </c>
      <c r="F265" s="10" t="s">
        <v>94</v>
      </c>
      <c r="G265" s="10" t="s">
        <v>208</v>
      </c>
      <c r="H265" s="10" t="s">
        <v>221</v>
      </c>
      <c r="I265" s="10" t="s">
        <v>206</v>
      </c>
      <c r="J265" s="13">
        <v>160.27199999999999</v>
      </c>
      <c r="K265" s="14"/>
      <c r="L265" t="str">
        <f>VLOOKUP(A265,Formulas!A:B,2,FALSE)</f>
        <v>092404</v>
      </c>
      <c r="M265" s="32"/>
    </row>
    <row r="266" spans="1:13" ht="57.5" hidden="1" customHeight="1">
      <c r="A266" s="10">
        <v>2164</v>
      </c>
      <c r="B266" s="11" t="s">
        <v>911</v>
      </c>
      <c r="C266" s="10" t="s">
        <v>599</v>
      </c>
      <c r="D266" s="12" t="s">
        <v>591</v>
      </c>
      <c r="E266" s="10">
        <v>2550</v>
      </c>
      <c r="F266" s="10" t="s">
        <v>92</v>
      </c>
      <c r="G266" s="10" t="s">
        <v>222</v>
      </c>
      <c r="H266" s="10" t="s">
        <v>15</v>
      </c>
      <c r="I266" s="10" t="s">
        <v>206</v>
      </c>
      <c r="J266" s="13">
        <v>495.28500000000003</v>
      </c>
      <c r="K266" s="14"/>
      <c r="L266" t="str">
        <f>VLOOKUP(A266,Formulas!A:B,2,FALSE)</f>
        <v>092639</v>
      </c>
      <c r="M266" s="32"/>
    </row>
    <row r="267" spans="1:13" ht="57.5" hidden="1" customHeight="1">
      <c r="A267" s="10">
        <v>2182</v>
      </c>
      <c r="B267" s="11" t="s">
        <v>790</v>
      </c>
      <c r="C267" s="10" t="s">
        <v>217</v>
      </c>
      <c r="D267" s="12" t="s">
        <v>11</v>
      </c>
      <c r="E267" s="10" t="s">
        <v>11</v>
      </c>
      <c r="F267" s="10" t="s">
        <v>96</v>
      </c>
      <c r="G267" s="10" t="s">
        <v>213</v>
      </c>
      <c r="H267" s="10" t="s">
        <v>301</v>
      </c>
      <c r="I267" s="10" t="s">
        <v>11</v>
      </c>
      <c r="J267" s="13">
        <v>110.18700000000001</v>
      </c>
      <c r="K267" s="14"/>
      <c r="L267" t="str">
        <f>VLOOKUP(A267,Formulas!A:B,2,FALSE)</f>
        <v>092803</v>
      </c>
      <c r="M267" s="32"/>
    </row>
    <row r="268" spans="1:13" ht="57.5" customHeight="1">
      <c r="A268" s="10">
        <v>2183</v>
      </c>
      <c r="B268" s="11" t="s">
        <v>786</v>
      </c>
      <c r="C268" s="10" t="s">
        <v>217</v>
      </c>
      <c r="D268" s="12" t="s">
        <v>11</v>
      </c>
      <c r="E268" s="10" t="s">
        <v>11</v>
      </c>
      <c r="F268" s="10" t="s">
        <v>96</v>
      </c>
      <c r="G268" s="10" t="s">
        <v>213</v>
      </c>
      <c r="H268" s="10" t="s">
        <v>301</v>
      </c>
      <c r="I268" s="10" t="s">
        <v>11</v>
      </c>
      <c r="J268" s="13">
        <v>129.5532</v>
      </c>
      <c r="K268" s="14"/>
      <c r="L268" t="e">
        <f>VLOOKUP(A268,Formulas!A:B,2,FALSE)</f>
        <v>#N/A</v>
      </c>
      <c r="M268" s="32"/>
    </row>
    <row r="269" spans="1:13" ht="57.5" hidden="1" customHeight="1">
      <c r="A269" s="10">
        <v>2184</v>
      </c>
      <c r="B269" s="11" t="s">
        <v>584</v>
      </c>
      <c r="C269" s="10" t="s">
        <v>10</v>
      </c>
      <c r="D269" s="12" t="s">
        <v>446</v>
      </c>
      <c r="E269" s="10">
        <v>1350</v>
      </c>
      <c r="F269" s="10" t="s">
        <v>85</v>
      </c>
      <c r="G269" s="10" t="s">
        <v>226</v>
      </c>
      <c r="H269" s="10" t="s">
        <v>291</v>
      </c>
      <c r="I269" s="10" t="s">
        <v>206</v>
      </c>
      <c r="J269" s="13">
        <v>263.78100000000001</v>
      </c>
      <c r="K269" s="14"/>
      <c r="L269" t="str">
        <f>VLOOKUP(A269,Formulas!A:B,2,FALSE)</f>
        <v>092592</v>
      </c>
      <c r="M269" s="32"/>
    </row>
    <row r="270" spans="1:13" ht="57.5" customHeight="1">
      <c r="A270" s="10">
        <v>2185</v>
      </c>
      <c r="B270" s="11" t="s">
        <v>715</v>
      </c>
      <c r="C270" s="10" t="s">
        <v>11</v>
      </c>
      <c r="D270" s="12" t="s">
        <v>11</v>
      </c>
      <c r="E270" s="10" t="s">
        <v>11</v>
      </c>
      <c r="F270" s="10" t="s">
        <v>208</v>
      </c>
      <c r="G270" s="10" t="s">
        <v>92</v>
      </c>
      <c r="H270" s="10" t="s">
        <v>208</v>
      </c>
      <c r="I270" s="10" t="s">
        <v>11</v>
      </c>
      <c r="J270" s="13">
        <v>26.712</v>
      </c>
      <c r="K270" s="14"/>
      <c r="L270" t="e">
        <f>VLOOKUP(A270,Formulas!A:B,2,FALSE)</f>
        <v>#N/A</v>
      </c>
      <c r="M270" s="32"/>
    </row>
    <row r="271" spans="1:13" ht="57.5" hidden="1" customHeight="1">
      <c r="A271" s="10">
        <v>2201</v>
      </c>
      <c r="B271" s="11" t="s">
        <v>1572</v>
      </c>
      <c r="C271" s="10" t="s">
        <v>10</v>
      </c>
      <c r="D271" s="12" t="s">
        <v>475</v>
      </c>
      <c r="E271" s="10">
        <v>3000</v>
      </c>
      <c r="F271" s="10" t="s">
        <v>92</v>
      </c>
      <c r="G271" s="10" t="s">
        <v>94</v>
      </c>
      <c r="H271" s="10" t="s">
        <v>94</v>
      </c>
      <c r="I271" s="10" t="s">
        <v>206</v>
      </c>
      <c r="J271" s="13">
        <v>338.35200000000003</v>
      </c>
      <c r="K271" s="14"/>
      <c r="L271" t="str">
        <f>VLOOKUP(A271,Formulas!A:B,2,FALSE)</f>
        <v>092624</v>
      </c>
      <c r="M271" s="32"/>
    </row>
    <row r="272" spans="1:13" ht="57.5" hidden="1" customHeight="1">
      <c r="A272" s="10">
        <v>2203</v>
      </c>
      <c r="B272" s="11" t="s">
        <v>603</v>
      </c>
      <c r="C272" s="10" t="s">
        <v>599</v>
      </c>
      <c r="D272" s="12" t="s">
        <v>591</v>
      </c>
      <c r="E272" s="10">
        <v>2550</v>
      </c>
      <c r="F272" s="10" t="s">
        <v>92</v>
      </c>
      <c r="G272" s="10" t="s">
        <v>222</v>
      </c>
      <c r="H272" s="10" t="s">
        <v>15</v>
      </c>
      <c r="I272" s="10" t="s">
        <v>206</v>
      </c>
      <c r="J272" s="13">
        <v>495.28500000000003</v>
      </c>
      <c r="K272" s="14"/>
      <c r="L272" t="str">
        <f>VLOOKUP(A272,Formulas!A:B,2,FALSE)</f>
        <v>092644</v>
      </c>
      <c r="M272" s="32"/>
    </row>
    <row r="273" spans="1:13" ht="57.5" hidden="1" customHeight="1">
      <c r="A273" s="22">
        <v>2206</v>
      </c>
      <c r="B273" s="23" t="s">
        <v>477</v>
      </c>
      <c r="C273" s="10" t="s">
        <v>10</v>
      </c>
      <c r="D273" s="12" t="s">
        <v>475</v>
      </c>
      <c r="E273" s="10">
        <v>3000</v>
      </c>
      <c r="F273" s="10" t="s">
        <v>92</v>
      </c>
      <c r="G273" s="10" t="s">
        <v>94</v>
      </c>
      <c r="H273" s="10" t="s">
        <v>94</v>
      </c>
      <c r="I273" s="10" t="s">
        <v>11</v>
      </c>
      <c r="J273" s="25">
        <v>400.68</v>
      </c>
      <c r="K273" s="19"/>
      <c r="L273" t="str">
        <f>VLOOKUP(A273,Formulas!A:B,2,FALSE)</f>
        <v>092112</v>
      </c>
      <c r="M273" s="32"/>
    </row>
    <row r="274" spans="1:13" ht="57.5" hidden="1" customHeight="1">
      <c r="A274" s="10">
        <v>2207</v>
      </c>
      <c r="B274" s="11" t="s">
        <v>457</v>
      </c>
      <c r="C274" s="10" t="s">
        <v>10</v>
      </c>
      <c r="D274" s="12" t="s">
        <v>446</v>
      </c>
      <c r="E274" s="10">
        <v>1350</v>
      </c>
      <c r="F274" s="10" t="s">
        <v>92</v>
      </c>
      <c r="G274" s="10" t="s">
        <v>208</v>
      </c>
      <c r="H274" s="10" t="s">
        <v>268</v>
      </c>
      <c r="I274" s="10" t="s">
        <v>11</v>
      </c>
      <c r="J274" s="13">
        <v>230.39100000000002</v>
      </c>
      <c r="K274" s="14"/>
      <c r="L274" t="str">
        <f>VLOOKUP(A274,Formulas!A:B,2,FALSE)</f>
        <v>092091</v>
      </c>
      <c r="M274" s="32"/>
    </row>
    <row r="275" spans="1:13" ht="57.5" hidden="1" customHeight="1">
      <c r="A275" s="10">
        <v>2208</v>
      </c>
      <c r="B275" s="11" t="s">
        <v>595</v>
      </c>
      <c r="C275" s="10" t="s">
        <v>10</v>
      </c>
      <c r="D275" s="12" t="s">
        <v>590</v>
      </c>
      <c r="E275" s="10">
        <v>2250</v>
      </c>
      <c r="F275" s="10" t="s">
        <v>90</v>
      </c>
      <c r="G275" s="10" t="s">
        <v>395</v>
      </c>
      <c r="H275" s="10" t="s">
        <v>395</v>
      </c>
      <c r="I275" s="10" t="s">
        <v>206</v>
      </c>
      <c r="J275" s="13">
        <v>608.81100000000004</v>
      </c>
      <c r="K275" s="14"/>
      <c r="L275" t="str">
        <f>VLOOKUP(A275,Formulas!A:B,2,FALSE)</f>
        <v>092629</v>
      </c>
      <c r="M275" s="32"/>
    </row>
    <row r="276" spans="1:13" ht="57.5" customHeight="1">
      <c r="A276" s="10">
        <v>2223</v>
      </c>
      <c r="B276" s="11" t="s">
        <v>714</v>
      </c>
      <c r="C276" s="10" t="s">
        <v>11</v>
      </c>
      <c r="D276" s="12" t="s">
        <v>11</v>
      </c>
      <c r="E276" s="10" t="s">
        <v>11</v>
      </c>
      <c r="F276" s="10" t="s">
        <v>208</v>
      </c>
      <c r="G276" s="10" t="s">
        <v>92</v>
      </c>
      <c r="H276" s="10" t="s">
        <v>208</v>
      </c>
      <c r="I276" s="10" t="s">
        <v>11</v>
      </c>
      <c r="J276" s="13">
        <v>26.712</v>
      </c>
      <c r="K276" s="14"/>
      <c r="L276" t="e">
        <f>VLOOKUP(A276,Formulas!A:B,2,FALSE)</f>
        <v>#N/A</v>
      </c>
      <c r="M276" s="32"/>
    </row>
    <row r="277" spans="1:13" ht="57.5" customHeight="1">
      <c r="A277" s="22">
        <v>2224</v>
      </c>
      <c r="B277" s="23" t="s">
        <v>716</v>
      </c>
      <c r="C277" s="10" t="s">
        <v>11</v>
      </c>
      <c r="D277" s="12" t="s">
        <v>11</v>
      </c>
      <c r="E277" s="10" t="s">
        <v>11</v>
      </c>
      <c r="F277" s="10" t="s">
        <v>208</v>
      </c>
      <c r="G277" s="10" t="s">
        <v>92</v>
      </c>
      <c r="H277" s="10" t="s">
        <v>208</v>
      </c>
      <c r="I277" s="10" t="s">
        <v>11</v>
      </c>
      <c r="J277" s="25">
        <v>26.712</v>
      </c>
      <c r="K277" s="19"/>
      <c r="L277" t="e">
        <f>VLOOKUP(A277,Formulas!A:B,2,FALSE)</f>
        <v>#N/A</v>
      </c>
      <c r="M277" s="32"/>
    </row>
    <row r="278" spans="1:13" ht="57.5" hidden="1" customHeight="1">
      <c r="A278" s="10">
        <v>2252</v>
      </c>
      <c r="B278" s="11" t="s">
        <v>472</v>
      </c>
      <c r="C278" s="10" t="s">
        <v>10</v>
      </c>
      <c r="D278" s="12" t="s">
        <v>468</v>
      </c>
      <c r="E278" s="10">
        <v>1650</v>
      </c>
      <c r="F278" s="10" t="s">
        <v>92</v>
      </c>
      <c r="G278" s="10" t="s">
        <v>13</v>
      </c>
      <c r="H278" s="10" t="s">
        <v>13</v>
      </c>
      <c r="I278" s="10" t="s">
        <v>11</v>
      </c>
      <c r="J278" s="13">
        <v>238.18199999999999</v>
      </c>
      <c r="K278" s="14"/>
      <c r="L278" t="str">
        <f>VLOOKUP(A278,Formulas!A:B,2,FALSE)</f>
        <v>092108</v>
      </c>
      <c r="M278" s="32"/>
    </row>
    <row r="279" spans="1:13" ht="57.5" hidden="1" customHeight="1">
      <c r="A279" s="10">
        <v>2255</v>
      </c>
      <c r="B279" s="11" t="s">
        <v>509</v>
      </c>
      <c r="C279" s="10" t="s">
        <v>426</v>
      </c>
      <c r="D279" s="12" t="s">
        <v>11</v>
      </c>
      <c r="E279" s="10" t="s">
        <v>11</v>
      </c>
      <c r="F279" s="10" t="s">
        <v>208</v>
      </c>
      <c r="G279" s="10" t="s">
        <v>14</v>
      </c>
      <c r="H279" s="10" t="s">
        <v>104</v>
      </c>
      <c r="I279" s="10" t="s">
        <v>206</v>
      </c>
      <c r="J279" s="13">
        <v>379.53300000000002</v>
      </c>
      <c r="K279" s="14"/>
      <c r="L279" t="str">
        <f>VLOOKUP(A279,Formulas!A:B,2,FALSE)</f>
        <v>092189</v>
      </c>
      <c r="M279" s="32"/>
    </row>
    <row r="280" spans="1:13" ht="57.5" hidden="1" customHeight="1">
      <c r="A280" s="10">
        <v>2359</v>
      </c>
      <c r="B280" s="11" t="s">
        <v>1569</v>
      </c>
      <c r="C280" s="10" t="s">
        <v>10</v>
      </c>
      <c r="D280" s="12" t="s">
        <v>475</v>
      </c>
      <c r="E280" s="10">
        <v>3000</v>
      </c>
      <c r="F280" s="10" t="s">
        <v>92</v>
      </c>
      <c r="G280" s="10" t="s">
        <v>94</v>
      </c>
      <c r="H280" s="10" t="s">
        <v>94</v>
      </c>
      <c r="I280" s="10" t="s">
        <v>206</v>
      </c>
      <c r="J280" s="13">
        <v>338.35200000000003</v>
      </c>
      <c r="K280" s="14"/>
      <c r="L280" t="str">
        <f>VLOOKUP(A280,Formulas!A:B,2,FALSE)</f>
        <v>092621</v>
      </c>
      <c r="M280" s="32"/>
    </row>
    <row r="281" spans="1:13" ht="57.5" hidden="1" customHeight="1">
      <c r="A281" s="10">
        <v>2367</v>
      </c>
      <c r="B281" s="11" t="s">
        <v>688</v>
      </c>
      <c r="C281" s="10" t="s">
        <v>217</v>
      </c>
      <c r="D281" s="12" t="s">
        <v>11</v>
      </c>
      <c r="E281" s="10" t="s">
        <v>11</v>
      </c>
      <c r="F281" s="10" t="s">
        <v>682</v>
      </c>
      <c r="G281" s="10" t="s">
        <v>220</v>
      </c>
      <c r="H281" s="10" t="s">
        <v>220</v>
      </c>
      <c r="I281" s="10" t="s">
        <v>11</v>
      </c>
      <c r="J281" s="13">
        <v>195.88800000000003</v>
      </c>
      <c r="K281" s="14"/>
      <c r="L281" t="str">
        <f>VLOOKUP(A281,Formulas!A:B,2,FALSE)</f>
        <v>092934</v>
      </c>
      <c r="M281" s="32"/>
    </row>
    <row r="282" spans="1:13" ht="57.5" hidden="1" customHeight="1">
      <c r="A282" s="10">
        <v>2373</v>
      </c>
      <c r="B282" s="11" t="s">
        <v>1570</v>
      </c>
      <c r="C282" s="10" t="s">
        <v>10</v>
      </c>
      <c r="D282" s="12" t="s">
        <v>475</v>
      </c>
      <c r="E282" s="10">
        <v>3000</v>
      </c>
      <c r="F282" s="10" t="s">
        <v>92</v>
      </c>
      <c r="G282" s="10" t="s">
        <v>94</v>
      </c>
      <c r="H282" s="10" t="s">
        <v>94</v>
      </c>
      <c r="I282" s="10" t="s">
        <v>206</v>
      </c>
      <c r="J282" s="13">
        <v>338.35200000000003</v>
      </c>
      <c r="K282" s="14"/>
      <c r="L282" t="str">
        <f>VLOOKUP(A282,Formulas!A:B,2,FALSE)</f>
        <v>092622</v>
      </c>
      <c r="M282" s="32"/>
    </row>
    <row r="283" spans="1:13" ht="57.5" hidden="1" customHeight="1">
      <c r="A283" s="10">
        <v>2452</v>
      </c>
      <c r="B283" s="11" t="s">
        <v>480</v>
      </c>
      <c r="C283" s="10" t="s">
        <v>10</v>
      </c>
      <c r="D283" s="12" t="s">
        <v>475</v>
      </c>
      <c r="E283" s="10">
        <v>3000</v>
      </c>
      <c r="F283" s="10" t="s">
        <v>92</v>
      </c>
      <c r="G283" s="10" t="s">
        <v>94</v>
      </c>
      <c r="H283" s="10" t="s">
        <v>94</v>
      </c>
      <c r="I283" s="10" t="s">
        <v>11</v>
      </c>
      <c r="J283" s="13">
        <v>400.68</v>
      </c>
      <c r="K283" s="14"/>
      <c r="L283" t="str">
        <f>VLOOKUP(A283,Formulas!A:B,2,FALSE)</f>
        <v>092116</v>
      </c>
      <c r="M283" s="32"/>
    </row>
    <row r="284" spans="1:13" ht="57.5" hidden="1" customHeight="1">
      <c r="A284" s="10">
        <v>2494</v>
      </c>
      <c r="B284" s="11" t="s">
        <v>908</v>
      </c>
      <c r="C284" s="10" t="s">
        <v>10</v>
      </c>
      <c r="D284" s="12" t="s">
        <v>446</v>
      </c>
      <c r="E284" s="10">
        <v>1350</v>
      </c>
      <c r="F284" s="10" t="s">
        <v>85</v>
      </c>
      <c r="G284" s="10" t="s">
        <v>226</v>
      </c>
      <c r="H284" s="10" t="s">
        <v>291</v>
      </c>
      <c r="I284" s="10" t="s">
        <v>206</v>
      </c>
      <c r="J284" s="13">
        <v>263.78100000000001</v>
      </c>
      <c r="K284" s="14"/>
      <c r="L284" t="str">
        <f>VLOOKUP(A284,Formulas!A:B,2,FALSE)</f>
        <v>092584</v>
      </c>
      <c r="M284" s="32"/>
    </row>
    <row r="285" spans="1:13" ht="57.5" hidden="1" customHeight="1">
      <c r="A285" s="10">
        <v>2532</v>
      </c>
      <c r="B285" s="11" t="s">
        <v>373</v>
      </c>
      <c r="C285" s="10" t="s">
        <v>10</v>
      </c>
      <c r="D285" s="12" t="s">
        <v>97</v>
      </c>
      <c r="E285" s="10">
        <v>1650</v>
      </c>
      <c r="F285" s="10" t="s">
        <v>206</v>
      </c>
      <c r="G285" s="10" t="s">
        <v>203</v>
      </c>
      <c r="H285" s="10" t="s">
        <v>374</v>
      </c>
      <c r="I285" s="10" t="s">
        <v>11</v>
      </c>
      <c r="J285" s="13">
        <v>228.16500000000002</v>
      </c>
      <c r="K285" s="14"/>
      <c r="L285" t="str">
        <f>VLOOKUP(A285,Formulas!A:B,2,FALSE)</f>
        <v>093429</v>
      </c>
      <c r="M285" s="32"/>
    </row>
    <row r="286" spans="1:13" ht="57.5" hidden="1" customHeight="1">
      <c r="A286" s="10">
        <v>2533</v>
      </c>
      <c r="B286" s="11" t="s">
        <v>375</v>
      </c>
      <c r="C286" s="10" t="s">
        <v>10</v>
      </c>
      <c r="D286" s="12" t="s">
        <v>97</v>
      </c>
      <c r="E286" s="10">
        <v>1650</v>
      </c>
      <c r="F286" s="10" t="s">
        <v>206</v>
      </c>
      <c r="G286" s="10" t="s">
        <v>203</v>
      </c>
      <c r="H286" s="10" t="s">
        <v>374</v>
      </c>
      <c r="I286" s="10" t="s">
        <v>11</v>
      </c>
      <c r="J286" s="13">
        <v>228.16500000000002</v>
      </c>
      <c r="K286" s="14"/>
      <c r="L286" t="str">
        <f>VLOOKUP(A286,Formulas!A:B,2,FALSE)</f>
        <v>093430</v>
      </c>
      <c r="M286" s="32"/>
    </row>
    <row r="287" spans="1:13" ht="57.5" hidden="1" customHeight="1">
      <c r="A287" s="10">
        <v>2537</v>
      </c>
      <c r="B287" s="11" t="s">
        <v>470</v>
      </c>
      <c r="C287" s="10" t="s">
        <v>10</v>
      </c>
      <c r="D287" s="12" t="s">
        <v>468</v>
      </c>
      <c r="E287" s="10">
        <v>1650</v>
      </c>
      <c r="F287" s="10" t="s">
        <v>92</v>
      </c>
      <c r="G287" s="10" t="s">
        <v>13</v>
      </c>
      <c r="H287" s="10" t="s">
        <v>13</v>
      </c>
      <c r="I287" s="10" t="s">
        <v>11</v>
      </c>
      <c r="J287" s="13">
        <v>238.18199999999999</v>
      </c>
      <c r="K287" s="14"/>
      <c r="L287" t="str">
        <f>VLOOKUP(A287,Formulas!A:B,2,FALSE)</f>
        <v>092105</v>
      </c>
      <c r="M287" s="32"/>
    </row>
    <row r="288" spans="1:13" ht="57.5" customHeight="1">
      <c r="A288" s="10">
        <v>2571</v>
      </c>
      <c r="B288" s="11" t="s">
        <v>793</v>
      </c>
      <c r="C288" s="10" t="s">
        <v>217</v>
      </c>
      <c r="D288" s="12" t="s">
        <v>11</v>
      </c>
      <c r="E288" s="10" t="s">
        <v>11</v>
      </c>
      <c r="F288" s="10" t="s">
        <v>96</v>
      </c>
      <c r="G288" s="10" t="s">
        <v>213</v>
      </c>
      <c r="H288" s="10" t="s">
        <v>301</v>
      </c>
      <c r="I288" s="10" t="s">
        <v>11</v>
      </c>
      <c r="J288" s="13">
        <v>110.18700000000001</v>
      </c>
      <c r="K288" s="14"/>
      <c r="L288" t="e">
        <f>VLOOKUP(A288,Formulas!A:B,2,FALSE)</f>
        <v>#N/A</v>
      </c>
      <c r="M288" s="32"/>
    </row>
    <row r="289" spans="1:13" ht="57.5" hidden="1" customHeight="1">
      <c r="A289" s="10">
        <v>2573</v>
      </c>
      <c r="B289" s="11" t="s">
        <v>614</v>
      </c>
      <c r="C289" s="10" t="s">
        <v>217</v>
      </c>
      <c r="D289" s="12" t="s">
        <v>11</v>
      </c>
      <c r="E289" s="10" t="s">
        <v>11</v>
      </c>
      <c r="F289" s="10" t="s">
        <v>288</v>
      </c>
      <c r="G289" s="10" t="s">
        <v>208</v>
      </c>
      <c r="H289" s="10" t="s">
        <v>610</v>
      </c>
      <c r="I289" s="10" t="s">
        <v>11</v>
      </c>
      <c r="J289" s="13">
        <v>52.311000000000007</v>
      </c>
      <c r="K289" s="14"/>
      <c r="L289" t="str">
        <f>VLOOKUP(A289,Formulas!A:B,2,FALSE)</f>
        <v>092673</v>
      </c>
      <c r="M289" s="32"/>
    </row>
    <row r="290" spans="1:13" ht="57.5" hidden="1" customHeight="1">
      <c r="A290" s="10">
        <v>2584</v>
      </c>
      <c r="B290" s="11" t="s">
        <v>573</v>
      </c>
      <c r="C290" s="10" t="s">
        <v>10</v>
      </c>
      <c r="D290" s="24" t="s">
        <v>460</v>
      </c>
      <c r="E290" s="22">
        <v>2850</v>
      </c>
      <c r="F290" s="10" t="s">
        <v>85</v>
      </c>
      <c r="G290" s="10" t="s">
        <v>226</v>
      </c>
      <c r="H290" s="10" t="s">
        <v>291</v>
      </c>
      <c r="I290" s="10" t="s">
        <v>206</v>
      </c>
      <c r="J290" s="13">
        <v>366.17700000000002</v>
      </c>
      <c r="K290" s="14"/>
      <c r="L290" t="str">
        <f>VLOOKUP(A290,Formulas!A:B,2,FALSE)</f>
        <v>092565</v>
      </c>
      <c r="M290" s="32"/>
    </row>
    <row r="291" spans="1:13" ht="57.5" hidden="1" customHeight="1">
      <c r="A291" s="10">
        <v>2585</v>
      </c>
      <c r="B291" s="11" t="s">
        <v>658</v>
      </c>
      <c r="C291" s="10" t="s">
        <v>217</v>
      </c>
      <c r="D291" s="24" t="s">
        <v>11</v>
      </c>
      <c r="E291" s="22" t="s">
        <v>11</v>
      </c>
      <c r="F291" s="10" t="s">
        <v>106</v>
      </c>
      <c r="G291" s="10" t="s">
        <v>245</v>
      </c>
      <c r="H291" s="10" t="s">
        <v>222</v>
      </c>
      <c r="I291" s="10" t="s">
        <v>11</v>
      </c>
      <c r="J291" s="13">
        <v>180.30600000000001</v>
      </c>
      <c r="K291" s="14"/>
      <c r="L291" t="str">
        <f>VLOOKUP(A291,Formulas!A:B,2,FALSE)</f>
        <v>092825</v>
      </c>
      <c r="M291" s="32"/>
    </row>
    <row r="292" spans="1:13" ht="57.5" hidden="1" customHeight="1">
      <c r="A292" s="10">
        <v>2626</v>
      </c>
      <c r="B292" s="11" t="s">
        <v>689</v>
      </c>
      <c r="C292" s="10" t="s">
        <v>217</v>
      </c>
      <c r="D292" s="24" t="s">
        <v>11</v>
      </c>
      <c r="E292" s="22" t="s">
        <v>11</v>
      </c>
      <c r="F292" s="10" t="s">
        <v>682</v>
      </c>
      <c r="G292" s="10" t="s">
        <v>220</v>
      </c>
      <c r="H292" s="10" t="s">
        <v>220</v>
      </c>
      <c r="I292" s="10" t="s">
        <v>11</v>
      </c>
      <c r="J292" s="13">
        <v>195.88800000000003</v>
      </c>
      <c r="K292" s="14"/>
      <c r="L292" t="str">
        <f>VLOOKUP(A292,Formulas!A:B,2,FALSE)</f>
        <v>092935</v>
      </c>
      <c r="M292" s="32"/>
    </row>
    <row r="293" spans="1:13" ht="57.5" hidden="1" customHeight="1">
      <c r="A293" s="10">
        <v>2639</v>
      </c>
      <c r="B293" s="11" t="s">
        <v>544</v>
      </c>
      <c r="C293" s="10" t="s">
        <v>182</v>
      </c>
      <c r="D293" s="24" t="s">
        <v>11</v>
      </c>
      <c r="E293" s="22" t="s">
        <v>11</v>
      </c>
      <c r="F293" s="10" t="s">
        <v>208</v>
      </c>
      <c r="G293" s="10" t="s">
        <v>208</v>
      </c>
      <c r="H293" s="10" t="s">
        <v>208</v>
      </c>
      <c r="I293" s="10" t="s">
        <v>206</v>
      </c>
      <c r="J293" s="13">
        <v>91.266000000000005</v>
      </c>
      <c r="K293" s="14"/>
      <c r="L293" t="str">
        <f>VLOOKUP(A293,Formulas!A:B,2,FALSE)</f>
        <v>092434</v>
      </c>
      <c r="M293" s="32"/>
    </row>
    <row r="294" spans="1:13" ht="57.5" hidden="1" customHeight="1">
      <c r="A294" s="10">
        <v>2640</v>
      </c>
      <c r="B294" s="11" t="s">
        <v>615</v>
      </c>
      <c r="C294" s="10" t="s">
        <v>217</v>
      </c>
      <c r="D294" s="24" t="s">
        <v>11</v>
      </c>
      <c r="E294" s="22" t="s">
        <v>11</v>
      </c>
      <c r="F294" s="10" t="s">
        <v>288</v>
      </c>
      <c r="G294" s="10" t="s">
        <v>208</v>
      </c>
      <c r="H294" s="10" t="s">
        <v>610</v>
      </c>
      <c r="I294" s="10" t="s">
        <v>11</v>
      </c>
      <c r="J294" s="13">
        <v>52.311000000000007</v>
      </c>
      <c r="K294" s="14"/>
      <c r="L294" t="str">
        <f>VLOOKUP(A294,Formulas!A:B,2,FALSE)</f>
        <v>092674</v>
      </c>
      <c r="M294" s="32"/>
    </row>
    <row r="295" spans="1:13" ht="57.5" hidden="1" customHeight="1">
      <c r="A295" s="10">
        <v>2723</v>
      </c>
      <c r="B295" s="11" t="s">
        <v>503</v>
      </c>
      <c r="C295" s="10" t="s">
        <v>424</v>
      </c>
      <c r="D295" s="24" t="s">
        <v>11</v>
      </c>
      <c r="E295" s="22" t="s">
        <v>11</v>
      </c>
      <c r="F295" s="10" t="s">
        <v>208</v>
      </c>
      <c r="G295" s="10" t="s">
        <v>14</v>
      </c>
      <c r="H295" s="10" t="s">
        <v>14</v>
      </c>
      <c r="I295" s="10" t="s">
        <v>206</v>
      </c>
      <c r="J295" s="13">
        <v>125.76900000000001</v>
      </c>
      <c r="K295" s="14"/>
      <c r="L295" t="str">
        <f>VLOOKUP(A295,Formulas!A:B,2,FALSE)</f>
        <v>092180</v>
      </c>
      <c r="M295" s="32"/>
    </row>
    <row r="296" spans="1:13" ht="57.5" customHeight="1">
      <c r="A296" s="22">
        <v>2808</v>
      </c>
      <c r="B296" s="23" t="s">
        <v>943</v>
      </c>
      <c r="C296" s="10" t="s">
        <v>217</v>
      </c>
      <c r="D296" s="24" t="s">
        <v>11</v>
      </c>
      <c r="E296" s="22" t="s">
        <v>11</v>
      </c>
      <c r="F296" s="10" t="s">
        <v>96</v>
      </c>
      <c r="G296" s="10" t="s">
        <v>213</v>
      </c>
      <c r="H296" s="10" t="s">
        <v>301</v>
      </c>
      <c r="I296" s="10" t="s">
        <v>11</v>
      </c>
      <c r="J296" s="25">
        <v>110.18700000000001</v>
      </c>
      <c r="K296" s="19"/>
      <c r="L296" t="e">
        <f>VLOOKUP(A296,Formulas!A:B,2,FALSE)</f>
        <v>#N/A</v>
      </c>
      <c r="M296" s="32"/>
    </row>
    <row r="297" spans="1:13" ht="57.5" hidden="1" customHeight="1">
      <c r="A297" s="10">
        <v>2849</v>
      </c>
      <c r="B297" s="11" t="s">
        <v>955</v>
      </c>
      <c r="C297" s="10" t="s">
        <v>217</v>
      </c>
      <c r="D297" s="24" t="s">
        <v>11</v>
      </c>
      <c r="E297" s="22" t="s">
        <v>11</v>
      </c>
      <c r="F297" s="10" t="s">
        <v>383</v>
      </c>
      <c r="G297" s="10" t="s">
        <v>289</v>
      </c>
      <c r="H297" s="10" t="s">
        <v>289</v>
      </c>
      <c r="I297" s="10" t="s">
        <v>11</v>
      </c>
      <c r="J297" s="13">
        <v>391.77600000000007</v>
      </c>
      <c r="K297" s="14"/>
      <c r="L297" t="str">
        <f>VLOOKUP(A297,Formulas!A:B,2,FALSE)</f>
        <v>093444</v>
      </c>
      <c r="M297" s="32"/>
    </row>
    <row r="298" spans="1:13" ht="57.5" hidden="1" customHeight="1">
      <c r="A298" s="10">
        <v>2851</v>
      </c>
      <c r="B298" s="11" t="s">
        <v>384</v>
      </c>
      <c r="C298" s="10" t="s">
        <v>217</v>
      </c>
      <c r="D298" s="24" t="s">
        <v>11</v>
      </c>
      <c r="E298" s="22" t="s">
        <v>11</v>
      </c>
      <c r="F298" s="10" t="s">
        <v>383</v>
      </c>
      <c r="G298" s="10" t="s">
        <v>289</v>
      </c>
      <c r="H298" s="10" t="s">
        <v>289</v>
      </c>
      <c r="I298" s="10" t="s">
        <v>11</v>
      </c>
      <c r="J298" s="13">
        <v>327.22199999999998</v>
      </c>
      <c r="K298" s="14"/>
      <c r="L298" t="str">
        <f>VLOOKUP(A298,Formulas!A:B,2,FALSE)</f>
        <v>093446</v>
      </c>
      <c r="M298" s="32"/>
    </row>
    <row r="299" spans="1:13" ht="57.5" hidden="1" customHeight="1">
      <c r="A299" s="10">
        <v>2852</v>
      </c>
      <c r="B299" s="11" t="s">
        <v>385</v>
      </c>
      <c r="C299" s="10" t="s">
        <v>217</v>
      </c>
      <c r="D299" s="24" t="s">
        <v>11</v>
      </c>
      <c r="E299" s="22" t="s">
        <v>11</v>
      </c>
      <c r="F299" s="10" t="s">
        <v>383</v>
      </c>
      <c r="G299" s="10" t="s">
        <v>289</v>
      </c>
      <c r="H299" s="10" t="s">
        <v>289</v>
      </c>
      <c r="I299" s="10" t="s">
        <v>11</v>
      </c>
      <c r="J299" s="13">
        <v>327.22199999999998</v>
      </c>
      <c r="K299" s="14"/>
      <c r="L299" t="str">
        <f>VLOOKUP(A299,Formulas!A:B,2,FALSE)</f>
        <v>093447</v>
      </c>
      <c r="M299" s="32"/>
    </row>
    <row r="300" spans="1:13" ht="57.5" hidden="1" customHeight="1">
      <c r="A300" s="10">
        <v>2853</v>
      </c>
      <c r="B300" s="11" t="s">
        <v>290</v>
      </c>
      <c r="C300" s="10" t="s">
        <v>217</v>
      </c>
      <c r="D300" s="12" t="s">
        <v>11</v>
      </c>
      <c r="E300" s="10" t="s">
        <v>11</v>
      </c>
      <c r="F300" s="10" t="s">
        <v>15</v>
      </c>
      <c r="G300" s="10" t="s">
        <v>208</v>
      </c>
      <c r="H300" s="10" t="s">
        <v>85</v>
      </c>
      <c r="I300" s="10" t="s">
        <v>206</v>
      </c>
      <c r="J300" s="13">
        <v>233.73000000000002</v>
      </c>
      <c r="K300" s="14"/>
      <c r="L300" t="str">
        <f>VLOOKUP(A300,Formulas!A:B,2,FALSE)</f>
        <v>093133</v>
      </c>
      <c r="M300" s="32"/>
    </row>
    <row r="301" spans="1:13" ht="57.5" hidden="1" customHeight="1">
      <c r="A301" s="10">
        <v>2855</v>
      </c>
      <c r="B301" s="11" t="s">
        <v>883</v>
      </c>
      <c r="C301" s="10" t="s">
        <v>217</v>
      </c>
      <c r="D301" s="12" t="s">
        <v>11</v>
      </c>
      <c r="E301" s="10" t="s">
        <v>11</v>
      </c>
      <c r="F301" s="10" t="s">
        <v>15</v>
      </c>
      <c r="G301" s="10" t="s">
        <v>208</v>
      </c>
      <c r="H301" s="10" t="s">
        <v>85</v>
      </c>
      <c r="I301" s="10" t="s">
        <v>206</v>
      </c>
      <c r="J301" s="13">
        <v>233.73000000000002</v>
      </c>
      <c r="K301" s="14"/>
      <c r="L301" t="str">
        <f>VLOOKUP(A301,Formulas!A:B,2,FALSE)</f>
        <v>093135</v>
      </c>
      <c r="M301" s="32"/>
    </row>
    <row r="302" spans="1:13" ht="57.5" hidden="1" customHeight="1">
      <c r="A302" s="10">
        <v>2857</v>
      </c>
      <c r="B302" s="11" t="s">
        <v>389</v>
      </c>
      <c r="C302" s="10" t="s">
        <v>217</v>
      </c>
      <c r="D302" s="12" t="s">
        <v>11</v>
      </c>
      <c r="E302" s="10" t="s">
        <v>11</v>
      </c>
      <c r="F302" s="10" t="s">
        <v>390</v>
      </c>
      <c r="G302" s="10" t="s">
        <v>392</v>
      </c>
      <c r="H302" s="10" t="s">
        <v>392</v>
      </c>
      <c r="I302" s="10" t="s">
        <v>11</v>
      </c>
      <c r="J302" s="13">
        <v>320.54399999999998</v>
      </c>
      <c r="K302" s="14"/>
      <c r="L302" t="str">
        <f>VLOOKUP(A302,Formulas!A:B,2,FALSE)</f>
        <v>093452</v>
      </c>
      <c r="M302" s="32"/>
    </row>
    <row r="303" spans="1:13" ht="57.5" hidden="1" customHeight="1">
      <c r="A303" s="10">
        <v>2858</v>
      </c>
      <c r="B303" s="11" t="s">
        <v>957</v>
      </c>
      <c r="C303" s="10" t="s">
        <v>217</v>
      </c>
      <c r="D303" s="12" t="s">
        <v>11</v>
      </c>
      <c r="E303" s="10" t="s">
        <v>11</v>
      </c>
      <c r="F303" s="10" t="s">
        <v>390</v>
      </c>
      <c r="G303" s="10" t="s">
        <v>392</v>
      </c>
      <c r="H303" s="10" t="s">
        <v>392</v>
      </c>
      <c r="I303" s="10" t="s">
        <v>11</v>
      </c>
      <c r="J303" s="13">
        <v>383.98500000000001</v>
      </c>
      <c r="K303" s="14"/>
      <c r="L303" t="str">
        <f>VLOOKUP(A303,Formulas!A:B,2,FALSE)</f>
        <v>093453</v>
      </c>
      <c r="M303" s="32"/>
    </row>
    <row r="304" spans="1:13" ht="57.5" hidden="1" customHeight="1">
      <c r="A304" s="10">
        <v>2859</v>
      </c>
      <c r="B304" s="11" t="s">
        <v>958</v>
      </c>
      <c r="C304" s="10" t="s">
        <v>217</v>
      </c>
      <c r="D304" s="12" t="s">
        <v>11</v>
      </c>
      <c r="E304" s="10" t="s">
        <v>11</v>
      </c>
      <c r="F304" s="10" t="s">
        <v>390</v>
      </c>
      <c r="G304" s="10" t="s">
        <v>392</v>
      </c>
      <c r="H304" s="10" t="s">
        <v>392</v>
      </c>
      <c r="I304" s="10" t="s">
        <v>11</v>
      </c>
      <c r="J304" s="13">
        <v>320.54399999999998</v>
      </c>
      <c r="K304" s="14"/>
      <c r="L304" t="str">
        <f>VLOOKUP(A304,Formulas!A:B,2,FALSE)</f>
        <v>093454</v>
      </c>
      <c r="M304" s="32"/>
    </row>
    <row r="305" spans="1:13" ht="57.5" hidden="1" customHeight="1">
      <c r="A305" s="10">
        <v>2868</v>
      </c>
      <c r="B305" s="11" t="s">
        <v>209</v>
      </c>
      <c r="C305" s="10" t="s">
        <v>10</v>
      </c>
      <c r="D305" s="12" t="s">
        <v>314</v>
      </c>
      <c r="E305" s="10">
        <v>112</v>
      </c>
      <c r="F305" s="10" t="s">
        <v>211</v>
      </c>
      <c r="G305" s="10" t="s">
        <v>212</v>
      </c>
      <c r="H305" s="10" t="s">
        <v>213</v>
      </c>
      <c r="I305" s="10" t="s">
        <v>11</v>
      </c>
      <c r="J305" s="13">
        <v>171.40199999999999</v>
      </c>
      <c r="K305" s="14"/>
      <c r="L305" t="str">
        <f>VLOOKUP(A305,Formulas!A:B,2,FALSE)</f>
        <v>092976</v>
      </c>
      <c r="M305" s="32"/>
    </row>
    <row r="306" spans="1:13" ht="57.5" hidden="1" customHeight="1">
      <c r="A306" s="10">
        <v>2870</v>
      </c>
      <c r="B306" s="11" t="s">
        <v>214</v>
      </c>
      <c r="C306" s="10" t="s">
        <v>10</v>
      </c>
      <c r="D306" s="12" t="s">
        <v>314</v>
      </c>
      <c r="E306" s="10">
        <v>112</v>
      </c>
      <c r="F306" s="10" t="s">
        <v>211</v>
      </c>
      <c r="G306" s="10" t="s">
        <v>212</v>
      </c>
      <c r="H306" s="10" t="s">
        <v>213</v>
      </c>
      <c r="I306" s="10" t="s">
        <v>11</v>
      </c>
      <c r="J306" s="13">
        <v>204.792</v>
      </c>
      <c r="K306" s="14"/>
      <c r="L306" t="str">
        <f>VLOOKUP(A306,Formulas!A:B,2,FALSE)</f>
        <v>092978</v>
      </c>
      <c r="M306" s="32"/>
    </row>
    <row r="307" spans="1:13" ht="57.5" hidden="1" customHeight="1">
      <c r="A307" s="10">
        <v>2872</v>
      </c>
      <c r="B307" s="11" t="s">
        <v>916</v>
      </c>
      <c r="C307" s="10" t="s">
        <v>10</v>
      </c>
      <c r="D307" s="12" t="s">
        <v>314</v>
      </c>
      <c r="E307" s="10">
        <v>112</v>
      </c>
      <c r="F307" s="10" t="s">
        <v>211</v>
      </c>
      <c r="G307" s="10" t="s">
        <v>212</v>
      </c>
      <c r="H307" s="10" t="s">
        <v>213</v>
      </c>
      <c r="I307" s="10" t="s">
        <v>11</v>
      </c>
      <c r="J307" s="13">
        <v>204.792</v>
      </c>
      <c r="K307" s="14"/>
      <c r="L307" t="str">
        <f>VLOOKUP(A307,Formulas!A:B,2,FALSE)</f>
        <v>092980</v>
      </c>
      <c r="M307" s="32"/>
    </row>
    <row r="308" spans="1:13" ht="57.5" hidden="1" customHeight="1">
      <c r="A308" s="10">
        <v>2874</v>
      </c>
      <c r="B308" s="11" t="s">
        <v>954</v>
      </c>
      <c r="C308" s="10" t="s">
        <v>10</v>
      </c>
      <c r="D308" s="12" t="s">
        <v>379</v>
      </c>
      <c r="E308" s="10">
        <v>975</v>
      </c>
      <c r="F308" s="10" t="s">
        <v>380</v>
      </c>
      <c r="G308" s="10" t="s">
        <v>14</v>
      </c>
      <c r="H308" s="10" t="s">
        <v>289</v>
      </c>
      <c r="I308" s="10" t="s">
        <v>11</v>
      </c>
      <c r="J308" s="13">
        <v>319.43100000000004</v>
      </c>
      <c r="K308" s="14"/>
      <c r="L308" t="str">
        <f>VLOOKUP(A308,Formulas!A:B,2,FALSE)</f>
        <v>093434</v>
      </c>
      <c r="M308" s="32"/>
    </row>
    <row r="309" spans="1:13" ht="57.5" hidden="1" customHeight="1">
      <c r="A309" s="10">
        <v>2876</v>
      </c>
      <c r="B309" s="11" t="s">
        <v>381</v>
      </c>
      <c r="C309" s="10" t="s">
        <v>10</v>
      </c>
      <c r="D309" s="12" t="s">
        <v>379</v>
      </c>
      <c r="E309" s="10">
        <v>975</v>
      </c>
      <c r="F309" s="10" t="s">
        <v>380</v>
      </c>
      <c r="G309" s="10" t="s">
        <v>14</v>
      </c>
      <c r="H309" s="10" t="s">
        <v>289</v>
      </c>
      <c r="I309" s="10" t="s">
        <v>11</v>
      </c>
      <c r="J309" s="13">
        <v>319.43100000000004</v>
      </c>
      <c r="K309" s="14"/>
      <c r="L309" t="str">
        <f>VLOOKUP(A309,Formulas!A:B,2,FALSE)</f>
        <v>093435</v>
      </c>
      <c r="M309" s="32"/>
    </row>
    <row r="310" spans="1:13" ht="57.5" hidden="1" customHeight="1">
      <c r="A310" s="22">
        <v>2878</v>
      </c>
      <c r="B310" s="23" t="s">
        <v>382</v>
      </c>
      <c r="C310" s="22" t="s">
        <v>10</v>
      </c>
      <c r="D310" s="24" t="s">
        <v>379</v>
      </c>
      <c r="E310" s="22">
        <v>975</v>
      </c>
      <c r="F310" s="22" t="s">
        <v>380</v>
      </c>
      <c r="G310" s="22" t="s">
        <v>14</v>
      </c>
      <c r="H310" s="22" t="s">
        <v>289</v>
      </c>
      <c r="I310" s="10" t="s">
        <v>11</v>
      </c>
      <c r="J310" s="25">
        <v>319.43100000000004</v>
      </c>
      <c r="K310" s="19"/>
      <c r="L310" t="str">
        <f>VLOOKUP(A310,Formulas!A:B,2,FALSE)</f>
        <v>093437</v>
      </c>
      <c r="M310" s="32"/>
    </row>
    <row r="311" spans="1:13" ht="57.5" customHeight="1">
      <c r="A311" s="22">
        <v>2882</v>
      </c>
      <c r="B311" s="23" t="s">
        <v>401</v>
      </c>
      <c r="C311" s="22" t="s">
        <v>102</v>
      </c>
      <c r="D311" s="24" t="s">
        <v>11</v>
      </c>
      <c r="E311" s="22" t="s">
        <v>11</v>
      </c>
      <c r="F311" s="22" t="s">
        <v>402</v>
      </c>
      <c r="G311" s="22" t="s">
        <v>280</v>
      </c>
      <c r="H311" s="22" t="s">
        <v>280</v>
      </c>
      <c r="I311" s="10" t="s">
        <v>11</v>
      </c>
      <c r="J311" s="25">
        <v>87.927000000000007</v>
      </c>
      <c r="K311" s="19"/>
      <c r="L311" t="e">
        <f>VLOOKUP(A311,Formulas!A:B,2,FALSE)</f>
        <v>#N/A</v>
      </c>
      <c r="M311" s="32"/>
    </row>
    <row r="312" spans="1:13" ht="57.5" customHeight="1">
      <c r="A312" s="10">
        <v>2883</v>
      </c>
      <c r="B312" s="11" t="s">
        <v>948</v>
      </c>
      <c r="C312" s="10" t="s">
        <v>102</v>
      </c>
      <c r="D312" s="12" t="s">
        <v>11</v>
      </c>
      <c r="E312" s="10" t="s">
        <v>11</v>
      </c>
      <c r="F312" s="10" t="s">
        <v>402</v>
      </c>
      <c r="G312" s="10" t="s">
        <v>280</v>
      </c>
      <c r="H312" s="10" t="s">
        <v>280</v>
      </c>
      <c r="I312" s="10" t="s">
        <v>11</v>
      </c>
      <c r="J312" s="13">
        <v>104.62200000000001</v>
      </c>
      <c r="K312" s="14"/>
      <c r="L312" t="e">
        <f>VLOOKUP(A312,Formulas!A:B,2,FALSE)</f>
        <v>#N/A</v>
      </c>
      <c r="M312" s="32"/>
    </row>
    <row r="313" spans="1:13" ht="57.5" hidden="1" customHeight="1">
      <c r="A313" s="10">
        <v>2884</v>
      </c>
      <c r="B313" s="11" t="s">
        <v>346</v>
      </c>
      <c r="C313" s="10" t="s">
        <v>102</v>
      </c>
      <c r="D313" s="12" t="s">
        <v>11</v>
      </c>
      <c r="E313" s="10" t="s">
        <v>11</v>
      </c>
      <c r="F313" s="10" t="s">
        <v>12</v>
      </c>
      <c r="G313" s="10" t="s">
        <v>270</v>
      </c>
      <c r="H313" s="10" t="s">
        <v>270</v>
      </c>
      <c r="I313" s="10" t="s">
        <v>11</v>
      </c>
      <c r="J313" s="13">
        <v>161.38500000000002</v>
      </c>
      <c r="K313" s="14"/>
      <c r="L313" t="str">
        <f>VLOOKUP(A313,Formulas!A:B,2,FALSE)</f>
        <v>093336</v>
      </c>
      <c r="M313" s="32"/>
    </row>
    <row r="314" spans="1:13" ht="57.5" hidden="1" customHeight="1">
      <c r="A314" s="10">
        <v>2886</v>
      </c>
      <c r="B314" s="11" t="s">
        <v>949</v>
      </c>
      <c r="C314" s="10" t="s">
        <v>102</v>
      </c>
      <c r="D314" s="12" t="s">
        <v>11</v>
      </c>
      <c r="E314" s="10" t="s">
        <v>11</v>
      </c>
      <c r="F314" s="10" t="s">
        <v>402</v>
      </c>
      <c r="G314" s="10" t="s">
        <v>280</v>
      </c>
      <c r="H314" s="10" t="s">
        <v>280</v>
      </c>
      <c r="I314" s="10" t="s">
        <v>11</v>
      </c>
      <c r="J314" s="13">
        <v>87.927000000000007</v>
      </c>
      <c r="K314" s="14"/>
      <c r="L314" t="str">
        <f>VLOOKUP(A314,Formulas!A:B,2,FALSE)</f>
        <v>093467</v>
      </c>
      <c r="M314" s="32"/>
    </row>
    <row r="315" spans="1:13" ht="57.5" hidden="1" customHeight="1">
      <c r="A315" s="10">
        <v>2887</v>
      </c>
      <c r="B315" s="11" t="s">
        <v>963</v>
      </c>
      <c r="C315" s="10" t="s">
        <v>102</v>
      </c>
      <c r="D315" s="12" t="s">
        <v>11</v>
      </c>
      <c r="E315" s="10" t="s">
        <v>11</v>
      </c>
      <c r="F315" s="10" t="s">
        <v>12</v>
      </c>
      <c r="G315" s="10" t="s">
        <v>270</v>
      </c>
      <c r="H315" s="10" t="s">
        <v>270</v>
      </c>
      <c r="I315" s="10" t="s">
        <v>11</v>
      </c>
      <c r="J315" s="13">
        <v>161.38500000000002</v>
      </c>
      <c r="K315" s="14"/>
      <c r="L315" t="str">
        <f>VLOOKUP(A315,Formulas!A:B,2,FALSE)</f>
        <v>093338</v>
      </c>
      <c r="M315" s="32"/>
    </row>
    <row r="316" spans="1:13" ht="57.5" hidden="1" customHeight="1">
      <c r="A316" s="10">
        <v>2894</v>
      </c>
      <c r="B316" s="11" t="s">
        <v>216</v>
      </c>
      <c r="C316" s="10" t="s">
        <v>217</v>
      </c>
      <c r="D316" s="12" t="s">
        <v>11</v>
      </c>
      <c r="E316" s="10" t="s">
        <v>11</v>
      </c>
      <c r="F316" s="10" t="s">
        <v>95</v>
      </c>
      <c r="G316" s="10" t="s">
        <v>347</v>
      </c>
      <c r="H316" s="10" t="s">
        <v>218</v>
      </c>
      <c r="I316" s="10" t="s">
        <v>11</v>
      </c>
      <c r="J316" s="13">
        <v>152.48099999999999</v>
      </c>
      <c r="K316" s="14" t="s">
        <v>219</v>
      </c>
      <c r="L316" t="str">
        <f>VLOOKUP(A316,Formulas!A:B,2,FALSE)</f>
        <v>092983</v>
      </c>
      <c r="M316" s="32"/>
    </row>
    <row r="317" spans="1:13" ht="57.5" hidden="1" customHeight="1">
      <c r="A317" s="10">
        <v>2898</v>
      </c>
      <c r="B317" s="11" t="s">
        <v>917</v>
      </c>
      <c r="C317" s="10" t="s">
        <v>217</v>
      </c>
      <c r="D317" s="12" t="s">
        <v>11</v>
      </c>
      <c r="E317" s="10" t="s">
        <v>11</v>
      </c>
      <c r="F317" s="10" t="s">
        <v>95</v>
      </c>
      <c r="G317" s="10" t="s">
        <v>347</v>
      </c>
      <c r="H317" s="10" t="s">
        <v>218</v>
      </c>
      <c r="I317" s="10" t="s">
        <v>11</v>
      </c>
      <c r="J317" s="13">
        <v>152.48099999999999</v>
      </c>
      <c r="K317" s="14" t="s">
        <v>219</v>
      </c>
      <c r="L317" t="str">
        <f>VLOOKUP(A317,Formulas!A:B,2,FALSE)</f>
        <v>092985</v>
      </c>
      <c r="M317" s="32"/>
    </row>
    <row r="318" spans="1:13" ht="57.5" hidden="1" customHeight="1">
      <c r="A318" s="10">
        <v>2916</v>
      </c>
      <c r="B318" s="11" t="s">
        <v>387</v>
      </c>
      <c r="C318" s="10" t="s">
        <v>102</v>
      </c>
      <c r="D318" s="12" t="s">
        <v>11</v>
      </c>
      <c r="E318" s="10" t="s">
        <v>11</v>
      </c>
      <c r="F318" s="10" t="s">
        <v>388</v>
      </c>
      <c r="G318" s="10" t="s">
        <v>270</v>
      </c>
      <c r="H318" s="10" t="s">
        <v>270</v>
      </c>
      <c r="I318" s="10" t="s">
        <v>11</v>
      </c>
      <c r="J318" s="13">
        <v>299.39699999999999</v>
      </c>
      <c r="K318" s="14"/>
      <c r="L318" t="str">
        <f>VLOOKUP(A318,Formulas!A:B,2,FALSE)</f>
        <v>093449</v>
      </c>
      <c r="M318" s="32"/>
    </row>
    <row r="319" spans="1:13" ht="57.5" hidden="1" customHeight="1">
      <c r="A319" s="22">
        <v>2918</v>
      </c>
      <c r="B319" s="23" t="s">
        <v>956</v>
      </c>
      <c r="C319" s="22" t="s">
        <v>102</v>
      </c>
      <c r="D319" s="24" t="s">
        <v>11</v>
      </c>
      <c r="E319" s="22" t="s">
        <v>11</v>
      </c>
      <c r="F319" s="22" t="s">
        <v>388</v>
      </c>
      <c r="G319" s="22" t="s">
        <v>270</v>
      </c>
      <c r="H319" s="22" t="s">
        <v>270</v>
      </c>
      <c r="I319" s="10" t="s">
        <v>11</v>
      </c>
      <c r="J319" s="25">
        <v>299.39699999999999</v>
      </c>
      <c r="K319" s="19"/>
      <c r="L319" t="str">
        <f>VLOOKUP(A319,Formulas!A:B,2,FALSE)</f>
        <v>093451</v>
      </c>
      <c r="M319" s="32"/>
    </row>
    <row r="320" spans="1:13" ht="57.5" hidden="1" customHeight="1">
      <c r="A320" s="10">
        <v>2919</v>
      </c>
      <c r="B320" s="11" t="s">
        <v>962</v>
      </c>
      <c r="C320" s="10" t="s">
        <v>217</v>
      </c>
      <c r="D320" s="12" t="s">
        <v>11</v>
      </c>
      <c r="E320" s="10" t="s">
        <v>11</v>
      </c>
      <c r="F320" s="10" t="s">
        <v>1476</v>
      </c>
      <c r="G320" s="10" t="s">
        <v>289</v>
      </c>
      <c r="H320" s="10" t="s">
        <v>289</v>
      </c>
      <c r="I320" s="10" t="s">
        <v>11</v>
      </c>
      <c r="J320" s="13">
        <v>247.08600000000001</v>
      </c>
      <c r="K320" s="14"/>
      <c r="L320" t="str">
        <f>VLOOKUP(A320,Formulas!A:B,2,FALSE)</f>
        <v>093331</v>
      </c>
      <c r="M320" s="32"/>
    </row>
    <row r="321" spans="1:13" ht="57.5" hidden="1" customHeight="1">
      <c r="A321" s="10">
        <v>2921</v>
      </c>
      <c r="B321" s="11" t="s">
        <v>343</v>
      </c>
      <c r="C321" s="10" t="s">
        <v>217</v>
      </c>
      <c r="D321" s="12" t="s">
        <v>11</v>
      </c>
      <c r="E321" s="10" t="s">
        <v>11</v>
      </c>
      <c r="F321" s="10" t="s">
        <v>1476</v>
      </c>
      <c r="G321" s="10" t="s">
        <v>289</v>
      </c>
      <c r="H321" s="10" t="s">
        <v>289</v>
      </c>
      <c r="I321" s="10" t="s">
        <v>11</v>
      </c>
      <c r="J321" s="13">
        <v>205.905</v>
      </c>
      <c r="K321" s="14"/>
      <c r="L321" t="str">
        <f>VLOOKUP(A321,Formulas!A:B,2,FALSE)</f>
        <v>093333</v>
      </c>
      <c r="M321" s="32"/>
    </row>
    <row r="322" spans="1:13" ht="57.5" hidden="1" customHeight="1">
      <c r="A322" s="10">
        <v>2922</v>
      </c>
      <c r="B322" s="11" t="s">
        <v>344</v>
      </c>
      <c r="C322" s="10" t="s">
        <v>217</v>
      </c>
      <c r="D322" s="12" t="s">
        <v>11</v>
      </c>
      <c r="E322" s="10" t="s">
        <v>11</v>
      </c>
      <c r="F322" s="10" t="s">
        <v>1476</v>
      </c>
      <c r="G322" s="10" t="s">
        <v>289</v>
      </c>
      <c r="H322" s="10" t="s">
        <v>289</v>
      </c>
      <c r="I322" s="10" t="s">
        <v>11</v>
      </c>
      <c r="J322" s="13">
        <v>205.905</v>
      </c>
      <c r="K322" s="14"/>
      <c r="L322" t="str">
        <f>VLOOKUP(A322,Formulas!A:B,2,FALSE)</f>
        <v>093334</v>
      </c>
      <c r="M322" s="32"/>
    </row>
    <row r="323" spans="1:13" ht="57.5" hidden="1" customHeight="1">
      <c r="A323" s="22">
        <v>2932</v>
      </c>
      <c r="B323" s="23" t="s">
        <v>376</v>
      </c>
      <c r="C323" s="22" t="s">
        <v>10</v>
      </c>
      <c r="D323" s="24" t="s">
        <v>97</v>
      </c>
      <c r="E323" s="22">
        <v>1650</v>
      </c>
      <c r="F323" s="22" t="s">
        <v>206</v>
      </c>
      <c r="G323" s="22" t="s">
        <v>203</v>
      </c>
      <c r="H323" s="22" t="s">
        <v>374</v>
      </c>
      <c r="I323" s="10" t="s">
        <v>11</v>
      </c>
      <c r="J323" s="25">
        <v>228.16500000000002</v>
      </c>
      <c r="K323" s="19"/>
      <c r="L323" t="str">
        <f>VLOOKUP(A323,Formulas!A:B,2,FALSE)</f>
        <v>093431</v>
      </c>
      <c r="M323" s="32"/>
    </row>
    <row r="324" spans="1:13" ht="57.5" hidden="1" customHeight="1">
      <c r="A324" s="10">
        <v>2933</v>
      </c>
      <c r="B324" s="11" t="s">
        <v>378</v>
      </c>
      <c r="C324" s="10" t="s">
        <v>10</v>
      </c>
      <c r="D324" s="12" t="s">
        <v>97</v>
      </c>
      <c r="E324" s="10">
        <v>1650</v>
      </c>
      <c r="F324" s="10" t="s">
        <v>206</v>
      </c>
      <c r="G324" s="10" t="s">
        <v>203</v>
      </c>
      <c r="H324" s="10" t="s">
        <v>374</v>
      </c>
      <c r="I324" s="10" t="s">
        <v>11</v>
      </c>
      <c r="J324" s="13">
        <v>228.16500000000002</v>
      </c>
      <c r="K324" s="14"/>
      <c r="L324" t="str">
        <f>VLOOKUP(A324,Formulas!A:B,2,FALSE)</f>
        <v>093433</v>
      </c>
      <c r="M324" s="32"/>
    </row>
    <row r="325" spans="1:13" ht="57.5" hidden="1" customHeight="1">
      <c r="A325" s="10">
        <v>2958</v>
      </c>
      <c r="B325" s="11" t="s">
        <v>349</v>
      </c>
      <c r="C325" s="10" t="s">
        <v>102</v>
      </c>
      <c r="D325" s="12" t="s">
        <v>11</v>
      </c>
      <c r="E325" s="10" t="s">
        <v>11</v>
      </c>
      <c r="F325" s="10" t="s">
        <v>350</v>
      </c>
      <c r="G325" s="10" t="s">
        <v>222</v>
      </c>
      <c r="H325" s="10" t="s">
        <v>351</v>
      </c>
      <c r="I325" s="10" t="s">
        <v>11</v>
      </c>
      <c r="J325" s="13">
        <v>233.73000000000002</v>
      </c>
      <c r="K325" s="14"/>
      <c r="L325" t="str">
        <f>VLOOKUP(A325,Formulas!A:B,2,FALSE)</f>
        <v>093346</v>
      </c>
      <c r="M325" s="32"/>
    </row>
    <row r="326" spans="1:13" ht="57.5" hidden="1" customHeight="1">
      <c r="A326" s="10">
        <v>2960</v>
      </c>
      <c r="B326" s="11" t="s">
        <v>964</v>
      </c>
      <c r="C326" s="10" t="s">
        <v>102</v>
      </c>
      <c r="D326" s="12" t="s">
        <v>11</v>
      </c>
      <c r="E326" s="10" t="s">
        <v>11</v>
      </c>
      <c r="F326" s="10" t="s">
        <v>350</v>
      </c>
      <c r="G326" s="10" t="s">
        <v>222</v>
      </c>
      <c r="H326" s="10" t="s">
        <v>351</v>
      </c>
      <c r="I326" s="10" t="s">
        <v>11</v>
      </c>
      <c r="J326" s="13">
        <v>233.73000000000002</v>
      </c>
      <c r="K326" s="14"/>
      <c r="L326" t="str">
        <f>VLOOKUP(A326,Formulas!A:B,2,FALSE)</f>
        <v>093348</v>
      </c>
      <c r="M326" s="32"/>
    </row>
    <row r="327" spans="1:13" ht="57.5" hidden="1" customHeight="1">
      <c r="A327" s="22">
        <v>3011</v>
      </c>
      <c r="B327" s="23" t="s">
        <v>597</v>
      </c>
      <c r="C327" s="22" t="s">
        <v>10</v>
      </c>
      <c r="D327" s="24" t="s">
        <v>590</v>
      </c>
      <c r="E327" s="22">
        <v>2250</v>
      </c>
      <c r="F327" s="10" t="s">
        <v>90</v>
      </c>
      <c r="G327" s="10" t="s">
        <v>395</v>
      </c>
      <c r="H327" s="10" t="s">
        <v>395</v>
      </c>
      <c r="I327" s="10" t="s">
        <v>206</v>
      </c>
      <c r="J327" s="25">
        <v>608.81100000000004</v>
      </c>
      <c r="K327" s="19"/>
      <c r="L327" t="str">
        <f>VLOOKUP(A327,Formulas!A:B,2,FALSE)</f>
        <v>092631</v>
      </c>
      <c r="M327" s="32"/>
    </row>
    <row r="328" spans="1:13" ht="57.5" hidden="1" customHeight="1">
      <c r="A328" s="22">
        <v>3068</v>
      </c>
      <c r="B328" s="23" t="s">
        <v>593</v>
      </c>
      <c r="C328" s="22" t="s">
        <v>10</v>
      </c>
      <c r="D328" s="24" t="s">
        <v>590</v>
      </c>
      <c r="E328" s="22">
        <v>2250</v>
      </c>
      <c r="F328" s="10" t="s">
        <v>90</v>
      </c>
      <c r="G328" s="10" t="s">
        <v>395</v>
      </c>
      <c r="H328" s="10" t="s">
        <v>395</v>
      </c>
      <c r="I328" s="10" t="s">
        <v>206</v>
      </c>
      <c r="J328" s="25">
        <v>608.81100000000004</v>
      </c>
      <c r="K328" s="19"/>
      <c r="L328" t="str">
        <f>VLOOKUP(A328,Formulas!A:B,2,FALSE)</f>
        <v>092627</v>
      </c>
      <c r="M328" s="32"/>
    </row>
    <row r="329" spans="1:13" ht="57.5" hidden="1" customHeight="1">
      <c r="A329" s="10">
        <v>3136</v>
      </c>
      <c r="B329" s="11" t="s">
        <v>604</v>
      </c>
      <c r="C329" s="10" t="s">
        <v>599</v>
      </c>
      <c r="D329" s="12" t="s">
        <v>591</v>
      </c>
      <c r="E329" s="10">
        <v>2550</v>
      </c>
      <c r="F329" s="10" t="s">
        <v>92</v>
      </c>
      <c r="G329" s="10" t="s">
        <v>222</v>
      </c>
      <c r="H329" s="10" t="s">
        <v>15</v>
      </c>
      <c r="I329" s="10" t="s">
        <v>206</v>
      </c>
      <c r="J329" s="13">
        <v>495.28500000000003</v>
      </c>
      <c r="K329" s="14"/>
      <c r="L329" t="str">
        <f>VLOOKUP(A329,Formulas!A:B,2,FALSE)</f>
        <v>092646</v>
      </c>
      <c r="M329" s="32"/>
    </row>
    <row r="330" spans="1:13" ht="57.5" hidden="1" customHeight="1">
      <c r="A330" s="10">
        <v>3203</v>
      </c>
      <c r="B330" s="11" t="s">
        <v>667</v>
      </c>
      <c r="C330" s="10" t="s">
        <v>534</v>
      </c>
      <c r="D330" s="12" t="s">
        <v>11</v>
      </c>
      <c r="E330" s="10" t="s">
        <v>11</v>
      </c>
      <c r="F330" s="10" t="s">
        <v>94</v>
      </c>
      <c r="G330" s="10" t="s">
        <v>414</v>
      </c>
      <c r="H330" s="10" t="s">
        <v>325</v>
      </c>
      <c r="I330" s="10" t="s">
        <v>11</v>
      </c>
      <c r="J330" s="13">
        <v>200.34</v>
      </c>
      <c r="K330" s="14"/>
      <c r="L330" t="str">
        <f>VLOOKUP(A330,Formulas!A:B,2,FALSE)</f>
        <v>092886</v>
      </c>
      <c r="M330" s="32"/>
    </row>
    <row r="331" spans="1:13" ht="57.5" hidden="1" customHeight="1">
      <c r="A331" s="10">
        <v>3214</v>
      </c>
      <c r="B331" s="11" t="s">
        <v>432</v>
      </c>
      <c r="C331" s="10" t="s">
        <v>425</v>
      </c>
      <c r="D331" s="12" t="s">
        <v>11</v>
      </c>
      <c r="E331" s="10" t="s">
        <v>11</v>
      </c>
      <c r="F331" s="10" t="s">
        <v>428</v>
      </c>
      <c r="G331" s="10" t="s">
        <v>14</v>
      </c>
      <c r="H331" s="10" t="s">
        <v>14</v>
      </c>
      <c r="I331" s="10" t="s">
        <v>11</v>
      </c>
      <c r="J331" s="13">
        <v>84.588000000000008</v>
      </c>
      <c r="K331" s="14"/>
      <c r="L331" t="str">
        <f>VLOOKUP(A331,Formulas!A:B,2,FALSE)</f>
        <v>092037</v>
      </c>
      <c r="M331" s="32"/>
    </row>
    <row r="332" spans="1:13" ht="57.5" hidden="1" customHeight="1">
      <c r="A332" s="10">
        <v>3253</v>
      </c>
      <c r="B332" s="11" t="s">
        <v>594</v>
      </c>
      <c r="C332" s="10" t="s">
        <v>10</v>
      </c>
      <c r="D332" s="12" t="s">
        <v>590</v>
      </c>
      <c r="E332" s="10">
        <v>2250</v>
      </c>
      <c r="F332" s="10" t="s">
        <v>90</v>
      </c>
      <c r="G332" s="10" t="s">
        <v>395</v>
      </c>
      <c r="H332" s="10" t="s">
        <v>395</v>
      </c>
      <c r="I332" s="10" t="s">
        <v>206</v>
      </c>
      <c r="J332" s="13">
        <v>608.81100000000004</v>
      </c>
      <c r="K332" s="14"/>
      <c r="L332" t="str">
        <f>VLOOKUP(A332,Formulas!A:B,2,FALSE)</f>
        <v>092628</v>
      </c>
      <c r="M332" s="32"/>
    </row>
    <row r="333" spans="1:13" ht="57.5" hidden="1" customHeight="1">
      <c r="A333" s="10">
        <v>3677</v>
      </c>
      <c r="B333" s="11" t="s">
        <v>960</v>
      </c>
      <c r="C333" s="10" t="s">
        <v>217</v>
      </c>
      <c r="D333" s="12" t="s">
        <v>11</v>
      </c>
      <c r="E333" s="10" t="s">
        <v>11</v>
      </c>
      <c r="F333" s="10" t="s">
        <v>262</v>
      </c>
      <c r="G333" s="10" t="s">
        <v>288</v>
      </c>
      <c r="H333" s="10" t="s">
        <v>288</v>
      </c>
      <c r="I333" s="10" t="s">
        <v>11</v>
      </c>
      <c r="J333" s="13">
        <v>293.83199999999999</v>
      </c>
      <c r="K333" s="14"/>
      <c r="L333" t="str">
        <f>VLOOKUP(A333,Formulas!A:B,2,FALSE)</f>
        <v>092925</v>
      </c>
      <c r="M333" s="32"/>
    </row>
    <row r="334" spans="1:13" ht="57.5" hidden="1" customHeight="1">
      <c r="A334" s="10">
        <v>3766</v>
      </c>
      <c r="B334" s="11" t="s">
        <v>444</v>
      </c>
      <c r="C334" s="10" t="s">
        <v>439</v>
      </c>
      <c r="D334" s="12" t="s">
        <v>11</v>
      </c>
      <c r="E334" s="10" t="s">
        <v>11</v>
      </c>
      <c r="F334" s="10" t="s">
        <v>428</v>
      </c>
      <c r="G334" s="10" t="s">
        <v>440</v>
      </c>
      <c r="H334" s="10" t="s">
        <v>440</v>
      </c>
      <c r="I334" s="10" t="s">
        <v>11</v>
      </c>
      <c r="J334" s="13">
        <v>267.12</v>
      </c>
      <c r="K334" s="14"/>
      <c r="L334" t="str">
        <f>VLOOKUP(A334,Formulas!A:B,2,FALSE)</f>
        <v>092053</v>
      </c>
      <c r="M334" s="32"/>
    </row>
    <row r="335" spans="1:13" ht="57.5" hidden="1" customHeight="1">
      <c r="A335" s="22">
        <v>4039</v>
      </c>
      <c r="B335" s="23" t="s">
        <v>965</v>
      </c>
      <c r="C335" s="22" t="s">
        <v>217</v>
      </c>
      <c r="D335" s="24" t="s">
        <v>11</v>
      </c>
      <c r="E335" s="22" t="s">
        <v>11</v>
      </c>
      <c r="F335" s="22" t="s">
        <v>244</v>
      </c>
      <c r="G335" s="22" t="s">
        <v>14</v>
      </c>
      <c r="H335" s="22" t="s">
        <v>14</v>
      </c>
      <c r="I335" s="10" t="s">
        <v>89</v>
      </c>
      <c r="J335" s="25">
        <v>159.15900000000002</v>
      </c>
      <c r="K335" s="19"/>
      <c r="L335" t="str">
        <f>VLOOKUP(A335,Formulas!A:B,2,FALSE)</f>
        <v>093353</v>
      </c>
      <c r="M335" s="32"/>
    </row>
    <row r="336" spans="1:13" ht="57.5" hidden="1" customHeight="1">
      <c r="A336" s="22">
        <v>4062</v>
      </c>
      <c r="B336" s="23" t="s">
        <v>707</v>
      </c>
      <c r="C336" s="22" t="s">
        <v>217</v>
      </c>
      <c r="D336" s="24" t="s">
        <v>11</v>
      </c>
      <c r="E336" s="22" t="s">
        <v>11</v>
      </c>
      <c r="F336" s="22" t="s">
        <v>380</v>
      </c>
      <c r="G336" s="22" t="s">
        <v>218</v>
      </c>
      <c r="H336" s="22" t="s">
        <v>218</v>
      </c>
      <c r="I336" s="10" t="s">
        <v>11</v>
      </c>
      <c r="J336" s="25">
        <v>349.92720000000003</v>
      </c>
      <c r="K336" s="19"/>
      <c r="L336" t="str">
        <f>VLOOKUP(A336,Formulas!A:B,2,FALSE)</f>
        <v>092962</v>
      </c>
      <c r="M336" s="32"/>
    </row>
    <row r="337" spans="1:13" ht="57.5" hidden="1" customHeight="1">
      <c r="A337" s="22">
        <v>4141</v>
      </c>
      <c r="B337" s="23" t="s">
        <v>918</v>
      </c>
      <c r="C337" s="10" t="s">
        <v>217</v>
      </c>
      <c r="D337" s="24" t="s">
        <v>11</v>
      </c>
      <c r="E337" s="22" t="s">
        <v>11</v>
      </c>
      <c r="F337" s="22" t="s">
        <v>220</v>
      </c>
      <c r="G337" s="22" t="s">
        <v>301</v>
      </c>
      <c r="H337" s="22" t="s">
        <v>222</v>
      </c>
      <c r="I337" s="10" t="s">
        <v>11</v>
      </c>
      <c r="J337" s="25">
        <v>94.605000000000004</v>
      </c>
      <c r="K337" s="19"/>
      <c r="L337" t="str">
        <f>VLOOKUP(A337,Formulas!A:B,2,FALSE)</f>
        <v>092986</v>
      </c>
      <c r="M337" s="32"/>
    </row>
    <row r="338" spans="1:13" ht="57.5" hidden="1" customHeight="1">
      <c r="A338" s="22">
        <v>4144</v>
      </c>
      <c r="B338" s="23" t="s">
        <v>393</v>
      </c>
      <c r="C338" s="10" t="s">
        <v>217</v>
      </c>
      <c r="D338" s="24" t="s">
        <v>11</v>
      </c>
      <c r="E338" s="22" t="s">
        <v>11</v>
      </c>
      <c r="F338" s="22" t="s">
        <v>394</v>
      </c>
      <c r="G338" s="22" t="s">
        <v>395</v>
      </c>
      <c r="H338" s="22" t="s">
        <v>395</v>
      </c>
      <c r="I338" s="10" t="s">
        <v>396</v>
      </c>
      <c r="J338" s="25">
        <v>307.18800000000005</v>
      </c>
      <c r="K338" s="19"/>
      <c r="L338" t="str">
        <f>VLOOKUP(A338,Formulas!A:B,2,FALSE)</f>
        <v>093456</v>
      </c>
      <c r="M338" s="32"/>
    </row>
    <row r="339" spans="1:13" ht="57.5" hidden="1" customHeight="1">
      <c r="A339" s="22">
        <v>4145</v>
      </c>
      <c r="B339" s="23" t="s">
        <v>223</v>
      </c>
      <c r="C339" s="10" t="s">
        <v>217</v>
      </c>
      <c r="D339" s="24" t="s">
        <v>11</v>
      </c>
      <c r="E339" s="22" t="s">
        <v>11</v>
      </c>
      <c r="F339" s="22" t="s">
        <v>220</v>
      </c>
      <c r="G339" s="22" t="s">
        <v>301</v>
      </c>
      <c r="H339" s="22" t="s">
        <v>222</v>
      </c>
      <c r="I339" s="10" t="s">
        <v>11</v>
      </c>
      <c r="J339" s="25">
        <v>94.605000000000004</v>
      </c>
      <c r="K339" s="19"/>
      <c r="L339" t="str">
        <f>VLOOKUP(A339,Formulas!A:B,2,FALSE)</f>
        <v>092987</v>
      </c>
      <c r="M339" s="32"/>
    </row>
    <row r="340" spans="1:13" ht="57.5" hidden="1" customHeight="1">
      <c r="A340" s="22">
        <v>4146</v>
      </c>
      <c r="B340" s="23" t="s">
        <v>397</v>
      </c>
      <c r="C340" s="10" t="s">
        <v>217</v>
      </c>
      <c r="D340" s="24" t="s">
        <v>11</v>
      </c>
      <c r="E340" s="22" t="s">
        <v>11</v>
      </c>
      <c r="F340" s="22" t="s">
        <v>394</v>
      </c>
      <c r="G340" s="22" t="s">
        <v>395</v>
      </c>
      <c r="H340" s="22" t="s">
        <v>395</v>
      </c>
      <c r="I340" s="10" t="s">
        <v>396</v>
      </c>
      <c r="J340" s="25">
        <v>368.62560000000002</v>
      </c>
      <c r="K340" s="19"/>
      <c r="L340" t="str">
        <f>VLOOKUP(A340,Formulas!A:B,2,FALSE)</f>
        <v>093457</v>
      </c>
      <c r="M340" s="32"/>
    </row>
    <row r="341" spans="1:13" ht="57.5" hidden="1" customHeight="1">
      <c r="A341" s="22">
        <v>4147</v>
      </c>
      <c r="B341" s="23" t="s">
        <v>919</v>
      </c>
      <c r="C341" s="10" t="s">
        <v>217</v>
      </c>
      <c r="D341" s="24" t="s">
        <v>11</v>
      </c>
      <c r="E341" s="22" t="s">
        <v>11</v>
      </c>
      <c r="F341" s="22" t="s">
        <v>220</v>
      </c>
      <c r="G341" s="22" t="s">
        <v>301</v>
      </c>
      <c r="H341" s="22" t="s">
        <v>222</v>
      </c>
      <c r="I341" s="10" t="s">
        <v>11</v>
      </c>
      <c r="J341" s="25">
        <v>94.605000000000004</v>
      </c>
      <c r="K341" s="19"/>
      <c r="L341" t="str">
        <f>VLOOKUP(A341,Formulas!A:B,2,FALSE)</f>
        <v>092988</v>
      </c>
      <c r="M341" s="32"/>
    </row>
    <row r="342" spans="1:13" ht="57.5" hidden="1" customHeight="1">
      <c r="A342" s="22">
        <v>4148</v>
      </c>
      <c r="B342" s="23" t="s">
        <v>920</v>
      </c>
      <c r="C342" s="10" t="s">
        <v>217</v>
      </c>
      <c r="D342" s="24" t="s">
        <v>11</v>
      </c>
      <c r="E342" s="22" t="s">
        <v>11</v>
      </c>
      <c r="F342" s="22" t="s">
        <v>220</v>
      </c>
      <c r="G342" s="22" t="s">
        <v>301</v>
      </c>
      <c r="H342" s="22" t="s">
        <v>222</v>
      </c>
      <c r="I342" s="10" t="s">
        <v>11</v>
      </c>
      <c r="J342" s="25">
        <v>113.526</v>
      </c>
      <c r="K342" s="19"/>
      <c r="L342" t="str">
        <f>VLOOKUP(A342,Formulas!A:B,2,FALSE)</f>
        <v>092989</v>
      </c>
      <c r="M342" s="32"/>
    </row>
    <row r="343" spans="1:13" ht="57.5" hidden="1" customHeight="1">
      <c r="A343" s="22">
        <v>4149</v>
      </c>
      <c r="B343" s="23" t="s">
        <v>921</v>
      </c>
      <c r="C343" s="10" t="s">
        <v>217</v>
      </c>
      <c r="D343" s="24" t="s">
        <v>11</v>
      </c>
      <c r="E343" s="22" t="s">
        <v>11</v>
      </c>
      <c r="F343" s="22" t="s">
        <v>220</v>
      </c>
      <c r="G343" s="22" t="s">
        <v>301</v>
      </c>
      <c r="H343" s="22" t="s">
        <v>222</v>
      </c>
      <c r="I343" s="10" t="s">
        <v>11</v>
      </c>
      <c r="J343" s="25">
        <v>94.605000000000004</v>
      </c>
      <c r="K343" s="19"/>
      <c r="L343" t="str">
        <f>VLOOKUP(A343,Formulas!A:B,2,FALSE)</f>
        <v>092990</v>
      </c>
      <c r="M343" s="32"/>
    </row>
    <row r="344" spans="1:13" ht="57.5" hidden="1" customHeight="1">
      <c r="A344" s="22">
        <v>4150</v>
      </c>
      <c r="B344" s="23" t="s">
        <v>224</v>
      </c>
      <c r="C344" s="10" t="s">
        <v>217</v>
      </c>
      <c r="D344" s="24" t="s">
        <v>11</v>
      </c>
      <c r="E344" s="22" t="s">
        <v>11</v>
      </c>
      <c r="F344" s="22" t="s">
        <v>220</v>
      </c>
      <c r="G344" s="22" t="s">
        <v>301</v>
      </c>
      <c r="H344" s="22" t="s">
        <v>222</v>
      </c>
      <c r="I344" s="10" t="s">
        <v>11</v>
      </c>
      <c r="J344" s="25">
        <v>94.605000000000004</v>
      </c>
      <c r="K344" s="19"/>
      <c r="L344" t="str">
        <f>VLOOKUP(A344,Formulas!A:B,2,FALSE)</f>
        <v>092991</v>
      </c>
      <c r="M344" s="32"/>
    </row>
    <row r="345" spans="1:13" ht="57.5" customHeight="1">
      <c r="A345" s="22">
        <v>4151</v>
      </c>
      <c r="B345" s="23" t="s">
        <v>246</v>
      </c>
      <c r="C345" s="10" t="s">
        <v>217</v>
      </c>
      <c r="D345" s="24" t="s">
        <v>11</v>
      </c>
      <c r="E345" s="22" t="s">
        <v>11</v>
      </c>
      <c r="F345" s="22" t="s">
        <v>222</v>
      </c>
      <c r="G345" s="22" t="s">
        <v>221</v>
      </c>
      <c r="H345" s="22" t="s">
        <v>222</v>
      </c>
      <c r="I345" s="10" t="s">
        <v>11</v>
      </c>
      <c r="J345" s="25">
        <v>107.961</v>
      </c>
      <c r="K345" s="19" t="s">
        <v>219</v>
      </c>
      <c r="L345" t="e">
        <f>VLOOKUP(A345,Formulas!A:B,2,FALSE)</f>
        <v>#N/A</v>
      </c>
      <c r="M345" s="32"/>
    </row>
    <row r="346" spans="1:13" ht="57.5" hidden="1" customHeight="1">
      <c r="A346" s="10">
        <v>4158</v>
      </c>
      <c r="B346" s="11" t="s">
        <v>247</v>
      </c>
      <c r="C346" s="10" t="s">
        <v>217</v>
      </c>
      <c r="D346" s="12" t="s">
        <v>11</v>
      </c>
      <c r="E346" s="10" t="s">
        <v>11</v>
      </c>
      <c r="F346" s="10" t="s">
        <v>222</v>
      </c>
      <c r="G346" s="10" t="s">
        <v>221</v>
      </c>
      <c r="H346" s="10" t="s">
        <v>222</v>
      </c>
      <c r="I346" s="10" t="s">
        <v>11</v>
      </c>
      <c r="J346" s="13">
        <v>107.961</v>
      </c>
      <c r="K346" s="14" t="s">
        <v>219</v>
      </c>
      <c r="L346" t="str">
        <f>VLOOKUP(A346,Formulas!A:B,2,FALSE)</f>
        <v>093038</v>
      </c>
      <c r="M346" s="32"/>
    </row>
    <row r="347" spans="1:13" ht="57.5" hidden="1" customHeight="1">
      <c r="A347" s="10">
        <v>4161</v>
      </c>
      <c r="B347" s="11" t="s">
        <v>930</v>
      </c>
      <c r="C347" s="10" t="s">
        <v>217</v>
      </c>
      <c r="D347" s="12" t="s">
        <v>11</v>
      </c>
      <c r="E347" s="10" t="s">
        <v>11</v>
      </c>
      <c r="F347" s="10" t="s">
        <v>222</v>
      </c>
      <c r="G347" s="10" t="s">
        <v>221</v>
      </c>
      <c r="H347" s="10" t="s">
        <v>222</v>
      </c>
      <c r="I347" s="10" t="s">
        <v>11</v>
      </c>
      <c r="J347" s="13">
        <v>107.961</v>
      </c>
      <c r="K347" s="14" t="s">
        <v>219</v>
      </c>
      <c r="L347" t="str">
        <f>VLOOKUP(A347,Formulas!A:B,2,FALSE)</f>
        <v>093039</v>
      </c>
      <c r="M347" s="32"/>
    </row>
    <row r="348" spans="1:13" ht="57.5" hidden="1" customHeight="1">
      <c r="A348" s="10">
        <v>4162</v>
      </c>
      <c r="B348" s="11" t="s">
        <v>884</v>
      </c>
      <c r="C348" s="10" t="s">
        <v>182</v>
      </c>
      <c r="D348" s="12" t="s">
        <v>11</v>
      </c>
      <c r="E348" s="10" t="s">
        <v>11</v>
      </c>
      <c r="F348" s="10" t="s">
        <v>294</v>
      </c>
      <c r="G348" s="10" t="s">
        <v>103</v>
      </c>
      <c r="H348" s="10" t="s">
        <v>208</v>
      </c>
      <c r="I348" s="10" t="s">
        <v>206</v>
      </c>
      <c r="J348" s="13">
        <v>126.88200000000001</v>
      </c>
      <c r="K348" s="14" t="s">
        <v>295</v>
      </c>
      <c r="L348" t="str">
        <f>VLOOKUP(A348,Formulas!A:B,2,FALSE)</f>
        <v>093179</v>
      </c>
      <c r="M348" s="32"/>
    </row>
    <row r="349" spans="1:13" ht="57.5" hidden="1" customHeight="1">
      <c r="A349" s="10">
        <v>4163</v>
      </c>
      <c r="B349" s="11" t="s">
        <v>931</v>
      </c>
      <c r="C349" s="10" t="s">
        <v>217</v>
      </c>
      <c r="D349" s="12" t="s">
        <v>11</v>
      </c>
      <c r="E349" s="10" t="s">
        <v>11</v>
      </c>
      <c r="F349" s="10" t="s">
        <v>222</v>
      </c>
      <c r="G349" s="10" t="s">
        <v>221</v>
      </c>
      <c r="H349" s="10" t="s">
        <v>222</v>
      </c>
      <c r="I349" s="10" t="s">
        <v>11</v>
      </c>
      <c r="J349" s="13">
        <v>129.5532</v>
      </c>
      <c r="K349" s="14" t="s">
        <v>219</v>
      </c>
      <c r="L349" t="str">
        <f>VLOOKUP(A349,Formulas!A:B,2,FALSE)</f>
        <v>093040</v>
      </c>
      <c r="M349" s="32"/>
    </row>
    <row r="350" spans="1:13" ht="57.5" hidden="1" customHeight="1">
      <c r="A350" s="10">
        <v>4164</v>
      </c>
      <c r="B350" s="11" t="s">
        <v>296</v>
      </c>
      <c r="C350" s="10" t="s">
        <v>182</v>
      </c>
      <c r="D350" s="12" t="s">
        <v>11</v>
      </c>
      <c r="E350" s="10" t="s">
        <v>11</v>
      </c>
      <c r="F350" s="10" t="s">
        <v>294</v>
      </c>
      <c r="G350" s="10" t="s">
        <v>103</v>
      </c>
      <c r="H350" s="10" t="s">
        <v>208</v>
      </c>
      <c r="I350" s="10" t="s">
        <v>206</v>
      </c>
      <c r="J350" s="13">
        <v>105.735</v>
      </c>
      <c r="K350" s="14" t="s">
        <v>295</v>
      </c>
      <c r="L350" t="str">
        <f>VLOOKUP(A350,Formulas!A:B,2,FALSE)</f>
        <v>093180</v>
      </c>
      <c r="M350" s="32"/>
    </row>
    <row r="351" spans="1:13" ht="57.5" hidden="1" customHeight="1">
      <c r="A351" s="22">
        <v>4165</v>
      </c>
      <c r="B351" s="23" t="s">
        <v>297</v>
      </c>
      <c r="C351" s="22" t="s">
        <v>182</v>
      </c>
      <c r="D351" s="24" t="s">
        <v>11</v>
      </c>
      <c r="E351" s="22" t="s">
        <v>11</v>
      </c>
      <c r="F351" s="22" t="s">
        <v>294</v>
      </c>
      <c r="G351" s="22" t="s">
        <v>103</v>
      </c>
      <c r="H351" s="22" t="s">
        <v>208</v>
      </c>
      <c r="I351" s="10" t="s">
        <v>206</v>
      </c>
      <c r="J351" s="25">
        <v>105.735</v>
      </c>
      <c r="K351" s="19" t="s">
        <v>295</v>
      </c>
      <c r="L351" t="str">
        <f>VLOOKUP(A351,Formulas!A:B,2,FALSE)</f>
        <v>093181</v>
      </c>
      <c r="M351" s="32"/>
    </row>
    <row r="352" spans="1:13" ht="57.5" hidden="1" customHeight="1">
      <c r="A352" s="10">
        <v>4166</v>
      </c>
      <c r="B352" s="11" t="s">
        <v>359</v>
      </c>
      <c r="C352" s="10" t="s">
        <v>10</v>
      </c>
      <c r="D352" s="12" t="s">
        <v>360</v>
      </c>
      <c r="E352" s="10">
        <v>750</v>
      </c>
      <c r="F352" s="10" t="s">
        <v>13</v>
      </c>
      <c r="G352" s="10" t="s">
        <v>302</v>
      </c>
      <c r="H352" s="10" t="s">
        <v>302</v>
      </c>
      <c r="I352" s="10" t="s">
        <v>206</v>
      </c>
      <c r="J352" s="13">
        <v>185.87100000000001</v>
      </c>
      <c r="K352" s="14" t="s">
        <v>219</v>
      </c>
      <c r="L352" t="str">
        <f>VLOOKUP(A352,Formulas!A:B,2,FALSE)</f>
        <v>093375</v>
      </c>
      <c r="M352" s="32"/>
    </row>
    <row r="353" spans="1:13" ht="57.5" hidden="1" customHeight="1">
      <c r="A353" s="10">
        <v>4167</v>
      </c>
      <c r="B353" s="11" t="s">
        <v>298</v>
      </c>
      <c r="C353" s="10" t="s">
        <v>182</v>
      </c>
      <c r="D353" s="12" t="s">
        <v>11</v>
      </c>
      <c r="E353" s="10" t="s">
        <v>11</v>
      </c>
      <c r="F353" s="10" t="s">
        <v>294</v>
      </c>
      <c r="G353" s="10" t="s">
        <v>103</v>
      </c>
      <c r="H353" s="10" t="s">
        <v>208</v>
      </c>
      <c r="I353" s="10" t="s">
        <v>206</v>
      </c>
      <c r="J353" s="13">
        <v>105.735</v>
      </c>
      <c r="K353" s="14" t="s">
        <v>295</v>
      </c>
      <c r="L353" t="str">
        <f>VLOOKUP(A353,Formulas!A:B,2,FALSE)</f>
        <v>093182</v>
      </c>
      <c r="M353" s="32"/>
    </row>
    <row r="354" spans="1:13" ht="57.5" hidden="1" customHeight="1">
      <c r="A354" s="10">
        <v>4170</v>
      </c>
      <c r="B354" s="11" t="s">
        <v>972</v>
      </c>
      <c r="C354" s="10" t="s">
        <v>182</v>
      </c>
      <c r="D354" s="12" t="s">
        <v>11</v>
      </c>
      <c r="E354" s="10" t="s">
        <v>11</v>
      </c>
      <c r="F354" s="10" t="s">
        <v>317</v>
      </c>
      <c r="G354" s="10" t="s">
        <v>363</v>
      </c>
      <c r="H354" s="10" t="s">
        <v>363</v>
      </c>
      <c r="I354" s="10" t="s">
        <v>89</v>
      </c>
      <c r="J354" s="13">
        <v>137.5668</v>
      </c>
      <c r="K354" s="14"/>
      <c r="L354" t="str">
        <f>VLOOKUP(A354,Formulas!A:B,2,FALSE)</f>
        <v>093381</v>
      </c>
      <c r="M354" s="32"/>
    </row>
    <row r="355" spans="1:13" ht="57.5" hidden="1" customHeight="1">
      <c r="A355" s="10">
        <v>4171</v>
      </c>
      <c r="B355" s="11" t="s">
        <v>361</v>
      </c>
      <c r="C355" s="10" t="s">
        <v>10</v>
      </c>
      <c r="D355" s="12" t="s">
        <v>360</v>
      </c>
      <c r="E355" s="10">
        <v>750</v>
      </c>
      <c r="F355" s="10" t="s">
        <v>13</v>
      </c>
      <c r="G355" s="10" t="s">
        <v>302</v>
      </c>
      <c r="H355" s="10" t="s">
        <v>302</v>
      </c>
      <c r="I355" s="10" t="s">
        <v>206</v>
      </c>
      <c r="J355" s="13">
        <v>185.87100000000001</v>
      </c>
      <c r="K355" s="14" t="s">
        <v>219</v>
      </c>
      <c r="L355" t="str">
        <f>VLOOKUP(A355,Formulas!A:B,2,FALSE)</f>
        <v>093376</v>
      </c>
      <c r="M355" s="32"/>
    </row>
    <row r="356" spans="1:13" ht="57.5" hidden="1" customHeight="1">
      <c r="A356" s="10">
        <v>4173</v>
      </c>
      <c r="B356" s="11" t="s">
        <v>969</v>
      </c>
      <c r="C356" s="10" t="s">
        <v>10</v>
      </c>
      <c r="D356" s="12" t="s">
        <v>360</v>
      </c>
      <c r="E356" s="10">
        <v>750</v>
      </c>
      <c r="F356" s="10" t="s">
        <v>13</v>
      </c>
      <c r="G356" s="10" t="s">
        <v>302</v>
      </c>
      <c r="H356" s="10" t="s">
        <v>302</v>
      </c>
      <c r="I356" s="10" t="s">
        <v>206</v>
      </c>
      <c r="J356" s="13">
        <v>185.87100000000001</v>
      </c>
      <c r="K356" s="14" t="s">
        <v>219</v>
      </c>
      <c r="L356" t="str">
        <f>VLOOKUP(A356,Formulas!A:B,2,FALSE)</f>
        <v>093377</v>
      </c>
      <c r="M356" s="32"/>
    </row>
    <row r="357" spans="1:13" ht="57.5" hidden="1" customHeight="1">
      <c r="A357" s="10">
        <v>4176</v>
      </c>
      <c r="B357" s="11" t="s">
        <v>970</v>
      </c>
      <c r="C357" s="10" t="s">
        <v>10</v>
      </c>
      <c r="D357" s="12" t="s">
        <v>360</v>
      </c>
      <c r="E357" s="10">
        <v>750</v>
      </c>
      <c r="F357" s="10" t="s">
        <v>13</v>
      </c>
      <c r="G357" s="10" t="s">
        <v>302</v>
      </c>
      <c r="H357" s="10" t="s">
        <v>302</v>
      </c>
      <c r="I357" s="10" t="s">
        <v>206</v>
      </c>
      <c r="J357" s="13">
        <v>222.60000000000002</v>
      </c>
      <c r="K357" s="14" t="s">
        <v>219</v>
      </c>
      <c r="L357" t="str">
        <f>VLOOKUP(A357,Formulas!A:B,2,FALSE)</f>
        <v>093379</v>
      </c>
      <c r="M357" s="32"/>
    </row>
    <row r="358" spans="1:13" ht="57.5" hidden="1" customHeight="1">
      <c r="A358" s="10">
        <v>4190</v>
      </c>
      <c r="B358" s="11" t="s">
        <v>973</v>
      </c>
      <c r="C358" s="10" t="s">
        <v>182</v>
      </c>
      <c r="D358" s="12" t="s">
        <v>11</v>
      </c>
      <c r="E358" s="10" t="s">
        <v>11</v>
      </c>
      <c r="F358" s="10" t="s">
        <v>317</v>
      </c>
      <c r="G358" s="10" t="s">
        <v>363</v>
      </c>
      <c r="H358" s="10" t="s">
        <v>363</v>
      </c>
      <c r="I358" s="10" t="s">
        <v>89</v>
      </c>
      <c r="J358" s="13">
        <v>137.5668</v>
      </c>
      <c r="K358" s="14"/>
      <c r="L358" t="str">
        <f>VLOOKUP(A358,Formulas!A:B,2,FALSE)</f>
        <v>093385</v>
      </c>
      <c r="M358" s="32"/>
    </row>
    <row r="359" spans="1:13" ht="57.5" hidden="1" customHeight="1">
      <c r="A359" s="10">
        <v>4191</v>
      </c>
      <c r="B359" s="11" t="s">
        <v>364</v>
      </c>
      <c r="C359" s="10" t="s">
        <v>182</v>
      </c>
      <c r="D359" s="12" t="s">
        <v>11</v>
      </c>
      <c r="E359" s="10" t="s">
        <v>11</v>
      </c>
      <c r="F359" s="10" t="s">
        <v>317</v>
      </c>
      <c r="G359" s="10" t="s">
        <v>363</v>
      </c>
      <c r="H359" s="10" t="s">
        <v>363</v>
      </c>
      <c r="I359" s="10" t="s">
        <v>89</v>
      </c>
      <c r="J359" s="13">
        <v>114.63900000000001</v>
      </c>
      <c r="K359" s="14"/>
      <c r="L359" t="str">
        <f>VLOOKUP(A359,Formulas!A:B,2,FALSE)</f>
        <v>093386</v>
      </c>
      <c r="M359" s="32"/>
    </row>
    <row r="360" spans="1:13" ht="57.5" hidden="1" customHeight="1">
      <c r="A360" s="22">
        <v>4192</v>
      </c>
      <c r="B360" s="23" t="s">
        <v>974</v>
      </c>
      <c r="C360" s="22" t="s">
        <v>217</v>
      </c>
      <c r="D360" s="24" t="s">
        <v>11</v>
      </c>
      <c r="E360" s="22" t="s">
        <v>11</v>
      </c>
      <c r="F360" s="22" t="s">
        <v>365</v>
      </c>
      <c r="G360" s="22" t="s">
        <v>220</v>
      </c>
      <c r="H360" s="22" t="s">
        <v>222</v>
      </c>
      <c r="I360" s="10" t="s">
        <v>89</v>
      </c>
      <c r="J360" s="25">
        <v>149.58720000000002</v>
      </c>
      <c r="K360" s="19"/>
      <c r="L360" t="str">
        <f>VLOOKUP(A360,Formulas!A:B,2,FALSE)</f>
        <v>093387</v>
      </c>
      <c r="M360" s="32"/>
    </row>
    <row r="361" spans="1:13" ht="210.75" hidden="1" customHeight="1">
      <c r="A361" s="10">
        <v>4193</v>
      </c>
      <c r="B361" s="11" t="s">
        <v>975</v>
      </c>
      <c r="C361" s="10" t="s">
        <v>217</v>
      </c>
      <c r="D361" s="12" t="s">
        <v>11</v>
      </c>
      <c r="E361" s="10" t="s">
        <v>11</v>
      </c>
      <c r="F361" s="10" t="s">
        <v>365</v>
      </c>
      <c r="G361" s="10" t="s">
        <v>220</v>
      </c>
      <c r="H361" s="10" t="s">
        <v>222</v>
      </c>
      <c r="I361" s="10" t="s">
        <v>89</v>
      </c>
      <c r="J361" s="13">
        <v>149.58720000000002</v>
      </c>
      <c r="K361" s="14"/>
      <c r="L361" t="str">
        <f>VLOOKUP(A361,Formulas!A:B,2,FALSE)</f>
        <v>093388</v>
      </c>
      <c r="M361" s="32"/>
    </row>
    <row r="362" spans="1:13" ht="210.75" hidden="1" customHeight="1">
      <c r="A362" s="10">
        <v>4194</v>
      </c>
      <c r="B362" s="11" t="s">
        <v>366</v>
      </c>
      <c r="C362" s="10" t="s">
        <v>217</v>
      </c>
      <c r="D362" s="12" t="s">
        <v>11</v>
      </c>
      <c r="E362" s="10" t="s">
        <v>11</v>
      </c>
      <c r="F362" s="10" t="s">
        <v>365</v>
      </c>
      <c r="G362" s="10" t="s">
        <v>220</v>
      </c>
      <c r="H362" s="10" t="s">
        <v>222</v>
      </c>
      <c r="I362" s="10" t="s">
        <v>89</v>
      </c>
      <c r="J362" s="13">
        <v>124.65600000000001</v>
      </c>
      <c r="K362" s="14"/>
      <c r="L362" t="str">
        <f>VLOOKUP(A362,Formulas!A:B,2,FALSE)</f>
        <v>093389</v>
      </c>
      <c r="M362" s="32"/>
    </row>
    <row r="363" spans="1:13" ht="210.75" hidden="1" customHeight="1">
      <c r="A363" s="10">
        <v>4195</v>
      </c>
      <c r="B363" s="11" t="s">
        <v>367</v>
      </c>
      <c r="C363" s="10" t="s">
        <v>217</v>
      </c>
      <c r="D363" s="12" t="s">
        <v>11</v>
      </c>
      <c r="E363" s="10" t="s">
        <v>11</v>
      </c>
      <c r="F363" s="10" t="s">
        <v>365</v>
      </c>
      <c r="G363" s="10" t="s">
        <v>220</v>
      </c>
      <c r="H363" s="10" t="s">
        <v>222</v>
      </c>
      <c r="I363" s="10" t="s">
        <v>89</v>
      </c>
      <c r="J363" s="13">
        <v>124.65600000000001</v>
      </c>
      <c r="K363" s="14"/>
      <c r="L363" t="str">
        <f>VLOOKUP(A363,Formulas!A:B,2,FALSE)</f>
        <v>093390</v>
      </c>
      <c r="M363" s="32"/>
    </row>
    <row r="364" spans="1:13" ht="210.75" hidden="1" customHeight="1">
      <c r="A364" s="10">
        <v>4196</v>
      </c>
      <c r="B364" s="11" t="s">
        <v>368</v>
      </c>
      <c r="C364" s="10" t="s">
        <v>217</v>
      </c>
      <c r="D364" s="12" t="s">
        <v>11</v>
      </c>
      <c r="E364" s="10" t="s">
        <v>11</v>
      </c>
      <c r="F364" s="10" t="s">
        <v>365</v>
      </c>
      <c r="G364" s="10" t="s">
        <v>220</v>
      </c>
      <c r="H364" s="10" t="s">
        <v>222</v>
      </c>
      <c r="I364" s="10" t="s">
        <v>89</v>
      </c>
      <c r="J364" s="13">
        <v>124.65600000000001</v>
      </c>
      <c r="K364" s="14"/>
      <c r="L364" t="str">
        <f>VLOOKUP(A364,Formulas!A:B,2,FALSE)</f>
        <v>093391</v>
      </c>
      <c r="M364" s="32"/>
    </row>
    <row r="365" spans="1:13" ht="210.75" hidden="1" customHeight="1">
      <c r="A365" s="10">
        <v>4197</v>
      </c>
      <c r="B365" s="11" t="s">
        <v>369</v>
      </c>
      <c r="C365" s="10" t="s">
        <v>217</v>
      </c>
      <c r="D365" s="12" t="s">
        <v>11</v>
      </c>
      <c r="E365" s="10" t="s">
        <v>11</v>
      </c>
      <c r="F365" s="10" t="s">
        <v>365</v>
      </c>
      <c r="G365" s="10" t="s">
        <v>220</v>
      </c>
      <c r="H365" s="10" t="s">
        <v>222</v>
      </c>
      <c r="I365" s="10" t="s">
        <v>89</v>
      </c>
      <c r="J365" s="13">
        <v>124.65600000000001</v>
      </c>
      <c r="K365" s="14"/>
      <c r="L365" t="str">
        <f>VLOOKUP(A365,Formulas!A:B,2,FALSE)</f>
        <v>093392</v>
      </c>
      <c r="M365" s="32"/>
    </row>
    <row r="366" spans="1:13" ht="210.75" hidden="1" customHeight="1">
      <c r="A366" s="10">
        <v>4207</v>
      </c>
      <c r="B366" s="11" t="s">
        <v>888</v>
      </c>
      <c r="C366" s="10" t="s">
        <v>182</v>
      </c>
      <c r="D366" s="12" t="s">
        <v>11</v>
      </c>
      <c r="E366" s="10" t="s">
        <v>11</v>
      </c>
      <c r="F366" s="10" t="s">
        <v>294</v>
      </c>
      <c r="G366" s="10" t="s">
        <v>208</v>
      </c>
      <c r="H366" s="10" t="s">
        <v>208</v>
      </c>
      <c r="I366" s="10" t="s">
        <v>206</v>
      </c>
      <c r="J366" s="13">
        <v>120.20400000000001</v>
      </c>
      <c r="K366" s="14"/>
      <c r="L366" t="str">
        <f>VLOOKUP(A366,Formulas!A:B,2,FALSE)</f>
        <v>093250</v>
      </c>
      <c r="M366" s="32"/>
    </row>
    <row r="367" spans="1:13" ht="210.75" hidden="1" customHeight="1">
      <c r="A367" s="10">
        <v>4210</v>
      </c>
      <c r="B367" s="11" t="s">
        <v>227</v>
      </c>
      <c r="C367" s="10" t="s">
        <v>10</v>
      </c>
      <c r="D367" s="12" t="s">
        <v>228</v>
      </c>
      <c r="E367" s="10">
        <v>600</v>
      </c>
      <c r="F367" s="10" t="s">
        <v>229</v>
      </c>
      <c r="G367" s="10" t="s">
        <v>13</v>
      </c>
      <c r="H367" s="10" t="s">
        <v>13</v>
      </c>
      <c r="I367" s="10" t="s">
        <v>11</v>
      </c>
      <c r="J367" s="13">
        <v>122.43</v>
      </c>
      <c r="K367" s="14"/>
      <c r="L367" t="str">
        <f>VLOOKUP(A367,Formulas!A:B,2,FALSE)</f>
        <v>092995</v>
      </c>
      <c r="M367" s="32"/>
    </row>
    <row r="368" spans="1:13" ht="188.25" hidden="1" customHeight="1">
      <c r="A368" s="10">
        <v>4211</v>
      </c>
      <c r="B368" s="11" t="s">
        <v>230</v>
      </c>
      <c r="C368" s="10" t="s">
        <v>10</v>
      </c>
      <c r="D368" s="12" t="s">
        <v>228</v>
      </c>
      <c r="E368" s="10">
        <v>600</v>
      </c>
      <c r="F368" s="10" t="s">
        <v>229</v>
      </c>
      <c r="G368" s="10" t="s">
        <v>13</v>
      </c>
      <c r="H368" s="10" t="s">
        <v>13</v>
      </c>
      <c r="I368" s="10" t="s">
        <v>11</v>
      </c>
      <c r="J368" s="13">
        <v>122.43</v>
      </c>
      <c r="K368" s="14"/>
      <c r="L368" t="str">
        <f>VLOOKUP(A368,Formulas!A:B,2,FALSE)</f>
        <v>092996</v>
      </c>
      <c r="M368" s="32"/>
    </row>
    <row r="369" spans="1:13" ht="210.75" hidden="1" customHeight="1">
      <c r="A369" s="10">
        <v>4212</v>
      </c>
      <c r="B369" s="11" t="s">
        <v>231</v>
      </c>
      <c r="C369" s="10" t="s">
        <v>10</v>
      </c>
      <c r="D369" s="12" t="s">
        <v>228</v>
      </c>
      <c r="E369" s="10">
        <v>600</v>
      </c>
      <c r="F369" s="10" t="s">
        <v>229</v>
      </c>
      <c r="G369" s="10" t="s">
        <v>13</v>
      </c>
      <c r="H369" s="10" t="s">
        <v>13</v>
      </c>
      <c r="I369" s="10" t="s">
        <v>11</v>
      </c>
      <c r="J369" s="13">
        <v>122.43</v>
      </c>
      <c r="K369" s="14"/>
      <c r="L369" t="str">
        <f>VLOOKUP(A369,Formulas!A:B,2,FALSE)</f>
        <v>092997</v>
      </c>
      <c r="M369" s="32"/>
    </row>
    <row r="370" spans="1:13" ht="210.75" hidden="1" customHeight="1">
      <c r="A370" s="10">
        <v>4213</v>
      </c>
      <c r="B370" s="11" t="s">
        <v>232</v>
      </c>
      <c r="C370" s="10" t="s">
        <v>10</v>
      </c>
      <c r="D370" s="12" t="s">
        <v>228</v>
      </c>
      <c r="E370" s="10">
        <v>600</v>
      </c>
      <c r="F370" s="10" t="s">
        <v>229</v>
      </c>
      <c r="G370" s="10" t="s">
        <v>13</v>
      </c>
      <c r="H370" s="10" t="s">
        <v>13</v>
      </c>
      <c r="I370" s="10" t="s">
        <v>11</v>
      </c>
      <c r="J370" s="13">
        <v>122.43</v>
      </c>
      <c r="K370" s="14"/>
      <c r="L370" t="str">
        <f>VLOOKUP(A370,Formulas!A:B,2,FALSE)</f>
        <v>092998</v>
      </c>
      <c r="M370" s="32"/>
    </row>
    <row r="371" spans="1:13" ht="210.75" hidden="1" customHeight="1">
      <c r="A371" s="10">
        <v>4218</v>
      </c>
      <c r="B371" s="11" t="s">
        <v>922</v>
      </c>
      <c r="C371" s="10" t="s">
        <v>217</v>
      </c>
      <c r="D371" s="12" t="s">
        <v>11</v>
      </c>
      <c r="E371" s="10" t="s">
        <v>11</v>
      </c>
      <c r="F371" s="10" t="s">
        <v>288</v>
      </c>
      <c r="G371" s="10" t="s">
        <v>221</v>
      </c>
      <c r="H371" s="10" t="s">
        <v>208</v>
      </c>
      <c r="I371" s="10" t="s">
        <v>11</v>
      </c>
      <c r="J371" s="13">
        <v>105.735</v>
      </c>
      <c r="K371" s="14" t="s">
        <v>219</v>
      </c>
      <c r="L371" t="str">
        <f>VLOOKUP(A371,Formulas!A:B,2,FALSE)</f>
        <v>093003</v>
      </c>
      <c r="M371" s="32"/>
    </row>
    <row r="372" spans="1:13" ht="57.5" hidden="1" customHeight="1">
      <c r="A372" s="10">
        <v>4219</v>
      </c>
      <c r="B372" s="11" t="s">
        <v>233</v>
      </c>
      <c r="C372" s="10" t="s">
        <v>217</v>
      </c>
      <c r="D372" s="12" t="s">
        <v>11</v>
      </c>
      <c r="E372" s="10" t="s">
        <v>11</v>
      </c>
      <c r="F372" s="10" t="s">
        <v>288</v>
      </c>
      <c r="G372" s="10" t="s">
        <v>221</v>
      </c>
      <c r="H372" s="10" t="s">
        <v>208</v>
      </c>
      <c r="I372" s="10" t="s">
        <v>11</v>
      </c>
      <c r="J372" s="13">
        <v>105.735</v>
      </c>
      <c r="K372" s="14" t="s">
        <v>219</v>
      </c>
      <c r="L372" t="str">
        <f>VLOOKUP(A372,Formulas!A:B,2,FALSE)</f>
        <v>093004</v>
      </c>
      <c r="M372" s="32"/>
    </row>
    <row r="373" spans="1:13" ht="57.5" hidden="1" customHeight="1">
      <c r="A373" s="10">
        <v>4220</v>
      </c>
      <c r="B373" s="11" t="s">
        <v>923</v>
      </c>
      <c r="C373" s="10" t="s">
        <v>217</v>
      </c>
      <c r="D373" s="12" t="s">
        <v>11</v>
      </c>
      <c r="E373" s="10" t="s">
        <v>11</v>
      </c>
      <c r="F373" s="10" t="s">
        <v>288</v>
      </c>
      <c r="G373" s="10" t="s">
        <v>221</v>
      </c>
      <c r="H373" s="10" t="s">
        <v>208</v>
      </c>
      <c r="I373" s="10" t="s">
        <v>11</v>
      </c>
      <c r="J373" s="13">
        <v>126.88200000000001</v>
      </c>
      <c r="K373" s="14" t="s">
        <v>219</v>
      </c>
      <c r="L373" t="str">
        <f>VLOOKUP(A373,Formulas!A:B,2,FALSE)</f>
        <v>093007</v>
      </c>
      <c r="M373" s="32"/>
    </row>
    <row r="374" spans="1:13" ht="57.5" hidden="1" customHeight="1">
      <c r="A374" s="10">
        <v>4221</v>
      </c>
      <c r="B374" s="11" t="s">
        <v>234</v>
      </c>
      <c r="C374" s="10" t="s">
        <v>217</v>
      </c>
      <c r="D374" s="12" t="s">
        <v>11</v>
      </c>
      <c r="E374" s="10" t="s">
        <v>11</v>
      </c>
      <c r="F374" s="10" t="s">
        <v>288</v>
      </c>
      <c r="G374" s="10" t="s">
        <v>221</v>
      </c>
      <c r="H374" s="10" t="s">
        <v>208</v>
      </c>
      <c r="I374" s="10" t="s">
        <v>11</v>
      </c>
      <c r="J374" s="13">
        <v>105.735</v>
      </c>
      <c r="K374" s="14" t="s">
        <v>219</v>
      </c>
      <c r="L374" t="str">
        <f>VLOOKUP(A374,Formulas!A:B,2,FALSE)</f>
        <v>093005</v>
      </c>
      <c r="M374" s="32"/>
    </row>
    <row r="375" spans="1:13" ht="57.5" hidden="1" customHeight="1">
      <c r="A375" s="10">
        <v>4222</v>
      </c>
      <c r="B375" s="11" t="s">
        <v>924</v>
      </c>
      <c r="C375" s="10" t="s">
        <v>236</v>
      </c>
      <c r="D375" s="12" t="s">
        <v>11</v>
      </c>
      <c r="E375" s="10" t="s">
        <v>11</v>
      </c>
      <c r="F375" s="10" t="s">
        <v>302</v>
      </c>
      <c r="G375" s="10" t="s">
        <v>208</v>
      </c>
      <c r="H375" s="10" t="s">
        <v>208</v>
      </c>
      <c r="I375" s="10" t="s">
        <v>11</v>
      </c>
      <c r="J375" s="13">
        <v>81.249000000000009</v>
      </c>
      <c r="K375" s="14"/>
      <c r="L375" t="str">
        <f>VLOOKUP(A375,Formulas!A:B,2,FALSE)</f>
        <v>093008</v>
      </c>
      <c r="M375" s="32"/>
    </row>
    <row r="376" spans="1:13" ht="57.5" hidden="1" customHeight="1">
      <c r="A376" s="10">
        <v>4223</v>
      </c>
      <c r="B376" s="11" t="s">
        <v>237</v>
      </c>
      <c r="C376" s="10" t="s">
        <v>236</v>
      </c>
      <c r="D376" s="12" t="s">
        <v>11</v>
      </c>
      <c r="E376" s="10" t="s">
        <v>11</v>
      </c>
      <c r="F376" s="10" t="s">
        <v>302</v>
      </c>
      <c r="G376" s="10" t="s">
        <v>208</v>
      </c>
      <c r="H376" s="10" t="s">
        <v>208</v>
      </c>
      <c r="I376" s="10" t="s">
        <v>11</v>
      </c>
      <c r="J376" s="13">
        <v>81.249000000000009</v>
      </c>
      <c r="K376" s="14"/>
      <c r="L376" t="str">
        <f>VLOOKUP(A376,Formulas!A:B,2,FALSE)</f>
        <v>093009</v>
      </c>
      <c r="M376" s="32"/>
    </row>
    <row r="377" spans="1:13" ht="57.5" hidden="1" customHeight="1">
      <c r="A377" s="22">
        <v>4224</v>
      </c>
      <c r="B377" s="23" t="s">
        <v>238</v>
      </c>
      <c r="C377" s="22" t="s">
        <v>236</v>
      </c>
      <c r="D377" s="24" t="s">
        <v>11</v>
      </c>
      <c r="E377" s="22" t="s">
        <v>11</v>
      </c>
      <c r="F377" s="10" t="s">
        <v>302</v>
      </c>
      <c r="G377" s="10" t="s">
        <v>208</v>
      </c>
      <c r="H377" s="10" t="s">
        <v>208</v>
      </c>
      <c r="I377" s="10" t="s">
        <v>11</v>
      </c>
      <c r="J377" s="25">
        <v>81.249000000000009</v>
      </c>
      <c r="K377" s="19"/>
      <c r="L377" t="str">
        <f>VLOOKUP(A377,Formulas!A:B,2,FALSE)</f>
        <v>093010</v>
      </c>
      <c r="M377" s="32"/>
    </row>
    <row r="378" spans="1:13" ht="57.5" hidden="1" customHeight="1">
      <c r="A378" s="10">
        <v>4225</v>
      </c>
      <c r="B378" s="11" t="s">
        <v>925</v>
      </c>
      <c r="C378" s="10" t="s">
        <v>236</v>
      </c>
      <c r="D378" s="12" t="s">
        <v>11</v>
      </c>
      <c r="E378" s="10" t="s">
        <v>11</v>
      </c>
      <c r="F378" s="10" t="s">
        <v>302</v>
      </c>
      <c r="G378" s="10" t="s">
        <v>208</v>
      </c>
      <c r="H378" s="10" t="s">
        <v>208</v>
      </c>
      <c r="I378" s="10" t="s">
        <v>11</v>
      </c>
      <c r="J378" s="13">
        <v>81.249000000000009</v>
      </c>
      <c r="K378" s="14"/>
      <c r="L378" t="str">
        <f>VLOOKUP(A378,Formulas!A:B,2,FALSE)</f>
        <v>093011</v>
      </c>
      <c r="M378" s="32"/>
    </row>
    <row r="379" spans="1:13" ht="57.5" hidden="1" customHeight="1">
      <c r="A379" s="10">
        <v>4226</v>
      </c>
      <c r="B379" s="11" t="s">
        <v>926</v>
      </c>
      <c r="C379" s="10" t="s">
        <v>236</v>
      </c>
      <c r="D379" s="12" t="s">
        <v>11</v>
      </c>
      <c r="E379" s="10" t="s">
        <v>11</v>
      </c>
      <c r="F379" s="10" t="s">
        <v>302</v>
      </c>
      <c r="G379" s="10" t="s">
        <v>208</v>
      </c>
      <c r="H379" s="10" t="s">
        <v>208</v>
      </c>
      <c r="I379" s="10" t="s">
        <v>11</v>
      </c>
      <c r="J379" s="13">
        <v>81.249000000000009</v>
      </c>
      <c r="K379" s="14"/>
      <c r="L379" t="str">
        <f>VLOOKUP(A379,Formulas!A:B,2,FALSE)</f>
        <v>093012</v>
      </c>
      <c r="M379" s="32"/>
    </row>
    <row r="380" spans="1:13" ht="57.5" hidden="1" customHeight="1">
      <c r="A380" s="10">
        <v>4229</v>
      </c>
      <c r="B380" s="11" t="s">
        <v>240</v>
      </c>
      <c r="C380" s="10" t="s">
        <v>217</v>
      </c>
      <c r="D380" s="12" t="s">
        <v>11</v>
      </c>
      <c r="E380" s="10" t="s">
        <v>11</v>
      </c>
      <c r="F380" s="10" t="s">
        <v>14</v>
      </c>
      <c r="G380" s="10" t="s">
        <v>208</v>
      </c>
      <c r="H380" s="10" t="s">
        <v>229</v>
      </c>
      <c r="I380" s="10" t="s">
        <v>11</v>
      </c>
      <c r="J380" s="13">
        <v>143.577</v>
      </c>
      <c r="K380" s="14" t="s">
        <v>219</v>
      </c>
      <c r="L380" t="str">
        <f>VLOOKUP(A380,Formulas!A:B,2,FALSE)</f>
        <v>093015</v>
      </c>
      <c r="M380" s="32"/>
    </row>
    <row r="381" spans="1:13" ht="57.5" hidden="1" customHeight="1">
      <c r="A381" s="10">
        <v>4230</v>
      </c>
      <c r="B381" s="11" t="s">
        <v>928</v>
      </c>
      <c r="C381" s="10" t="s">
        <v>217</v>
      </c>
      <c r="D381" s="12" t="s">
        <v>11</v>
      </c>
      <c r="E381" s="10" t="s">
        <v>11</v>
      </c>
      <c r="F381" s="10" t="s">
        <v>14</v>
      </c>
      <c r="G381" s="10" t="s">
        <v>208</v>
      </c>
      <c r="H381" s="10" t="s">
        <v>229</v>
      </c>
      <c r="I381" s="10" t="s">
        <v>11</v>
      </c>
      <c r="J381" s="13">
        <v>171.40199999999999</v>
      </c>
      <c r="K381" s="14" t="s">
        <v>219</v>
      </c>
      <c r="L381" t="str">
        <f>VLOOKUP(A381,Formulas!A:B,2,FALSE)</f>
        <v>093016</v>
      </c>
      <c r="M381" s="32"/>
    </row>
    <row r="382" spans="1:13" ht="57.5" hidden="1" customHeight="1">
      <c r="A382" s="10">
        <v>4231</v>
      </c>
      <c r="B382" s="11" t="s">
        <v>241</v>
      </c>
      <c r="C382" s="10" t="s">
        <v>217</v>
      </c>
      <c r="D382" s="12" t="s">
        <v>11</v>
      </c>
      <c r="E382" s="10" t="s">
        <v>11</v>
      </c>
      <c r="F382" s="10" t="s">
        <v>14</v>
      </c>
      <c r="G382" s="10" t="s">
        <v>208</v>
      </c>
      <c r="H382" s="10" t="s">
        <v>229</v>
      </c>
      <c r="I382" s="10" t="s">
        <v>11</v>
      </c>
      <c r="J382" s="13">
        <v>143.577</v>
      </c>
      <c r="K382" s="14" t="s">
        <v>219</v>
      </c>
      <c r="L382" t="str">
        <f>VLOOKUP(A382,Formulas!A:B,2,FALSE)</f>
        <v>093017</v>
      </c>
      <c r="M382" s="32"/>
    </row>
    <row r="383" spans="1:13" ht="57.5" hidden="1" customHeight="1">
      <c r="A383" s="22">
        <v>4232</v>
      </c>
      <c r="B383" s="23" t="s">
        <v>242</v>
      </c>
      <c r="C383" s="22" t="s">
        <v>217</v>
      </c>
      <c r="D383" s="24" t="s">
        <v>11</v>
      </c>
      <c r="E383" s="22" t="s">
        <v>11</v>
      </c>
      <c r="F383" s="10" t="s">
        <v>14</v>
      </c>
      <c r="G383" s="10" t="s">
        <v>208</v>
      </c>
      <c r="H383" s="10" t="s">
        <v>229</v>
      </c>
      <c r="I383" s="10" t="s">
        <v>11</v>
      </c>
      <c r="J383" s="25">
        <v>143.577</v>
      </c>
      <c r="K383" s="19" t="s">
        <v>219</v>
      </c>
      <c r="L383" t="str">
        <f>VLOOKUP(A383,Formulas!A:B,2,FALSE)</f>
        <v>093018</v>
      </c>
      <c r="M383" s="32"/>
    </row>
    <row r="384" spans="1:13" ht="57.5" hidden="1" customHeight="1">
      <c r="A384" s="10">
        <v>4233</v>
      </c>
      <c r="B384" s="11" t="s">
        <v>929</v>
      </c>
      <c r="C384" s="10" t="s">
        <v>217</v>
      </c>
      <c r="D384" s="12" t="s">
        <v>11</v>
      </c>
      <c r="E384" s="10" t="s">
        <v>11</v>
      </c>
      <c r="F384" s="10" t="s">
        <v>14</v>
      </c>
      <c r="G384" s="10" t="s">
        <v>208</v>
      </c>
      <c r="H384" s="10" t="s">
        <v>229</v>
      </c>
      <c r="I384" s="10" t="s">
        <v>11</v>
      </c>
      <c r="J384" s="13">
        <v>171.40199999999999</v>
      </c>
      <c r="K384" s="14" t="s">
        <v>219</v>
      </c>
      <c r="L384" t="str">
        <f>VLOOKUP(A384,Formulas!A:B,2,FALSE)</f>
        <v>093019</v>
      </c>
      <c r="M384" s="32"/>
    </row>
    <row r="385" spans="1:13" ht="57.5" hidden="1" customHeight="1">
      <c r="A385" s="10">
        <v>4257</v>
      </c>
      <c r="B385" s="11" t="s">
        <v>398</v>
      </c>
      <c r="C385" s="10" t="s">
        <v>217</v>
      </c>
      <c r="D385" s="12" t="s">
        <v>11</v>
      </c>
      <c r="E385" s="10" t="s">
        <v>11</v>
      </c>
      <c r="F385" s="10" t="s">
        <v>394</v>
      </c>
      <c r="G385" s="10" t="s">
        <v>395</v>
      </c>
      <c r="H385" s="10" t="s">
        <v>395</v>
      </c>
      <c r="I385" s="10" t="s">
        <v>396</v>
      </c>
      <c r="J385" s="13">
        <v>368.62560000000002</v>
      </c>
      <c r="K385" s="14"/>
      <c r="L385" t="str">
        <f>VLOOKUP(A385,Formulas!A:B,2,FALSE)</f>
        <v>093458</v>
      </c>
      <c r="M385" s="32"/>
    </row>
    <row r="386" spans="1:13" ht="57.5" hidden="1" customHeight="1">
      <c r="A386" s="10">
        <v>4261</v>
      </c>
      <c r="B386" s="11" t="s">
        <v>399</v>
      </c>
      <c r="C386" s="10" t="s">
        <v>217</v>
      </c>
      <c r="D386" s="12" t="s">
        <v>11</v>
      </c>
      <c r="E386" s="10" t="s">
        <v>11</v>
      </c>
      <c r="F386" s="10" t="s">
        <v>394</v>
      </c>
      <c r="G386" s="10" t="s">
        <v>395</v>
      </c>
      <c r="H386" s="10" t="s">
        <v>395</v>
      </c>
      <c r="I386" s="10" t="s">
        <v>396</v>
      </c>
      <c r="J386" s="13">
        <v>307.18800000000005</v>
      </c>
      <c r="K386" s="14"/>
      <c r="L386" t="str">
        <f>VLOOKUP(A386,Formulas!A:B,2,FALSE)</f>
        <v>093459</v>
      </c>
      <c r="M386" s="32"/>
    </row>
    <row r="387" spans="1:13" ht="57.5" hidden="1" customHeight="1">
      <c r="A387" s="10">
        <v>4262</v>
      </c>
      <c r="B387" s="11" t="s">
        <v>976</v>
      </c>
      <c r="C387" s="10" t="s">
        <v>217</v>
      </c>
      <c r="D387" s="12" t="s">
        <v>11</v>
      </c>
      <c r="E387" s="10" t="s">
        <v>11</v>
      </c>
      <c r="F387" s="10" t="s">
        <v>244</v>
      </c>
      <c r="G387" s="10" t="s">
        <v>245</v>
      </c>
      <c r="H387" s="10" t="s">
        <v>288</v>
      </c>
      <c r="I387" s="10" t="s">
        <v>89</v>
      </c>
      <c r="J387" s="13">
        <v>132.447</v>
      </c>
      <c r="K387" s="14"/>
      <c r="L387" t="str">
        <f>VLOOKUP(A387,Formulas!A:B,2,FALSE)</f>
        <v>093399</v>
      </c>
      <c r="M387" s="32"/>
    </row>
    <row r="388" spans="1:13" ht="57.5" hidden="1" customHeight="1">
      <c r="A388" s="10">
        <v>4263</v>
      </c>
      <c r="B388" s="11" t="s">
        <v>370</v>
      </c>
      <c r="C388" s="10" t="s">
        <v>217</v>
      </c>
      <c r="D388" s="12" t="s">
        <v>11</v>
      </c>
      <c r="E388" s="10" t="s">
        <v>11</v>
      </c>
      <c r="F388" s="10" t="s">
        <v>244</v>
      </c>
      <c r="G388" s="10" t="s">
        <v>245</v>
      </c>
      <c r="H388" s="10" t="s">
        <v>288</v>
      </c>
      <c r="I388" s="10" t="s">
        <v>89</v>
      </c>
      <c r="J388" s="13">
        <v>132.447</v>
      </c>
      <c r="K388" s="14"/>
      <c r="L388" t="str">
        <f>VLOOKUP(A388,Formulas!A:B,2,FALSE)</f>
        <v>093400</v>
      </c>
      <c r="M388" s="32"/>
    </row>
    <row r="389" spans="1:13" ht="57.5" hidden="1" customHeight="1">
      <c r="A389" s="22">
        <v>4265</v>
      </c>
      <c r="B389" s="23" t="s">
        <v>371</v>
      </c>
      <c r="C389" s="22" t="s">
        <v>217</v>
      </c>
      <c r="D389" s="24" t="s">
        <v>11</v>
      </c>
      <c r="E389" s="22" t="s">
        <v>11</v>
      </c>
      <c r="F389" s="22" t="s">
        <v>244</v>
      </c>
      <c r="G389" s="22" t="s">
        <v>245</v>
      </c>
      <c r="H389" s="22" t="s">
        <v>288</v>
      </c>
      <c r="I389" s="10" t="s">
        <v>89</v>
      </c>
      <c r="J389" s="25">
        <v>132.447</v>
      </c>
      <c r="K389" s="19"/>
      <c r="L389" t="str">
        <f>VLOOKUP(A389,Formulas!A:B,2,FALSE)</f>
        <v>093401</v>
      </c>
      <c r="M389" s="32"/>
    </row>
    <row r="390" spans="1:13" ht="47.5" hidden="1" customHeight="1">
      <c r="A390" s="10">
        <v>4266</v>
      </c>
      <c r="B390" s="11" t="s">
        <v>400</v>
      </c>
      <c r="C390" s="10" t="s">
        <v>217</v>
      </c>
      <c r="D390" s="12" t="s">
        <v>11</v>
      </c>
      <c r="E390" s="10" t="s">
        <v>11</v>
      </c>
      <c r="F390" s="10" t="s">
        <v>394</v>
      </c>
      <c r="G390" s="10" t="s">
        <v>395</v>
      </c>
      <c r="H390" s="10" t="s">
        <v>395</v>
      </c>
      <c r="I390" s="10" t="s">
        <v>396</v>
      </c>
      <c r="J390" s="13">
        <v>307.18800000000005</v>
      </c>
      <c r="K390" s="14"/>
      <c r="L390" t="str">
        <f>VLOOKUP(A390,Formulas!A:B,2,FALSE)</f>
        <v>093460</v>
      </c>
      <c r="M390" s="32"/>
    </row>
    <row r="391" spans="1:13" ht="47.5" hidden="1" customHeight="1">
      <c r="A391" s="10">
        <v>4276</v>
      </c>
      <c r="B391" s="11" t="s">
        <v>248</v>
      </c>
      <c r="C391" s="10" t="s">
        <v>10</v>
      </c>
      <c r="D391" s="12" t="s">
        <v>249</v>
      </c>
      <c r="E391" s="10">
        <v>450</v>
      </c>
      <c r="F391" s="10" t="s">
        <v>226</v>
      </c>
      <c r="G391" s="10" t="s">
        <v>85</v>
      </c>
      <c r="H391" s="10" t="s">
        <v>95</v>
      </c>
      <c r="I391" s="10" t="s">
        <v>11</v>
      </c>
      <c r="J391" s="13">
        <v>146.916</v>
      </c>
      <c r="K391" s="14" t="s">
        <v>219</v>
      </c>
      <c r="L391" t="str">
        <f>VLOOKUP(A391,Formulas!A:B,2,FALSE)</f>
        <v>093041</v>
      </c>
      <c r="M391" s="32"/>
    </row>
    <row r="392" spans="1:13" ht="47.5" hidden="1" customHeight="1">
      <c r="A392" s="10">
        <v>4277</v>
      </c>
      <c r="B392" s="11" t="s">
        <v>250</v>
      </c>
      <c r="C392" s="10" t="s">
        <v>10</v>
      </c>
      <c r="D392" s="12" t="s">
        <v>249</v>
      </c>
      <c r="E392" s="10">
        <v>450</v>
      </c>
      <c r="F392" s="10" t="s">
        <v>226</v>
      </c>
      <c r="G392" s="10" t="s">
        <v>85</v>
      </c>
      <c r="H392" s="10" t="s">
        <v>95</v>
      </c>
      <c r="I392" s="10" t="s">
        <v>11</v>
      </c>
      <c r="J392" s="13">
        <v>146.916</v>
      </c>
      <c r="K392" s="14" t="s">
        <v>219</v>
      </c>
      <c r="L392" t="str">
        <f>VLOOKUP(A392,Formulas!A:B,2,FALSE)</f>
        <v>093042</v>
      </c>
      <c r="M392" s="32"/>
    </row>
    <row r="393" spans="1:13" ht="47.5" hidden="1" customHeight="1">
      <c r="A393" s="10">
        <v>4278</v>
      </c>
      <c r="B393" s="11" t="s">
        <v>251</v>
      </c>
      <c r="C393" s="10" t="s">
        <v>10</v>
      </c>
      <c r="D393" s="12" t="s">
        <v>249</v>
      </c>
      <c r="E393" s="10">
        <v>450</v>
      </c>
      <c r="F393" s="10" t="s">
        <v>226</v>
      </c>
      <c r="G393" s="10" t="s">
        <v>85</v>
      </c>
      <c r="H393" s="10" t="s">
        <v>95</v>
      </c>
      <c r="I393" s="10" t="s">
        <v>11</v>
      </c>
      <c r="J393" s="13">
        <v>146.916</v>
      </c>
      <c r="K393" s="14" t="s">
        <v>219</v>
      </c>
      <c r="L393" t="str">
        <f>VLOOKUP(A393,Formulas!A:B,2,FALSE)</f>
        <v>093043</v>
      </c>
      <c r="M393" s="32"/>
    </row>
    <row r="394" spans="1:13" ht="47.5" hidden="1" customHeight="1">
      <c r="A394" s="10">
        <v>4279</v>
      </c>
      <c r="B394" s="11" t="s">
        <v>252</v>
      </c>
      <c r="C394" s="10" t="s">
        <v>10</v>
      </c>
      <c r="D394" s="12" t="s">
        <v>249</v>
      </c>
      <c r="E394" s="10">
        <v>450</v>
      </c>
      <c r="F394" s="10" t="s">
        <v>226</v>
      </c>
      <c r="G394" s="10" t="s">
        <v>85</v>
      </c>
      <c r="H394" s="10" t="s">
        <v>95</v>
      </c>
      <c r="I394" s="10" t="s">
        <v>11</v>
      </c>
      <c r="J394" s="13">
        <v>146.916</v>
      </c>
      <c r="K394" s="14" t="s">
        <v>219</v>
      </c>
      <c r="L394" t="str">
        <f>VLOOKUP(A394,Formulas!A:B,2,FALSE)</f>
        <v>093044</v>
      </c>
      <c r="M394" s="32"/>
    </row>
    <row r="395" spans="1:13" ht="47.5" hidden="1" customHeight="1">
      <c r="A395" s="10">
        <v>4280</v>
      </c>
      <c r="B395" s="11" t="s">
        <v>950</v>
      </c>
      <c r="C395" s="10" t="s">
        <v>102</v>
      </c>
      <c r="D395" s="12" t="s">
        <v>11</v>
      </c>
      <c r="E395" s="10" t="s">
        <v>11</v>
      </c>
      <c r="F395" s="10" t="s">
        <v>213</v>
      </c>
      <c r="G395" s="10" t="s">
        <v>103</v>
      </c>
      <c r="H395" s="10" t="s">
        <v>402</v>
      </c>
      <c r="I395" s="10" t="s">
        <v>11</v>
      </c>
      <c r="J395" s="13">
        <v>78.80040000000001</v>
      </c>
      <c r="K395" s="14" t="s">
        <v>295</v>
      </c>
      <c r="L395" t="str">
        <f>VLOOKUP(A395,Formulas!A:B,2,FALSE)</f>
        <v>093480</v>
      </c>
      <c r="M395" s="32"/>
    </row>
    <row r="396" spans="1:13" ht="47.5" hidden="1" customHeight="1">
      <c r="A396" s="10">
        <v>4281</v>
      </c>
      <c r="B396" s="11" t="s">
        <v>951</v>
      </c>
      <c r="C396" s="10" t="s">
        <v>102</v>
      </c>
      <c r="D396" s="12" t="s">
        <v>11</v>
      </c>
      <c r="E396" s="10" t="s">
        <v>11</v>
      </c>
      <c r="F396" s="10" t="s">
        <v>213</v>
      </c>
      <c r="G396" s="10" t="s">
        <v>103</v>
      </c>
      <c r="H396" s="10" t="s">
        <v>402</v>
      </c>
      <c r="I396" s="10" t="s">
        <v>11</v>
      </c>
      <c r="J396" s="13">
        <v>65.667000000000002</v>
      </c>
      <c r="K396" s="14" t="s">
        <v>295</v>
      </c>
      <c r="L396" t="str">
        <f>VLOOKUP(A396,Formulas!A:B,2,FALSE)</f>
        <v>093481</v>
      </c>
      <c r="M396" s="32"/>
    </row>
    <row r="397" spans="1:13" ht="47.5" hidden="1" customHeight="1">
      <c r="A397" s="10">
        <v>4282</v>
      </c>
      <c r="B397" s="11" t="s">
        <v>404</v>
      </c>
      <c r="C397" s="10" t="s">
        <v>102</v>
      </c>
      <c r="D397" s="12" t="s">
        <v>11</v>
      </c>
      <c r="E397" s="10" t="s">
        <v>11</v>
      </c>
      <c r="F397" s="10" t="s">
        <v>213</v>
      </c>
      <c r="G397" s="10" t="s">
        <v>103</v>
      </c>
      <c r="H397" s="10" t="s">
        <v>402</v>
      </c>
      <c r="I397" s="10" t="s">
        <v>11</v>
      </c>
      <c r="J397" s="13">
        <v>65.667000000000002</v>
      </c>
      <c r="K397" s="14" t="s">
        <v>295</v>
      </c>
      <c r="L397" t="str">
        <f>VLOOKUP(A397,Formulas!A:B,2,FALSE)</f>
        <v>093483</v>
      </c>
      <c r="M397" s="32"/>
    </row>
    <row r="398" spans="1:13" ht="47.5" hidden="1" customHeight="1">
      <c r="A398" s="10">
        <v>4283</v>
      </c>
      <c r="B398" s="11" t="s">
        <v>405</v>
      </c>
      <c r="C398" s="10" t="s">
        <v>102</v>
      </c>
      <c r="D398" s="12" t="s">
        <v>11</v>
      </c>
      <c r="E398" s="10" t="s">
        <v>11</v>
      </c>
      <c r="F398" s="10" t="s">
        <v>213</v>
      </c>
      <c r="G398" s="10" t="s">
        <v>103</v>
      </c>
      <c r="H398" s="10" t="s">
        <v>402</v>
      </c>
      <c r="I398" s="10" t="s">
        <v>11</v>
      </c>
      <c r="J398" s="13">
        <v>65.667000000000002</v>
      </c>
      <c r="K398" s="14" t="s">
        <v>295</v>
      </c>
      <c r="L398" t="str">
        <f>VLOOKUP(A398,Formulas!A:B,2,FALSE)</f>
        <v>093484</v>
      </c>
      <c r="M398" s="32"/>
    </row>
    <row r="399" spans="1:13" ht="47.5" hidden="1" customHeight="1">
      <c r="A399" s="10">
        <v>4285</v>
      </c>
      <c r="B399" s="11" t="s">
        <v>407</v>
      </c>
      <c r="C399" s="10" t="s">
        <v>10</v>
      </c>
      <c r="D399" s="12" t="s">
        <v>267</v>
      </c>
      <c r="E399" s="10">
        <v>225</v>
      </c>
      <c r="F399" s="10" t="s">
        <v>203</v>
      </c>
      <c r="G399" s="10" t="s">
        <v>103</v>
      </c>
      <c r="H399" s="10" t="s">
        <v>208</v>
      </c>
      <c r="I399" s="10" t="s">
        <v>11</v>
      </c>
      <c r="J399" s="13">
        <v>99.057000000000002</v>
      </c>
      <c r="K399" s="14" t="s">
        <v>408</v>
      </c>
      <c r="L399" t="str">
        <f>VLOOKUP(A399,Formulas!A:B,2,FALSE)</f>
        <v>093487</v>
      </c>
      <c r="M399" s="32"/>
    </row>
    <row r="400" spans="1:13" ht="47.5" hidden="1" customHeight="1">
      <c r="A400" s="10">
        <v>4286</v>
      </c>
      <c r="B400" s="11" t="s">
        <v>409</v>
      </c>
      <c r="C400" s="10" t="s">
        <v>10</v>
      </c>
      <c r="D400" s="12" t="s">
        <v>267</v>
      </c>
      <c r="E400" s="10">
        <v>225</v>
      </c>
      <c r="F400" s="10" t="s">
        <v>203</v>
      </c>
      <c r="G400" s="10" t="s">
        <v>103</v>
      </c>
      <c r="H400" s="10" t="s">
        <v>208</v>
      </c>
      <c r="I400" s="10" t="s">
        <v>11</v>
      </c>
      <c r="J400" s="13">
        <v>99.057000000000002</v>
      </c>
      <c r="K400" s="14" t="s">
        <v>408</v>
      </c>
      <c r="L400" t="str">
        <f>VLOOKUP(A400,Formulas!A:B,2,FALSE)</f>
        <v>093488</v>
      </c>
      <c r="M400" s="32"/>
    </row>
    <row r="401" spans="1:13" ht="47.5" hidden="1" customHeight="1">
      <c r="A401" s="10">
        <v>4287</v>
      </c>
      <c r="B401" s="11" t="s">
        <v>952</v>
      </c>
      <c r="C401" s="10" t="s">
        <v>10</v>
      </c>
      <c r="D401" s="12" t="s">
        <v>267</v>
      </c>
      <c r="E401" s="10">
        <v>225</v>
      </c>
      <c r="F401" s="10" t="s">
        <v>203</v>
      </c>
      <c r="G401" s="10" t="s">
        <v>103</v>
      </c>
      <c r="H401" s="10" t="s">
        <v>208</v>
      </c>
      <c r="I401" s="10" t="s">
        <v>11</v>
      </c>
      <c r="J401" s="13">
        <v>118.86840000000001</v>
      </c>
      <c r="K401" s="14" t="s">
        <v>408</v>
      </c>
      <c r="L401" t="str">
        <f>VLOOKUP(A401,Formulas!A:B,2,FALSE)</f>
        <v>093489</v>
      </c>
      <c r="M401" s="32"/>
    </row>
    <row r="402" spans="1:13" ht="47.5" hidden="1" customHeight="1">
      <c r="A402" s="10">
        <v>4291</v>
      </c>
      <c r="B402" s="11" t="s">
        <v>352</v>
      </c>
      <c r="C402" s="10" t="s">
        <v>182</v>
      </c>
      <c r="D402" s="12" t="s">
        <v>11</v>
      </c>
      <c r="E402" s="10" t="s">
        <v>11</v>
      </c>
      <c r="F402" s="10" t="s">
        <v>84</v>
      </c>
      <c r="G402" s="10" t="s">
        <v>208</v>
      </c>
      <c r="H402" s="10" t="s">
        <v>222</v>
      </c>
      <c r="I402" s="10" t="s">
        <v>89</v>
      </c>
      <c r="J402" s="13">
        <v>87.927000000000007</v>
      </c>
      <c r="K402" s="14"/>
      <c r="L402" t="str">
        <f>VLOOKUP(A402,Formulas!A:B,2,FALSE)</f>
        <v>093349</v>
      </c>
      <c r="M402" s="32"/>
    </row>
    <row r="403" spans="1:13" ht="47.5" hidden="1" customHeight="1">
      <c r="A403" s="10">
        <v>4292</v>
      </c>
      <c r="B403" s="11" t="s">
        <v>353</v>
      </c>
      <c r="C403" s="10" t="s">
        <v>182</v>
      </c>
      <c r="D403" s="12" t="s">
        <v>11</v>
      </c>
      <c r="E403" s="10" t="s">
        <v>11</v>
      </c>
      <c r="F403" s="10" t="s">
        <v>84</v>
      </c>
      <c r="G403" s="10" t="s">
        <v>208</v>
      </c>
      <c r="H403" s="10" t="s">
        <v>222</v>
      </c>
      <c r="I403" s="10" t="s">
        <v>89</v>
      </c>
      <c r="J403" s="13">
        <v>87.927000000000007</v>
      </c>
      <c r="K403" s="14"/>
      <c r="L403" t="str">
        <f>VLOOKUP(A403,Formulas!A:B,2,FALSE)</f>
        <v>093350</v>
      </c>
      <c r="M403" s="32"/>
    </row>
    <row r="404" spans="1:13" ht="47.5" hidden="1" customHeight="1">
      <c r="A404" s="10">
        <v>4293</v>
      </c>
      <c r="B404" s="11" t="s">
        <v>354</v>
      </c>
      <c r="C404" s="10" t="s">
        <v>182</v>
      </c>
      <c r="D404" s="12" t="s">
        <v>11</v>
      </c>
      <c r="E404" s="10" t="s">
        <v>11</v>
      </c>
      <c r="F404" s="10" t="s">
        <v>84</v>
      </c>
      <c r="G404" s="10" t="s">
        <v>208</v>
      </c>
      <c r="H404" s="10" t="s">
        <v>222</v>
      </c>
      <c r="I404" s="10" t="s">
        <v>89</v>
      </c>
      <c r="J404" s="13">
        <v>105.5124</v>
      </c>
      <c r="K404" s="14"/>
      <c r="L404" t="str">
        <f>VLOOKUP(A404,Formulas!A:B,2,FALSE)</f>
        <v>093351</v>
      </c>
      <c r="M404" s="32"/>
    </row>
    <row r="405" spans="1:13" ht="47.5" hidden="1" customHeight="1">
      <c r="A405" s="10">
        <v>4294</v>
      </c>
      <c r="B405" s="11" t="s">
        <v>355</v>
      </c>
      <c r="C405" s="10" t="s">
        <v>182</v>
      </c>
      <c r="D405" s="12" t="s">
        <v>11</v>
      </c>
      <c r="E405" s="10" t="s">
        <v>11</v>
      </c>
      <c r="F405" s="10" t="s">
        <v>84</v>
      </c>
      <c r="G405" s="10" t="s">
        <v>208</v>
      </c>
      <c r="H405" s="10" t="s">
        <v>222</v>
      </c>
      <c r="I405" s="10" t="s">
        <v>89</v>
      </c>
      <c r="J405" s="13">
        <v>87.927000000000007</v>
      </c>
      <c r="K405" s="14"/>
      <c r="L405" t="str">
        <f>VLOOKUP(A405,Formulas!A:B,2,FALSE)</f>
        <v>093352</v>
      </c>
      <c r="M405" s="32"/>
    </row>
    <row r="406" spans="1:13" ht="47.5" hidden="1" customHeight="1">
      <c r="A406" s="10">
        <v>4295</v>
      </c>
      <c r="B406" s="11" t="s">
        <v>966</v>
      </c>
      <c r="C406" s="10" t="s">
        <v>217</v>
      </c>
      <c r="D406" s="12" t="s">
        <v>11</v>
      </c>
      <c r="E406" s="10" t="s">
        <v>11</v>
      </c>
      <c r="F406" s="10" t="s">
        <v>244</v>
      </c>
      <c r="G406" s="10" t="s">
        <v>14</v>
      </c>
      <c r="H406" s="10" t="s">
        <v>14</v>
      </c>
      <c r="I406" s="10" t="s">
        <v>89</v>
      </c>
      <c r="J406" s="13">
        <v>190.99080000000001</v>
      </c>
      <c r="K406" s="14"/>
      <c r="L406" t="str">
        <f>VLOOKUP(A406,Formulas!A:B,2,FALSE)</f>
        <v>093354</v>
      </c>
      <c r="M406" s="32"/>
    </row>
    <row r="407" spans="1:13" ht="47.5" hidden="1" customHeight="1">
      <c r="A407" s="10">
        <v>4296</v>
      </c>
      <c r="B407" s="11" t="s">
        <v>967</v>
      </c>
      <c r="C407" s="10" t="s">
        <v>217</v>
      </c>
      <c r="D407" s="12" t="s">
        <v>11</v>
      </c>
      <c r="E407" s="10" t="s">
        <v>11</v>
      </c>
      <c r="F407" s="10" t="s">
        <v>244</v>
      </c>
      <c r="G407" s="10" t="s">
        <v>14</v>
      </c>
      <c r="H407" s="10" t="s">
        <v>14</v>
      </c>
      <c r="I407" s="10" t="s">
        <v>89</v>
      </c>
      <c r="J407" s="13">
        <v>190.99080000000001</v>
      </c>
      <c r="K407" s="14"/>
      <c r="L407" t="str">
        <f>VLOOKUP(A407,Formulas!A:B,2,FALSE)</f>
        <v>093355</v>
      </c>
      <c r="M407" s="32"/>
    </row>
    <row r="408" spans="1:13" ht="47.5" hidden="1" customHeight="1">
      <c r="A408" s="10">
        <v>4297</v>
      </c>
      <c r="B408" s="11" t="s">
        <v>356</v>
      </c>
      <c r="C408" s="10" t="s">
        <v>217</v>
      </c>
      <c r="D408" s="12" t="s">
        <v>11</v>
      </c>
      <c r="E408" s="10" t="s">
        <v>11</v>
      </c>
      <c r="F408" s="10" t="s">
        <v>244</v>
      </c>
      <c r="G408" s="10" t="s">
        <v>14</v>
      </c>
      <c r="H408" s="10" t="s">
        <v>14</v>
      </c>
      <c r="I408" s="10" t="s">
        <v>89</v>
      </c>
      <c r="J408" s="13">
        <v>159.15900000000002</v>
      </c>
      <c r="K408" s="14"/>
      <c r="L408" t="str">
        <f>VLOOKUP(A408,Formulas!A:B,2,FALSE)</f>
        <v>093356</v>
      </c>
      <c r="M408" s="32"/>
    </row>
    <row r="409" spans="1:13" ht="47.5" hidden="1" customHeight="1">
      <c r="A409" s="10">
        <v>4298</v>
      </c>
      <c r="B409" s="11" t="s">
        <v>357</v>
      </c>
      <c r="C409" s="10" t="s">
        <v>217</v>
      </c>
      <c r="D409" s="12" t="s">
        <v>11</v>
      </c>
      <c r="E409" s="10" t="s">
        <v>11</v>
      </c>
      <c r="F409" s="10" t="s">
        <v>244</v>
      </c>
      <c r="G409" s="10" t="s">
        <v>14</v>
      </c>
      <c r="H409" s="10" t="s">
        <v>14</v>
      </c>
      <c r="I409" s="10" t="s">
        <v>89</v>
      </c>
      <c r="J409" s="13">
        <v>159.15900000000002</v>
      </c>
      <c r="K409" s="14"/>
      <c r="L409" t="str">
        <f>VLOOKUP(A409,Formulas!A:B,2,FALSE)</f>
        <v>093357</v>
      </c>
      <c r="M409" s="32"/>
    </row>
    <row r="410" spans="1:13" ht="47.5" hidden="1" customHeight="1">
      <c r="A410" s="10">
        <v>4299</v>
      </c>
      <c r="B410" s="11" t="s">
        <v>968</v>
      </c>
      <c r="C410" s="10" t="s">
        <v>217</v>
      </c>
      <c r="D410" s="12" t="s">
        <v>11</v>
      </c>
      <c r="E410" s="10" t="s">
        <v>11</v>
      </c>
      <c r="F410" s="10" t="s">
        <v>244</v>
      </c>
      <c r="G410" s="10" t="s">
        <v>14</v>
      </c>
      <c r="H410" s="10" t="s">
        <v>14</v>
      </c>
      <c r="I410" s="10" t="s">
        <v>89</v>
      </c>
      <c r="J410" s="13">
        <v>190.99080000000001</v>
      </c>
      <c r="K410" s="14"/>
      <c r="L410" t="str">
        <f>VLOOKUP(A410,Formulas!A:B,2,FALSE)</f>
        <v>093358</v>
      </c>
      <c r="M410" s="32"/>
    </row>
    <row r="411" spans="1:13" ht="47.5" hidden="1" customHeight="1">
      <c r="A411" s="10">
        <v>4300</v>
      </c>
      <c r="B411" s="11" t="s">
        <v>358</v>
      </c>
      <c r="C411" s="10" t="s">
        <v>217</v>
      </c>
      <c r="D411" s="12" t="s">
        <v>11</v>
      </c>
      <c r="E411" s="10" t="s">
        <v>11</v>
      </c>
      <c r="F411" s="10" t="s">
        <v>244</v>
      </c>
      <c r="G411" s="10" t="s">
        <v>14</v>
      </c>
      <c r="H411" s="10" t="s">
        <v>14</v>
      </c>
      <c r="I411" s="10" t="s">
        <v>89</v>
      </c>
      <c r="J411" s="13">
        <v>159.15900000000002</v>
      </c>
      <c r="K411" s="14"/>
      <c r="L411" t="str">
        <f>VLOOKUP(A411,Formulas!A:B,2,FALSE)</f>
        <v>093359</v>
      </c>
      <c r="M411" s="32"/>
    </row>
    <row r="412" spans="1:13" ht="47.5" hidden="1" customHeight="1">
      <c r="A412" s="10">
        <v>4313</v>
      </c>
      <c r="B412" s="11" t="s">
        <v>255</v>
      </c>
      <c r="C412" s="10" t="s">
        <v>10</v>
      </c>
      <c r="D412" s="12" t="s">
        <v>256</v>
      </c>
      <c r="E412" s="10">
        <v>675</v>
      </c>
      <c r="F412" s="10" t="s">
        <v>226</v>
      </c>
      <c r="G412" s="10" t="s">
        <v>85</v>
      </c>
      <c r="H412" s="10" t="s">
        <v>87</v>
      </c>
      <c r="I412" s="10" t="s">
        <v>11</v>
      </c>
      <c r="J412" s="13">
        <v>178.08</v>
      </c>
      <c r="K412" s="14" t="s">
        <v>219</v>
      </c>
      <c r="L412" t="str">
        <f>VLOOKUP(A412,Formulas!A:B,2,FALSE)</f>
        <v>093047</v>
      </c>
      <c r="M412" s="32"/>
    </row>
    <row r="413" spans="1:13" ht="47.5" hidden="1" customHeight="1">
      <c r="A413" s="10">
        <v>4314</v>
      </c>
      <c r="B413" s="11" t="s">
        <v>257</v>
      </c>
      <c r="C413" s="10" t="s">
        <v>10</v>
      </c>
      <c r="D413" s="12" t="s">
        <v>256</v>
      </c>
      <c r="E413" s="10">
        <v>675</v>
      </c>
      <c r="F413" s="10" t="s">
        <v>226</v>
      </c>
      <c r="G413" s="10" t="s">
        <v>85</v>
      </c>
      <c r="H413" s="10" t="s">
        <v>87</v>
      </c>
      <c r="I413" s="10" t="s">
        <v>11</v>
      </c>
      <c r="J413" s="13">
        <v>178.08</v>
      </c>
      <c r="K413" s="14" t="s">
        <v>219</v>
      </c>
      <c r="L413" t="str">
        <f>VLOOKUP(A413,Formulas!A:B,2,FALSE)</f>
        <v>093048</v>
      </c>
      <c r="M413" s="32"/>
    </row>
    <row r="414" spans="1:13" ht="47.5" hidden="1" customHeight="1">
      <c r="A414" s="10">
        <v>4316</v>
      </c>
      <c r="B414" s="11" t="s">
        <v>258</v>
      </c>
      <c r="C414" s="10" t="s">
        <v>10</v>
      </c>
      <c r="D414" s="12" t="s">
        <v>256</v>
      </c>
      <c r="E414" s="10">
        <v>675</v>
      </c>
      <c r="F414" s="10" t="s">
        <v>226</v>
      </c>
      <c r="G414" s="10" t="s">
        <v>85</v>
      </c>
      <c r="H414" s="10" t="s">
        <v>87</v>
      </c>
      <c r="I414" s="10" t="s">
        <v>11</v>
      </c>
      <c r="J414" s="13">
        <v>178.08</v>
      </c>
      <c r="K414" s="14" t="s">
        <v>219</v>
      </c>
      <c r="L414" t="str">
        <f>VLOOKUP(A414,Formulas!A:B,2,FALSE)</f>
        <v>093049</v>
      </c>
      <c r="M414" s="32"/>
    </row>
    <row r="415" spans="1:13" ht="47.5" hidden="1" customHeight="1">
      <c r="A415" s="10">
        <v>4317</v>
      </c>
      <c r="B415" s="11" t="s">
        <v>259</v>
      </c>
      <c r="C415" s="10" t="s">
        <v>10</v>
      </c>
      <c r="D415" s="12" t="s">
        <v>256</v>
      </c>
      <c r="E415" s="10">
        <v>675</v>
      </c>
      <c r="F415" s="10" t="s">
        <v>226</v>
      </c>
      <c r="G415" s="10" t="s">
        <v>85</v>
      </c>
      <c r="H415" s="10" t="s">
        <v>87</v>
      </c>
      <c r="I415" s="10" t="s">
        <v>11</v>
      </c>
      <c r="J415" s="13">
        <v>178.08</v>
      </c>
      <c r="K415" s="14" t="s">
        <v>219</v>
      </c>
      <c r="L415" t="str">
        <f>VLOOKUP(A415,Formulas!A:B,2,FALSE)</f>
        <v>093050</v>
      </c>
      <c r="M415" s="32"/>
    </row>
    <row r="416" spans="1:13" ht="47.5" hidden="1" customHeight="1">
      <c r="A416" s="10">
        <v>4327</v>
      </c>
      <c r="B416" s="11" t="s">
        <v>575</v>
      </c>
      <c r="C416" s="10" t="s">
        <v>10</v>
      </c>
      <c r="D416" s="12" t="s">
        <v>460</v>
      </c>
      <c r="E416" s="10">
        <v>2850</v>
      </c>
      <c r="F416" s="10" t="s">
        <v>85</v>
      </c>
      <c r="G416" s="10" t="s">
        <v>226</v>
      </c>
      <c r="H416" s="10" t="s">
        <v>291</v>
      </c>
      <c r="I416" s="10" t="s">
        <v>206</v>
      </c>
      <c r="J416" s="13">
        <v>366.17700000000002</v>
      </c>
      <c r="K416" s="14"/>
      <c r="L416" t="str">
        <f>VLOOKUP(A416,Formulas!A:B,2,FALSE)</f>
        <v>092567</v>
      </c>
      <c r="M416" s="32"/>
    </row>
    <row r="417" spans="1:13" ht="47.5" hidden="1" customHeight="1">
      <c r="A417" s="10">
        <v>4395</v>
      </c>
      <c r="B417" s="11" t="s">
        <v>345</v>
      </c>
      <c r="C417" s="10" t="s">
        <v>217</v>
      </c>
      <c r="D417" s="12" t="s">
        <v>11</v>
      </c>
      <c r="E417" s="10" t="s">
        <v>11</v>
      </c>
      <c r="F417" s="10" t="s">
        <v>1476</v>
      </c>
      <c r="G417" s="10" t="s">
        <v>289</v>
      </c>
      <c r="H417" s="10" t="s">
        <v>289</v>
      </c>
      <c r="I417" s="10" t="s">
        <v>11</v>
      </c>
      <c r="J417" s="13">
        <v>205.905</v>
      </c>
      <c r="K417" s="14"/>
      <c r="L417" t="str">
        <f>VLOOKUP(A417,Formulas!A:B,2,FALSE)</f>
        <v>093335</v>
      </c>
      <c r="M417" s="32"/>
    </row>
    <row r="418" spans="1:13" ht="47.5" hidden="1" customHeight="1">
      <c r="A418" s="10">
        <v>4400</v>
      </c>
      <c r="B418" s="11" t="s">
        <v>585</v>
      </c>
      <c r="C418" s="10" t="s">
        <v>10</v>
      </c>
      <c r="D418" s="12" t="s">
        <v>446</v>
      </c>
      <c r="E418" s="10">
        <v>1350</v>
      </c>
      <c r="F418" s="10" t="s">
        <v>85</v>
      </c>
      <c r="G418" s="10" t="s">
        <v>226</v>
      </c>
      <c r="H418" s="10" t="s">
        <v>291</v>
      </c>
      <c r="I418" s="10" t="s">
        <v>206</v>
      </c>
      <c r="J418" s="13">
        <v>263.78100000000001</v>
      </c>
      <c r="K418" s="14"/>
      <c r="L418" t="str">
        <f>VLOOKUP(A418,Formulas!A:B,2,FALSE)</f>
        <v>092593</v>
      </c>
      <c r="M418" s="32"/>
    </row>
    <row r="419" spans="1:13" ht="47.5" hidden="1" customHeight="1">
      <c r="A419" s="10">
        <v>4425</v>
      </c>
      <c r="B419" s="11" t="s">
        <v>299</v>
      </c>
      <c r="C419" s="10" t="s">
        <v>182</v>
      </c>
      <c r="D419" s="12" t="s">
        <v>11</v>
      </c>
      <c r="E419" s="10" t="s">
        <v>11</v>
      </c>
      <c r="F419" s="10" t="s">
        <v>294</v>
      </c>
      <c r="G419" s="10" t="s">
        <v>103</v>
      </c>
      <c r="H419" s="10" t="s">
        <v>208</v>
      </c>
      <c r="I419" s="10" t="s">
        <v>206</v>
      </c>
      <c r="J419" s="13">
        <v>126.88200000000001</v>
      </c>
      <c r="K419" s="14" t="s">
        <v>295</v>
      </c>
      <c r="L419" t="str">
        <f>VLOOKUP(A419,Formulas!A:B,2,FALSE)</f>
        <v>093184</v>
      </c>
      <c r="M419" s="32"/>
    </row>
    <row r="420" spans="1:13" ht="47.5" hidden="1" customHeight="1">
      <c r="A420" s="10">
        <v>4426</v>
      </c>
      <c r="B420" s="11" t="s">
        <v>321</v>
      </c>
      <c r="C420" s="10" t="s">
        <v>182</v>
      </c>
      <c r="D420" s="12" t="s">
        <v>11</v>
      </c>
      <c r="E420" s="10" t="s">
        <v>11</v>
      </c>
      <c r="F420" s="10" t="s">
        <v>294</v>
      </c>
      <c r="G420" s="10" t="s">
        <v>208</v>
      </c>
      <c r="H420" s="10" t="s">
        <v>208</v>
      </c>
      <c r="I420" s="10" t="s">
        <v>206</v>
      </c>
      <c r="J420" s="13">
        <v>100.17</v>
      </c>
      <c r="K420" s="14"/>
      <c r="L420" t="str">
        <f>VLOOKUP(A420,Formulas!A:B,2,FALSE)</f>
        <v>093251</v>
      </c>
      <c r="M420" s="32"/>
    </row>
    <row r="421" spans="1:13" ht="47.5" hidden="1" customHeight="1">
      <c r="A421" s="10">
        <v>4427</v>
      </c>
      <c r="B421" s="11" t="s">
        <v>235</v>
      </c>
      <c r="C421" s="10" t="s">
        <v>217</v>
      </c>
      <c r="D421" s="12" t="s">
        <v>11</v>
      </c>
      <c r="E421" s="10" t="s">
        <v>11</v>
      </c>
      <c r="F421" s="10" t="s">
        <v>288</v>
      </c>
      <c r="G421" s="10" t="s">
        <v>221</v>
      </c>
      <c r="H421" s="10" t="s">
        <v>208</v>
      </c>
      <c r="I421" s="10" t="s">
        <v>11</v>
      </c>
      <c r="J421" s="13">
        <v>105.735</v>
      </c>
      <c r="K421" s="14" t="s">
        <v>219</v>
      </c>
      <c r="L421" t="str">
        <f>VLOOKUP(A421,Formulas!A:B,2,FALSE)</f>
        <v>093006</v>
      </c>
      <c r="M421" s="32"/>
    </row>
    <row r="422" spans="1:13" ht="47.5" hidden="1" customHeight="1">
      <c r="A422" s="10">
        <v>4429</v>
      </c>
      <c r="B422" s="11" t="s">
        <v>239</v>
      </c>
      <c r="C422" s="10" t="s">
        <v>236</v>
      </c>
      <c r="D422" s="12" t="s">
        <v>11</v>
      </c>
      <c r="E422" s="10" t="s">
        <v>11</v>
      </c>
      <c r="F422" s="10" t="s">
        <v>302</v>
      </c>
      <c r="G422" s="10" t="s">
        <v>208</v>
      </c>
      <c r="H422" s="10" t="s">
        <v>208</v>
      </c>
      <c r="I422" s="10" t="s">
        <v>11</v>
      </c>
      <c r="J422" s="13">
        <v>81.249000000000009</v>
      </c>
      <c r="K422" s="14"/>
      <c r="L422" t="str">
        <f>VLOOKUP(A422,Formulas!A:B,2,FALSE)</f>
        <v>093013</v>
      </c>
      <c r="M422" s="32"/>
    </row>
    <row r="423" spans="1:13" ht="47.5" hidden="1" customHeight="1">
      <c r="A423" s="10">
        <v>4430</v>
      </c>
      <c r="B423" s="11" t="s">
        <v>322</v>
      </c>
      <c r="C423" s="10" t="s">
        <v>182</v>
      </c>
      <c r="D423" s="12" t="s">
        <v>11</v>
      </c>
      <c r="E423" s="10" t="s">
        <v>11</v>
      </c>
      <c r="F423" s="10" t="s">
        <v>294</v>
      </c>
      <c r="G423" s="10" t="s">
        <v>208</v>
      </c>
      <c r="H423" s="10" t="s">
        <v>208</v>
      </c>
      <c r="I423" s="10" t="s">
        <v>206</v>
      </c>
      <c r="J423" s="13">
        <v>100.17</v>
      </c>
      <c r="K423" s="14"/>
      <c r="L423" t="str">
        <f>VLOOKUP(A423,Formulas!A:B,2,FALSE)</f>
        <v>093252</v>
      </c>
      <c r="M423" s="32"/>
    </row>
    <row r="424" spans="1:13" ht="47.5" hidden="1" customHeight="1">
      <c r="A424" s="10">
        <v>4431</v>
      </c>
      <c r="B424" s="11" t="s">
        <v>323</v>
      </c>
      <c r="C424" s="10" t="s">
        <v>182</v>
      </c>
      <c r="D424" s="12" t="s">
        <v>11</v>
      </c>
      <c r="E424" s="10" t="s">
        <v>11</v>
      </c>
      <c r="F424" s="10" t="s">
        <v>294</v>
      </c>
      <c r="G424" s="10" t="s">
        <v>208</v>
      </c>
      <c r="H424" s="10" t="s">
        <v>208</v>
      </c>
      <c r="I424" s="10" t="s">
        <v>206</v>
      </c>
      <c r="J424" s="13">
        <v>100.17</v>
      </c>
      <c r="K424" s="14"/>
      <c r="L424" t="str">
        <f>VLOOKUP(A424,Formulas!A:B,2,FALSE)</f>
        <v>093253</v>
      </c>
      <c r="M424" s="32"/>
    </row>
    <row r="425" spans="1:13" ht="47.5" hidden="1" customHeight="1">
      <c r="A425" s="10">
        <v>4433</v>
      </c>
      <c r="B425" s="11" t="s">
        <v>324</v>
      </c>
      <c r="C425" s="10" t="s">
        <v>182</v>
      </c>
      <c r="D425" s="12" t="s">
        <v>11</v>
      </c>
      <c r="E425" s="10" t="s">
        <v>11</v>
      </c>
      <c r="F425" s="10" t="s">
        <v>294</v>
      </c>
      <c r="G425" s="10" t="s">
        <v>208</v>
      </c>
      <c r="H425" s="10" t="s">
        <v>208</v>
      </c>
      <c r="I425" s="10" t="s">
        <v>206</v>
      </c>
      <c r="J425" s="13">
        <v>120.20400000000001</v>
      </c>
      <c r="K425" s="14"/>
      <c r="L425" t="str">
        <f>VLOOKUP(A425,Formulas!A:B,2,FALSE)</f>
        <v>093255</v>
      </c>
      <c r="M425" s="32"/>
    </row>
    <row r="426" spans="1:13" ht="47.5" hidden="1" customHeight="1">
      <c r="A426" s="10">
        <v>4440</v>
      </c>
      <c r="B426" s="11" t="s">
        <v>372</v>
      </c>
      <c r="C426" s="10" t="s">
        <v>217</v>
      </c>
      <c r="D426" s="12" t="s">
        <v>11</v>
      </c>
      <c r="E426" s="10" t="s">
        <v>11</v>
      </c>
      <c r="F426" s="10" t="s">
        <v>244</v>
      </c>
      <c r="G426" s="10" t="s">
        <v>245</v>
      </c>
      <c r="H426" s="10" t="s">
        <v>288</v>
      </c>
      <c r="I426" s="10" t="s">
        <v>89</v>
      </c>
      <c r="J426" s="13">
        <v>132.447</v>
      </c>
      <c r="K426" s="14"/>
      <c r="L426" t="str">
        <f>VLOOKUP(A426,Formulas!A:B,2,FALSE)</f>
        <v>093404</v>
      </c>
      <c r="M426" s="32"/>
    </row>
    <row r="427" spans="1:13" ht="47.5" hidden="1" customHeight="1">
      <c r="A427" s="10">
        <v>4441</v>
      </c>
      <c r="B427" s="11" t="s">
        <v>253</v>
      </c>
      <c r="C427" s="10" t="s">
        <v>10</v>
      </c>
      <c r="D427" s="12" t="s">
        <v>249</v>
      </c>
      <c r="E427" s="10">
        <v>450</v>
      </c>
      <c r="F427" s="10" t="s">
        <v>226</v>
      </c>
      <c r="G427" s="10" t="s">
        <v>85</v>
      </c>
      <c r="H427" s="10" t="s">
        <v>95</v>
      </c>
      <c r="I427" s="10" t="s">
        <v>11</v>
      </c>
      <c r="J427" s="13">
        <v>146.916</v>
      </c>
      <c r="K427" s="14" t="s">
        <v>219</v>
      </c>
      <c r="L427" t="str">
        <f>VLOOKUP(A427,Formulas!A:B,2,FALSE)</f>
        <v>093045</v>
      </c>
      <c r="M427" s="32"/>
    </row>
    <row r="428" spans="1:13" ht="47.5" hidden="1" customHeight="1">
      <c r="A428" s="10">
        <v>4442</v>
      </c>
      <c r="B428" s="11" t="s">
        <v>254</v>
      </c>
      <c r="C428" s="10" t="s">
        <v>10</v>
      </c>
      <c r="D428" s="12" t="s">
        <v>249</v>
      </c>
      <c r="E428" s="10">
        <v>450</v>
      </c>
      <c r="F428" s="10" t="s">
        <v>226</v>
      </c>
      <c r="G428" s="10" t="s">
        <v>85</v>
      </c>
      <c r="H428" s="10" t="s">
        <v>95</v>
      </c>
      <c r="I428" s="10" t="s">
        <v>11</v>
      </c>
      <c r="J428" s="13">
        <v>146.916</v>
      </c>
      <c r="K428" s="14" t="s">
        <v>219</v>
      </c>
      <c r="L428" t="str">
        <f>VLOOKUP(A428,Formulas!A:B,2,FALSE)</f>
        <v>093046</v>
      </c>
      <c r="M428" s="32"/>
    </row>
    <row r="429" spans="1:13" ht="47.5" hidden="1" customHeight="1">
      <c r="A429" s="10">
        <v>4443</v>
      </c>
      <c r="B429" s="11" t="s">
        <v>260</v>
      </c>
      <c r="C429" s="10" t="s">
        <v>10</v>
      </c>
      <c r="D429" s="12" t="s">
        <v>256</v>
      </c>
      <c r="E429" s="10">
        <v>675</v>
      </c>
      <c r="F429" s="10" t="s">
        <v>226</v>
      </c>
      <c r="G429" s="10" t="s">
        <v>85</v>
      </c>
      <c r="H429" s="10" t="s">
        <v>87</v>
      </c>
      <c r="I429" s="10" t="s">
        <v>11</v>
      </c>
      <c r="J429" s="13">
        <v>178.08</v>
      </c>
      <c r="K429" s="14" t="s">
        <v>219</v>
      </c>
      <c r="L429" t="str">
        <f>VLOOKUP(A429,Formulas!A:B,2,FALSE)</f>
        <v>093051</v>
      </c>
      <c r="M429" s="32"/>
    </row>
    <row r="430" spans="1:13" ht="47.5" hidden="1" customHeight="1">
      <c r="A430" s="10">
        <v>4444</v>
      </c>
      <c r="B430" s="11" t="s">
        <v>261</v>
      </c>
      <c r="C430" s="10" t="s">
        <v>10</v>
      </c>
      <c r="D430" s="12" t="s">
        <v>256</v>
      </c>
      <c r="E430" s="10">
        <v>675</v>
      </c>
      <c r="F430" s="10" t="s">
        <v>226</v>
      </c>
      <c r="G430" s="10" t="s">
        <v>85</v>
      </c>
      <c r="H430" s="10" t="s">
        <v>87</v>
      </c>
      <c r="I430" s="10" t="s">
        <v>11</v>
      </c>
      <c r="J430" s="13">
        <v>178.08</v>
      </c>
      <c r="K430" s="14" t="s">
        <v>219</v>
      </c>
      <c r="L430" t="str">
        <f>VLOOKUP(A430,Formulas!A:B,2,FALSE)</f>
        <v>093052</v>
      </c>
      <c r="M430" s="32"/>
    </row>
    <row r="431" spans="1:13" ht="47.5" hidden="1" customHeight="1">
      <c r="A431" s="10">
        <v>4445</v>
      </c>
      <c r="B431" s="11" t="s">
        <v>410</v>
      </c>
      <c r="C431" s="10" t="s">
        <v>10</v>
      </c>
      <c r="D431" s="12" t="s">
        <v>267</v>
      </c>
      <c r="E431" s="10">
        <v>225</v>
      </c>
      <c r="F431" s="10" t="s">
        <v>203</v>
      </c>
      <c r="G431" s="10" t="s">
        <v>103</v>
      </c>
      <c r="H431" s="10" t="s">
        <v>208</v>
      </c>
      <c r="I431" s="10" t="s">
        <v>11</v>
      </c>
      <c r="J431" s="13">
        <v>99.057000000000002</v>
      </c>
      <c r="K431" s="14" t="s">
        <v>408</v>
      </c>
      <c r="L431" t="str">
        <f>VLOOKUP(A431,Formulas!A:B,2,FALSE)</f>
        <v>093493</v>
      </c>
      <c r="M431" s="32"/>
    </row>
    <row r="432" spans="1:13" ht="47.5" hidden="1" customHeight="1">
      <c r="A432" s="10">
        <v>4484</v>
      </c>
      <c r="B432" s="11" t="s">
        <v>411</v>
      </c>
      <c r="C432" s="10" t="s">
        <v>10</v>
      </c>
      <c r="D432" s="12" t="s">
        <v>267</v>
      </c>
      <c r="E432" s="10">
        <v>225</v>
      </c>
      <c r="F432" s="10" t="s">
        <v>208</v>
      </c>
      <c r="G432" s="10" t="s">
        <v>92</v>
      </c>
      <c r="H432" s="10" t="s">
        <v>103</v>
      </c>
      <c r="I432" s="10" t="s">
        <v>11</v>
      </c>
      <c r="J432" s="13">
        <v>116.86500000000001</v>
      </c>
      <c r="K432" s="14" t="s">
        <v>204</v>
      </c>
      <c r="L432" t="str">
        <f>VLOOKUP(A432,Formulas!A:B,2,FALSE)</f>
        <v>093507</v>
      </c>
      <c r="M432" s="32"/>
    </row>
    <row r="433" spans="1:13" ht="47.5" hidden="1" customHeight="1">
      <c r="A433" s="10">
        <v>4486</v>
      </c>
      <c r="B433" s="11" t="s">
        <v>412</v>
      </c>
      <c r="C433" s="10" t="s">
        <v>10</v>
      </c>
      <c r="D433" s="12" t="s">
        <v>267</v>
      </c>
      <c r="E433" s="10">
        <v>225</v>
      </c>
      <c r="F433" s="10" t="s">
        <v>208</v>
      </c>
      <c r="G433" s="10" t="s">
        <v>92</v>
      </c>
      <c r="H433" s="10" t="s">
        <v>103</v>
      </c>
      <c r="I433" s="10" t="s">
        <v>11</v>
      </c>
      <c r="J433" s="13">
        <v>116.86500000000001</v>
      </c>
      <c r="K433" s="14" t="s">
        <v>204</v>
      </c>
      <c r="L433" t="str">
        <f>VLOOKUP(A433,Formulas!A:B,2,FALSE)</f>
        <v>093508</v>
      </c>
      <c r="M433" s="32"/>
    </row>
    <row r="434" spans="1:13" ht="47.5" hidden="1" customHeight="1">
      <c r="A434" s="10">
        <v>4488</v>
      </c>
      <c r="B434" s="11" t="s">
        <v>953</v>
      </c>
      <c r="C434" s="10" t="s">
        <v>10</v>
      </c>
      <c r="D434" s="12" t="s">
        <v>267</v>
      </c>
      <c r="E434" s="10">
        <v>225</v>
      </c>
      <c r="F434" s="10" t="s">
        <v>208</v>
      </c>
      <c r="G434" s="10" t="s">
        <v>92</v>
      </c>
      <c r="H434" s="10" t="s">
        <v>103</v>
      </c>
      <c r="I434" s="10" t="s">
        <v>11</v>
      </c>
      <c r="J434" s="13">
        <v>140.23800000000003</v>
      </c>
      <c r="K434" s="14" t="s">
        <v>204</v>
      </c>
      <c r="L434" t="str">
        <f>VLOOKUP(A434,Formulas!A:B,2,FALSE)</f>
        <v>093509</v>
      </c>
      <c r="M434" s="32"/>
    </row>
    <row r="435" spans="1:13" ht="47.5" hidden="1" customHeight="1">
      <c r="A435" s="10">
        <v>4519</v>
      </c>
      <c r="B435" s="11" t="s">
        <v>215</v>
      </c>
      <c r="C435" s="10" t="s">
        <v>10</v>
      </c>
      <c r="D435" s="12" t="s">
        <v>314</v>
      </c>
      <c r="E435" s="10">
        <v>112</v>
      </c>
      <c r="F435" s="10" t="s">
        <v>211</v>
      </c>
      <c r="G435" s="10" t="s">
        <v>212</v>
      </c>
      <c r="H435" s="10" t="s">
        <v>213</v>
      </c>
      <c r="I435" s="10" t="s">
        <v>11</v>
      </c>
      <c r="J435" s="13">
        <v>171.40199999999999</v>
      </c>
      <c r="K435" s="14"/>
      <c r="L435" t="str">
        <f>VLOOKUP(A435,Formulas!A:B,2,FALSE)</f>
        <v>092982</v>
      </c>
      <c r="M435" s="32"/>
    </row>
    <row r="436" spans="1:13" ht="47.5" hidden="1" customHeight="1">
      <c r="A436" s="10">
        <v>4533</v>
      </c>
      <c r="B436" s="11" t="s">
        <v>326</v>
      </c>
      <c r="C436" s="10" t="s">
        <v>10</v>
      </c>
      <c r="D436" s="12" t="s">
        <v>202</v>
      </c>
      <c r="E436" s="10">
        <v>1275</v>
      </c>
      <c r="F436" s="10" t="s">
        <v>14</v>
      </c>
      <c r="G436" s="10" t="s">
        <v>203</v>
      </c>
      <c r="H436" s="10">
        <v>1000</v>
      </c>
      <c r="I436" s="10" t="s">
        <v>206</v>
      </c>
      <c r="J436" s="13">
        <v>301.62300000000005</v>
      </c>
      <c r="K436" s="14" t="s">
        <v>204</v>
      </c>
      <c r="L436" t="str">
        <f>VLOOKUP(A436,Formulas!A:B,2,FALSE)</f>
        <v>093267</v>
      </c>
      <c r="M436" s="32"/>
    </row>
    <row r="437" spans="1:13" ht="47.5" hidden="1" customHeight="1">
      <c r="A437" s="10">
        <v>4534</v>
      </c>
      <c r="B437" s="11" t="s">
        <v>327</v>
      </c>
      <c r="C437" s="10" t="s">
        <v>10</v>
      </c>
      <c r="D437" s="12" t="s">
        <v>202</v>
      </c>
      <c r="E437" s="10">
        <v>1275</v>
      </c>
      <c r="F437" s="10" t="s">
        <v>14</v>
      </c>
      <c r="G437" s="10" t="s">
        <v>203</v>
      </c>
      <c r="H437" s="10">
        <v>1000</v>
      </c>
      <c r="I437" s="10" t="s">
        <v>206</v>
      </c>
      <c r="J437" s="13">
        <v>301.62300000000005</v>
      </c>
      <c r="K437" s="14" t="s">
        <v>204</v>
      </c>
      <c r="L437" t="str">
        <f>VLOOKUP(A437,Formulas!A:B,2,FALSE)</f>
        <v>093268</v>
      </c>
      <c r="M437" s="32"/>
    </row>
    <row r="438" spans="1:13" ht="47.5" hidden="1" customHeight="1">
      <c r="A438" s="10">
        <v>4535</v>
      </c>
      <c r="B438" s="11" t="s">
        <v>328</v>
      </c>
      <c r="C438" s="10" t="s">
        <v>10</v>
      </c>
      <c r="D438" s="12" t="s">
        <v>202</v>
      </c>
      <c r="E438" s="10">
        <v>1275</v>
      </c>
      <c r="F438" s="10" t="s">
        <v>14</v>
      </c>
      <c r="G438" s="10" t="s">
        <v>203</v>
      </c>
      <c r="H438" s="10">
        <v>1000</v>
      </c>
      <c r="I438" s="10" t="s">
        <v>206</v>
      </c>
      <c r="J438" s="13">
        <v>301.62300000000005</v>
      </c>
      <c r="K438" s="14" t="s">
        <v>204</v>
      </c>
      <c r="L438" t="str">
        <f>VLOOKUP(A438,Formulas!A:B,2,FALSE)</f>
        <v>093269</v>
      </c>
      <c r="M438" s="32"/>
    </row>
    <row r="439" spans="1:13" ht="47.5" hidden="1" customHeight="1">
      <c r="A439" s="10">
        <v>4536</v>
      </c>
      <c r="B439" s="11" t="s">
        <v>329</v>
      </c>
      <c r="C439" s="10" t="s">
        <v>10</v>
      </c>
      <c r="D439" s="12" t="s">
        <v>202</v>
      </c>
      <c r="E439" s="10">
        <v>1275</v>
      </c>
      <c r="F439" s="10" t="s">
        <v>14</v>
      </c>
      <c r="G439" s="10" t="s">
        <v>203</v>
      </c>
      <c r="H439" s="10">
        <v>1000</v>
      </c>
      <c r="I439" s="10" t="s">
        <v>206</v>
      </c>
      <c r="J439" s="13">
        <v>301.62300000000005</v>
      </c>
      <c r="K439" s="14" t="s">
        <v>204</v>
      </c>
      <c r="L439" t="str">
        <f>VLOOKUP(A439,Formulas!A:B,2,FALSE)</f>
        <v>093270</v>
      </c>
      <c r="M439" s="32"/>
    </row>
    <row r="440" spans="1:13" ht="47.5" hidden="1" customHeight="1">
      <c r="A440" s="10">
        <v>4537</v>
      </c>
      <c r="B440" s="11" t="s">
        <v>330</v>
      </c>
      <c r="C440" s="10" t="s">
        <v>10</v>
      </c>
      <c r="D440" s="12" t="s">
        <v>205</v>
      </c>
      <c r="E440" s="10">
        <v>2025</v>
      </c>
      <c r="F440" s="10" t="s">
        <v>14</v>
      </c>
      <c r="G440" s="10" t="s">
        <v>203</v>
      </c>
      <c r="H440" s="10">
        <v>1500</v>
      </c>
      <c r="I440" s="10" t="s">
        <v>206</v>
      </c>
      <c r="J440" s="13">
        <v>349.48200000000003</v>
      </c>
      <c r="K440" s="14" t="s">
        <v>204</v>
      </c>
      <c r="L440" t="str">
        <f>VLOOKUP(A440,Formulas!A:B,2,FALSE)</f>
        <v>093271</v>
      </c>
      <c r="M440" s="32"/>
    </row>
    <row r="441" spans="1:13" ht="47.5" hidden="1" customHeight="1">
      <c r="A441" s="10">
        <v>4538</v>
      </c>
      <c r="B441" s="11" t="s">
        <v>331</v>
      </c>
      <c r="C441" s="10" t="s">
        <v>10</v>
      </c>
      <c r="D441" s="12" t="s">
        <v>205</v>
      </c>
      <c r="E441" s="10">
        <v>2025</v>
      </c>
      <c r="F441" s="10" t="s">
        <v>14</v>
      </c>
      <c r="G441" s="10" t="s">
        <v>203</v>
      </c>
      <c r="H441" s="10">
        <v>1500</v>
      </c>
      <c r="I441" s="10" t="s">
        <v>206</v>
      </c>
      <c r="J441" s="13">
        <v>349.48200000000003</v>
      </c>
      <c r="K441" s="14" t="s">
        <v>204</v>
      </c>
      <c r="L441" t="str">
        <f>VLOOKUP(A441,Formulas!A:B,2,FALSE)</f>
        <v>093272</v>
      </c>
      <c r="M441" s="32"/>
    </row>
    <row r="442" spans="1:13" ht="47.5" hidden="1" customHeight="1">
      <c r="A442" s="10">
        <v>4539</v>
      </c>
      <c r="B442" s="11" t="s">
        <v>332</v>
      </c>
      <c r="C442" s="10" t="s">
        <v>10</v>
      </c>
      <c r="D442" s="12" t="s">
        <v>205</v>
      </c>
      <c r="E442" s="10">
        <v>2025</v>
      </c>
      <c r="F442" s="10" t="s">
        <v>14</v>
      </c>
      <c r="G442" s="10" t="s">
        <v>203</v>
      </c>
      <c r="H442" s="10">
        <v>1500</v>
      </c>
      <c r="I442" s="10" t="s">
        <v>206</v>
      </c>
      <c r="J442" s="13">
        <v>349.48200000000003</v>
      </c>
      <c r="K442" s="14" t="s">
        <v>204</v>
      </c>
      <c r="L442" t="str">
        <f>VLOOKUP(A442,Formulas!A:B,2,FALSE)</f>
        <v>093273</v>
      </c>
      <c r="M442" s="32"/>
    </row>
    <row r="443" spans="1:13" ht="47.5" hidden="1" customHeight="1">
      <c r="A443" s="10">
        <v>4540</v>
      </c>
      <c r="B443" s="11" t="s">
        <v>333</v>
      </c>
      <c r="C443" s="10" t="s">
        <v>10</v>
      </c>
      <c r="D443" s="12" t="s">
        <v>205</v>
      </c>
      <c r="E443" s="10">
        <v>2025</v>
      </c>
      <c r="F443" s="10" t="s">
        <v>14</v>
      </c>
      <c r="G443" s="10" t="s">
        <v>203</v>
      </c>
      <c r="H443" s="10">
        <v>1500</v>
      </c>
      <c r="I443" s="10" t="s">
        <v>206</v>
      </c>
      <c r="J443" s="13">
        <v>349.48200000000003</v>
      </c>
      <c r="K443" s="14" t="s">
        <v>204</v>
      </c>
      <c r="L443" t="str">
        <f>VLOOKUP(A443,Formulas!A:B,2,FALSE)</f>
        <v>093274</v>
      </c>
      <c r="M443" s="32"/>
    </row>
    <row r="444" spans="1:13" ht="47.5" hidden="1" customHeight="1">
      <c r="A444" s="10">
        <v>4565</v>
      </c>
      <c r="B444" s="11" t="s">
        <v>269</v>
      </c>
      <c r="C444" s="10" t="s">
        <v>10</v>
      </c>
      <c r="D444" s="12" t="s">
        <v>267</v>
      </c>
      <c r="E444" s="10">
        <v>225</v>
      </c>
      <c r="F444" s="10" t="s">
        <v>101</v>
      </c>
      <c r="G444" s="10" t="s">
        <v>213</v>
      </c>
      <c r="H444" s="10" t="s">
        <v>270</v>
      </c>
      <c r="I444" s="10" t="s">
        <v>11</v>
      </c>
      <c r="J444" s="13">
        <v>121.31700000000001</v>
      </c>
      <c r="K444" s="14"/>
      <c r="L444" t="str">
        <f>VLOOKUP(A444,Formulas!A:B,2,FALSE)</f>
        <v>093098</v>
      </c>
      <c r="M444" s="32"/>
    </row>
    <row r="445" spans="1:13" ht="47.5" hidden="1" customHeight="1">
      <c r="A445" s="10">
        <v>4566</v>
      </c>
      <c r="B445" s="11" t="s">
        <v>271</v>
      </c>
      <c r="C445" s="10" t="s">
        <v>10</v>
      </c>
      <c r="D445" s="12" t="s">
        <v>267</v>
      </c>
      <c r="E445" s="10">
        <v>225</v>
      </c>
      <c r="F445" s="10" t="s">
        <v>101</v>
      </c>
      <c r="G445" s="10" t="s">
        <v>213</v>
      </c>
      <c r="H445" s="10" t="s">
        <v>270</v>
      </c>
      <c r="I445" s="10" t="s">
        <v>11</v>
      </c>
      <c r="J445" s="13">
        <v>121.31700000000001</v>
      </c>
      <c r="K445" s="14"/>
      <c r="L445" t="str">
        <f>VLOOKUP(A445,Formulas!A:B,2,FALSE)</f>
        <v>093099</v>
      </c>
      <c r="M445" s="32"/>
    </row>
    <row r="446" spans="1:13" ht="47.5" hidden="1" customHeight="1">
      <c r="A446" s="10">
        <v>4587</v>
      </c>
      <c r="B446" s="11" t="s">
        <v>315</v>
      </c>
      <c r="C446" s="10" t="s">
        <v>316</v>
      </c>
      <c r="D446" s="12" t="s">
        <v>11</v>
      </c>
      <c r="E446" s="10" t="s">
        <v>11</v>
      </c>
      <c r="F446" s="10" t="s">
        <v>317</v>
      </c>
      <c r="G446" s="10" t="s">
        <v>208</v>
      </c>
      <c r="H446" s="10" t="s">
        <v>291</v>
      </c>
      <c r="I446" s="10" t="s">
        <v>206</v>
      </c>
      <c r="J446" s="13">
        <v>446.31300000000005</v>
      </c>
      <c r="K446" s="14"/>
      <c r="L446" t="str">
        <f>VLOOKUP(A446,Formulas!A:B,2,FALSE)</f>
        <v>093240</v>
      </c>
      <c r="M446" s="32"/>
    </row>
    <row r="447" spans="1:13" ht="47.5" hidden="1" customHeight="1">
      <c r="A447" s="10">
        <v>4588</v>
      </c>
      <c r="B447" s="11" t="s">
        <v>887</v>
      </c>
      <c r="C447" s="10" t="s">
        <v>316</v>
      </c>
      <c r="D447" s="12" t="s">
        <v>11</v>
      </c>
      <c r="E447" s="10" t="s">
        <v>11</v>
      </c>
      <c r="F447" s="10" t="s">
        <v>317</v>
      </c>
      <c r="G447" s="10" t="s">
        <v>208</v>
      </c>
      <c r="H447" s="10" t="s">
        <v>291</v>
      </c>
      <c r="I447" s="10" t="s">
        <v>206</v>
      </c>
      <c r="J447" s="13">
        <v>446.31300000000005</v>
      </c>
      <c r="K447" s="14"/>
      <c r="L447" t="str">
        <f>VLOOKUP(A447,Formulas!A:B,2,FALSE)</f>
        <v>093241</v>
      </c>
      <c r="M447" s="32"/>
    </row>
    <row r="448" spans="1:13" ht="47.5" hidden="1" customHeight="1">
      <c r="A448" s="10">
        <v>4589</v>
      </c>
      <c r="B448" s="11" t="s">
        <v>319</v>
      </c>
      <c r="C448" s="10" t="s">
        <v>316</v>
      </c>
      <c r="D448" s="12" t="s">
        <v>11</v>
      </c>
      <c r="E448" s="10" t="s">
        <v>11</v>
      </c>
      <c r="F448" s="10" t="s">
        <v>317</v>
      </c>
      <c r="G448" s="10" t="s">
        <v>208</v>
      </c>
      <c r="H448" s="10" t="s">
        <v>291</v>
      </c>
      <c r="I448" s="10" t="s">
        <v>206</v>
      </c>
      <c r="J448" s="13">
        <v>446.31300000000005</v>
      </c>
      <c r="K448" s="14"/>
      <c r="L448" t="str">
        <f>VLOOKUP(A448,Formulas!A:B,2,FALSE)</f>
        <v>093242</v>
      </c>
      <c r="M448" s="32"/>
    </row>
    <row r="449" spans="1:13" ht="47.5" hidden="1" customHeight="1">
      <c r="A449" s="10">
        <v>4590</v>
      </c>
      <c r="B449" s="11" t="s">
        <v>320</v>
      </c>
      <c r="C449" s="10" t="s">
        <v>316</v>
      </c>
      <c r="D449" s="12" t="s">
        <v>11</v>
      </c>
      <c r="E449" s="10" t="s">
        <v>11</v>
      </c>
      <c r="F449" s="10" t="s">
        <v>317</v>
      </c>
      <c r="G449" s="10" t="s">
        <v>208</v>
      </c>
      <c r="H449" s="10" t="s">
        <v>291</v>
      </c>
      <c r="I449" s="10" t="s">
        <v>206</v>
      </c>
      <c r="J449" s="13">
        <v>446.31300000000005</v>
      </c>
      <c r="K449" s="14"/>
      <c r="L449" t="str">
        <f>VLOOKUP(A449,Formulas!A:B,2,FALSE)</f>
        <v>093243</v>
      </c>
      <c r="M449" s="32"/>
    </row>
    <row r="450" spans="1:13" ht="47.5" hidden="1" customHeight="1">
      <c r="A450" s="10">
        <v>4597</v>
      </c>
      <c r="B450" s="11" t="s">
        <v>413</v>
      </c>
      <c r="C450" s="10" t="s">
        <v>10</v>
      </c>
      <c r="D450" s="12" t="s">
        <v>267</v>
      </c>
      <c r="E450" s="10">
        <v>225</v>
      </c>
      <c r="F450" s="10" t="s">
        <v>208</v>
      </c>
      <c r="G450" s="10" t="s">
        <v>92</v>
      </c>
      <c r="H450" s="10" t="s">
        <v>103</v>
      </c>
      <c r="I450" s="10" t="s">
        <v>11</v>
      </c>
      <c r="J450" s="13">
        <v>116.86500000000001</v>
      </c>
      <c r="K450" s="14" t="s">
        <v>204</v>
      </c>
      <c r="L450" t="str">
        <f>VLOOKUP(A450,Formulas!A:B,2,FALSE)</f>
        <v>093513</v>
      </c>
      <c r="M450" s="32"/>
    </row>
    <row r="451" spans="1:13" ht="47.5" hidden="1" customHeight="1">
      <c r="A451" s="10">
        <v>4602</v>
      </c>
      <c r="B451" s="11" t="s">
        <v>263</v>
      </c>
      <c r="C451" s="10" t="s">
        <v>217</v>
      </c>
      <c r="D451" s="12" t="s">
        <v>11</v>
      </c>
      <c r="E451" s="10" t="s">
        <v>11</v>
      </c>
      <c r="F451" s="10" t="s">
        <v>262</v>
      </c>
      <c r="G451" s="10" t="s">
        <v>221</v>
      </c>
      <c r="H451" s="10" t="s">
        <v>106</v>
      </c>
      <c r="I451" s="10" t="s">
        <v>11</v>
      </c>
      <c r="J451" s="13">
        <v>192.54900000000001</v>
      </c>
      <c r="K451" s="14"/>
      <c r="L451" t="str">
        <f>VLOOKUP(A451,Formulas!A:B,2,FALSE)</f>
        <v>093054</v>
      </c>
      <c r="M451" s="32"/>
    </row>
    <row r="452" spans="1:13" ht="47.5" hidden="1" customHeight="1">
      <c r="A452" s="10">
        <v>4605</v>
      </c>
      <c r="B452" s="11" t="s">
        <v>264</v>
      </c>
      <c r="C452" s="10" t="s">
        <v>217</v>
      </c>
      <c r="D452" s="12" t="s">
        <v>11</v>
      </c>
      <c r="E452" s="10" t="s">
        <v>11</v>
      </c>
      <c r="F452" s="10" t="s">
        <v>262</v>
      </c>
      <c r="G452" s="10" t="s">
        <v>221</v>
      </c>
      <c r="H452" s="10" t="s">
        <v>106</v>
      </c>
      <c r="I452" s="10" t="s">
        <v>11</v>
      </c>
      <c r="J452" s="13">
        <v>230.39100000000002</v>
      </c>
      <c r="K452" s="14"/>
      <c r="L452" t="str">
        <f>VLOOKUP(A452,Formulas!A:B,2,FALSE)</f>
        <v>093055</v>
      </c>
      <c r="M452" s="32"/>
    </row>
    <row r="453" spans="1:13" ht="47.5" hidden="1" customHeight="1">
      <c r="A453" s="10">
        <v>4607</v>
      </c>
      <c r="B453" s="11" t="s">
        <v>265</v>
      </c>
      <c r="C453" s="10" t="s">
        <v>217</v>
      </c>
      <c r="D453" s="12" t="s">
        <v>11</v>
      </c>
      <c r="E453" s="10" t="s">
        <v>11</v>
      </c>
      <c r="F453" s="10" t="s">
        <v>262</v>
      </c>
      <c r="G453" s="10" t="s">
        <v>221</v>
      </c>
      <c r="H453" s="10" t="s">
        <v>106</v>
      </c>
      <c r="I453" s="10" t="s">
        <v>11</v>
      </c>
      <c r="J453" s="13">
        <v>192.54900000000001</v>
      </c>
      <c r="K453" s="14"/>
      <c r="L453" t="str">
        <f>VLOOKUP(A453,Formulas!A:B,2,FALSE)</f>
        <v>093056</v>
      </c>
      <c r="M453" s="32"/>
    </row>
    <row r="454" spans="1:13" ht="47.5" hidden="1" customHeight="1">
      <c r="A454" s="10">
        <v>4610</v>
      </c>
      <c r="B454" s="11" t="s">
        <v>932</v>
      </c>
      <c r="C454" s="10" t="s">
        <v>217</v>
      </c>
      <c r="D454" s="12" t="s">
        <v>11</v>
      </c>
      <c r="E454" s="10" t="s">
        <v>11</v>
      </c>
      <c r="F454" s="10" t="s">
        <v>262</v>
      </c>
      <c r="G454" s="10" t="s">
        <v>221</v>
      </c>
      <c r="H454" s="10" t="s">
        <v>106</v>
      </c>
      <c r="I454" s="10" t="s">
        <v>11</v>
      </c>
      <c r="J454" s="13">
        <v>230.39100000000002</v>
      </c>
      <c r="K454" s="14"/>
      <c r="L454" t="str">
        <f>VLOOKUP(A454,Formulas!A:B,2,FALSE)</f>
        <v>093057</v>
      </c>
      <c r="M454" s="32"/>
    </row>
    <row r="455" spans="1:13" ht="47.5" hidden="1" customHeight="1">
      <c r="A455" s="10">
        <v>4661</v>
      </c>
      <c r="B455" s="11" t="s">
        <v>304</v>
      </c>
      <c r="C455" s="10" t="s">
        <v>100</v>
      </c>
      <c r="D455" s="12" t="s">
        <v>11</v>
      </c>
      <c r="E455" s="10" t="s">
        <v>11</v>
      </c>
      <c r="F455" s="10" t="s">
        <v>300</v>
      </c>
      <c r="G455" s="10" t="s">
        <v>226</v>
      </c>
      <c r="H455" s="10" t="s">
        <v>305</v>
      </c>
      <c r="I455" s="10" t="s">
        <v>206</v>
      </c>
      <c r="J455" s="13">
        <v>510.86700000000002</v>
      </c>
      <c r="K455" s="14"/>
      <c r="L455" t="str">
        <f>VLOOKUP(A455,Formulas!A:B,2,FALSE)</f>
        <v>093218</v>
      </c>
      <c r="M455" s="32"/>
    </row>
    <row r="456" spans="1:13" ht="47.5" hidden="1" customHeight="1">
      <c r="A456" s="10">
        <v>4662</v>
      </c>
      <c r="B456" s="11" t="s">
        <v>306</v>
      </c>
      <c r="C456" s="10" t="s">
        <v>100</v>
      </c>
      <c r="D456" s="12" t="s">
        <v>11</v>
      </c>
      <c r="E456" s="10" t="s">
        <v>11</v>
      </c>
      <c r="F456" s="10" t="s">
        <v>300</v>
      </c>
      <c r="G456" s="10" t="s">
        <v>226</v>
      </c>
      <c r="H456" s="10" t="s">
        <v>305</v>
      </c>
      <c r="I456" s="10" t="s">
        <v>206</v>
      </c>
      <c r="J456" s="13">
        <v>510.86700000000002</v>
      </c>
      <c r="K456" s="14"/>
      <c r="L456" t="str">
        <f>VLOOKUP(A456,Formulas!A:B,2,FALSE)</f>
        <v>093219</v>
      </c>
      <c r="M456" s="32"/>
    </row>
    <row r="457" spans="1:13" ht="47.5" hidden="1" customHeight="1">
      <c r="A457" s="10">
        <v>4663</v>
      </c>
      <c r="B457" s="11" t="s">
        <v>307</v>
      </c>
      <c r="C457" s="10" t="s">
        <v>100</v>
      </c>
      <c r="D457" s="12" t="s">
        <v>11</v>
      </c>
      <c r="E457" s="10" t="s">
        <v>11</v>
      </c>
      <c r="F457" s="10" t="s">
        <v>300</v>
      </c>
      <c r="G457" s="10" t="s">
        <v>226</v>
      </c>
      <c r="H457" s="10" t="s">
        <v>305</v>
      </c>
      <c r="I457" s="10" t="s">
        <v>206</v>
      </c>
      <c r="J457" s="13">
        <v>510.86700000000002</v>
      </c>
      <c r="K457" s="14"/>
      <c r="L457" t="str">
        <f>VLOOKUP(A457,Formulas!A:B,2,FALSE)</f>
        <v>093220</v>
      </c>
      <c r="M457" s="32"/>
    </row>
    <row r="458" spans="1:13" ht="47.5" hidden="1" customHeight="1">
      <c r="A458" s="10">
        <v>4664</v>
      </c>
      <c r="B458" s="11" t="s">
        <v>308</v>
      </c>
      <c r="C458" s="10" t="s">
        <v>100</v>
      </c>
      <c r="D458" s="12" t="s">
        <v>11</v>
      </c>
      <c r="E458" s="10" t="s">
        <v>11</v>
      </c>
      <c r="F458" s="10" t="s">
        <v>300</v>
      </c>
      <c r="G458" s="10" t="s">
        <v>226</v>
      </c>
      <c r="H458" s="10" t="s">
        <v>305</v>
      </c>
      <c r="I458" s="10" t="s">
        <v>206</v>
      </c>
      <c r="J458" s="13">
        <v>510.86700000000002</v>
      </c>
      <c r="K458" s="14"/>
      <c r="L458" t="str">
        <f>VLOOKUP(A458,Formulas!A:B,2,FALSE)</f>
        <v>093221</v>
      </c>
      <c r="M458" s="32"/>
    </row>
    <row r="459" spans="1:13" ht="47.5" hidden="1" customHeight="1">
      <c r="A459" s="10">
        <v>4668</v>
      </c>
      <c r="B459" s="11" t="s">
        <v>885</v>
      </c>
      <c r="C459" s="10" t="s">
        <v>309</v>
      </c>
      <c r="D459" s="12" t="s">
        <v>11</v>
      </c>
      <c r="E459" s="10" t="s">
        <v>11</v>
      </c>
      <c r="F459" s="10" t="s">
        <v>310</v>
      </c>
      <c r="G459" s="10" t="s">
        <v>291</v>
      </c>
      <c r="H459" s="10" t="s">
        <v>311</v>
      </c>
      <c r="I459" s="10" t="s">
        <v>206</v>
      </c>
      <c r="J459" s="13">
        <v>477.47700000000003</v>
      </c>
      <c r="K459" s="14"/>
      <c r="L459" t="str">
        <f>VLOOKUP(A459,Formulas!A:B,2,FALSE)</f>
        <v>093225</v>
      </c>
      <c r="M459" s="32"/>
    </row>
    <row r="460" spans="1:13" ht="62" hidden="1" customHeight="1">
      <c r="A460" s="10">
        <v>4672</v>
      </c>
      <c r="B460" s="11" t="s">
        <v>886</v>
      </c>
      <c r="C460" s="10" t="s">
        <v>309</v>
      </c>
      <c r="D460" s="12" t="s">
        <v>11</v>
      </c>
      <c r="E460" s="10" t="s">
        <v>11</v>
      </c>
      <c r="F460" s="10" t="s">
        <v>310</v>
      </c>
      <c r="G460" s="10" t="s">
        <v>291</v>
      </c>
      <c r="H460" s="10" t="s">
        <v>311</v>
      </c>
      <c r="I460" s="10" t="s">
        <v>206</v>
      </c>
      <c r="J460" s="13">
        <v>477.47700000000003</v>
      </c>
      <c r="K460" s="14"/>
      <c r="L460" t="str">
        <f>VLOOKUP(A460,Formulas!A:B,2,FALSE)</f>
        <v>093231</v>
      </c>
      <c r="M460" s="32"/>
    </row>
    <row r="461" spans="1:13" ht="62" hidden="1" customHeight="1">
      <c r="A461" s="10">
        <v>4683</v>
      </c>
      <c r="B461" s="11" t="s">
        <v>927</v>
      </c>
      <c r="C461" s="10" t="s">
        <v>236</v>
      </c>
      <c r="D461" s="12" t="s">
        <v>11</v>
      </c>
      <c r="E461" s="10" t="s">
        <v>11</v>
      </c>
      <c r="F461" s="10" t="s">
        <v>218</v>
      </c>
      <c r="G461" s="10" t="s">
        <v>208</v>
      </c>
      <c r="H461" s="10" t="s">
        <v>208</v>
      </c>
      <c r="I461" s="10" t="s">
        <v>11</v>
      </c>
      <c r="J461" s="13">
        <v>97.498799999999989</v>
      </c>
      <c r="K461" s="14"/>
      <c r="L461" t="str">
        <f>VLOOKUP(A461,Formulas!A:B,2,FALSE)</f>
        <v>093014</v>
      </c>
      <c r="M461" s="32"/>
    </row>
    <row r="462" spans="1:13" ht="62" hidden="1" customHeight="1">
      <c r="A462" s="10">
        <v>4718</v>
      </c>
      <c r="B462" s="11" t="s">
        <v>362</v>
      </c>
      <c r="C462" s="10" t="s">
        <v>10</v>
      </c>
      <c r="D462" s="12" t="s">
        <v>360</v>
      </c>
      <c r="E462" s="10">
        <v>750</v>
      </c>
      <c r="F462" s="10" t="s">
        <v>13</v>
      </c>
      <c r="G462" s="10" t="s">
        <v>302</v>
      </c>
      <c r="H462" s="10" t="s">
        <v>302</v>
      </c>
      <c r="I462" s="10" t="s">
        <v>206</v>
      </c>
      <c r="J462" s="13">
        <v>185.87100000000001</v>
      </c>
      <c r="K462" s="14" t="s">
        <v>219</v>
      </c>
      <c r="L462" t="str">
        <f>VLOOKUP(A462,Formulas!A:B,2,FALSE)</f>
        <v>093378</v>
      </c>
      <c r="M462" s="32"/>
    </row>
    <row r="463" spans="1:13" ht="47.5" hidden="1" customHeight="1">
      <c r="A463" s="10">
        <v>4719</v>
      </c>
      <c r="B463" s="11" t="s">
        <v>386</v>
      </c>
      <c r="C463" s="10" t="s">
        <v>217</v>
      </c>
      <c r="D463" s="12" t="s">
        <v>11</v>
      </c>
      <c r="E463" s="10" t="s">
        <v>11</v>
      </c>
      <c r="F463" s="10" t="s">
        <v>383</v>
      </c>
      <c r="G463" s="10" t="s">
        <v>289</v>
      </c>
      <c r="H463" s="10" t="s">
        <v>289</v>
      </c>
      <c r="I463" s="10" t="s">
        <v>11</v>
      </c>
      <c r="J463" s="13">
        <v>327.22199999999998</v>
      </c>
      <c r="K463" s="14"/>
      <c r="L463" t="str">
        <f>VLOOKUP(A463,Formulas!A:B,2,FALSE)</f>
        <v>093448</v>
      </c>
      <c r="M463" s="32"/>
    </row>
    <row r="464" spans="1:13" ht="47.5" hidden="1" customHeight="1">
      <c r="A464" s="10">
        <v>4722</v>
      </c>
      <c r="B464" s="11" t="s">
        <v>437</v>
      </c>
      <c r="C464" s="10" t="s">
        <v>426</v>
      </c>
      <c r="D464" s="12" t="s">
        <v>11</v>
      </c>
      <c r="E464" s="10" t="s">
        <v>11</v>
      </c>
      <c r="F464" s="10" t="s">
        <v>428</v>
      </c>
      <c r="G464" s="10" t="s">
        <v>93</v>
      </c>
      <c r="H464" s="10" t="s">
        <v>93</v>
      </c>
      <c r="I464" s="10" t="s">
        <v>11</v>
      </c>
      <c r="J464" s="13">
        <v>139.125</v>
      </c>
      <c r="K464" s="14"/>
      <c r="L464" t="str">
        <f>VLOOKUP(A464,Formulas!A:B,2,FALSE)</f>
        <v>092046</v>
      </c>
      <c r="M464" s="32"/>
    </row>
    <row r="465" spans="1:13" ht="47.5" hidden="1" customHeight="1">
      <c r="A465" s="10">
        <v>4743</v>
      </c>
      <c r="B465" s="11" t="s">
        <v>272</v>
      </c>
      <c r="C465" s="10" t="s">
        <v>273</v>
      </c>
      <c r="D465" s="12" t="s">
        <v>11</v>
      </c>
      <c r="E465" s="10" t="s">
        <v>11</v>
      </c>
      <c r="F465" s="10" t="s">
        <v>1558</v>
      </c>
      <c r="G465" s="10" t="s">
        <v>212</v>
      </c>
      <c r="H465" s="10" t="s">
        <v>1559</v>
      </c>
      <c r="I465" s="10" t="s">
        <v>11</v>
      </c>
      <c r="J465" s="13">
        <v>217.03500000000003</v>
      </c>
      <c r="K465" s="14"/>
      <c r="L465" t="str">
        <f>VLOOKUP(A465,Formulas!A:B,2,FALSE)</f>
        <v>093102</v>
      </c>
      <c r="M465" s="32"/>
    </row>
    <row r="466" spans="1:13" ht="47.5" hidden="1" customHeight="1">
      <c r="A466" s="10">
        <v>4744</v>
      </c>
      <c r="B466" s="11" t="s">
        <v>274</v>
      </c>
      <c r="C466" s="10" t="s">
        <v>273</v>
      </c>
      <c r="D466" s="12" t="s">
        <v>11</v>
      </c>
      <c r="E466" s="10" t="s">
        <v>11</v>
      </c>
      <c r="F466" s="10" t="s">
        <v>1558</v>
      </c>
      <c r="G466" s="10" t="s">
        <v>212</v>
      </c>
      <c r="H466" s="10" t="s">
        <v>1559</v>
      </c>
      <c r="I466" s="10" t="s">
        <v>11</v>
      </c>
      <c r="J466" s="13">
        <v>217.03500000000003</v>
      </c>
      <c r="K466" s="14"/>
      <c r="L466" t="str">
        <f>VLOOKUP(A466,Formulas!A:B,2,FALSE)</f>
        <v>093103</v>
      </c>
      <c r="M466" s="32"/>
    </row>
    <row r="467" spans="1:13" ht="47.5" hidden="1" customHeight="1">
      <c r="A467" s="10">
        <v>4745</v>
      </c>
      <c r="B467" s="11" t="s">
        <v>275</v>
      </c>
      <c r="C467" s="10" t="s">
        <v>273</v>
      </c>
      <c r="D467" s="12" t="s">
        <v>11</v>
      </c>
      <c r="E467" s="10" t="s">
        <v>11</v>
      </c>
      <c r="F467" s="10" t="s">
        <v>1558</v>
      </c>
      <c r="G467" s="10" t="s">
        <v>212</v>
      </c>
      <c r="H467" s="10" t="s">
        <v>1559</v>
      </c>
      <c r="I467" s="10" t="s">
        <v>11</v>
      </c>
      <c r="J467" s="13">
        <v>217.03500000000003</v>
      </c>
      <c r="K467" s="14"/>
      <c r="L467" t="str">
        <f>VLOOKUP(A467,Formulas!A:B,2,FALSE)</f>
        <v>093104</v>
      </c>
      <c r="M467" s="32"/>
    </row>
    <row r="468" spans="1:13" ht="47.5" hidden="1" customHeight="1">
      <c r="A468" s="10">
        <v>4747</v>
      </c>
      <c r="B468" s="11" t="s">
        <v>933</v>
      </c>
      <c r="C468" s="10" t="s">
        <v>273</v>
      </c>
      <c r="D468" s="12" t="s">
        <v>11</v>
      </c>
      <c r="E468" s="10" t="s">
        <v>11</v>
      </c>
      <c r="F468" s="10" t="s">
        <v>1558</v>
      </c>
      <c r="G468" s="10" t="s">
        <v>212</v>
      </c>
      <c r="H468" s="10" t="s">
        <v>1559</v>
      </c>
      <c r="I468" s="10" t="s">
        <v>11</v>
      </c>
      <c r="J468" s="13">
        <v>217.03500000000003</v>
      </c>
      <c r="K468" s="14"/>
      <c r="L468" t="str">
        <f>VLOOKUP(A468,Formulas!A:B,2,FALSE)</f>
        <v>093106</v>
      </c>
      <c r="M468" s="32"/>
    </row>
    <row r="469" spans="1:13" ht="47.5" hidden="1" customHeight="1">
      <c r="A469" s="10">
        <v>4748</v>
      </c>
      <c r="B469" s="11" t="s">
        <v>276</v>
      </c>
      <c r="C469" s="10" t="s">
        <v>217</v>
      </c>
      <c r="D469" s="12" t="s">
        <v>11</v>
      </c>
      <c r="E469" s="10" t="s">
        <v>11</v>
      </c>
      <c r="F469" s="10" t="s">
        <v>1558</v>
      </c>
      <c r="G469" s="10" t="s">
        <v>1560</v>
      </c>
      <c r="H469" s="10" t="s">
        <v>1559</v>
      </c>
      <c r="I469" s="10" t="s">
        <v>11</v>
      </c>
      <c r="J469" s="13">
        <v>194.77500000000001</v>
      </c>
      <c r="K469" s="14"/>
      <c r="L469" t="str">
        <f>VLOOKUP(A469,Formulas!A:B,2,FALSE)</f>
        <v>093107</v>
      </c>
      <c r="M469" s="32"/>
    </row>
    <row r="470" spans="1:13" ht="47.5" hidden="1" customHeight="1">
      <c r="A470" s="10">
        <v>4749</v>
      </c>
      <c r="B470" s="11" t="s">
        <v>277</v>
      </c>
      <c r="C470" s="10" t="s">
        <v>217</v>
      </c>
      <c r="D470" s="12" t="s">
        <v>11</v>
      </c>
      <c r="E470" s="10" t="s">
        <v>11</v>
      </c>
      <c r="F470" s="10" t="s">
        <v>1558</v>
      </c>
      <c r="G470" s="10" t="s">
        <v>1560</v>
      </c>
      <c r="H470" s="10" t="s">
        <v>1559</v>
      </c>
      <c r="I470" s="10" t="s">
        <v>11</v>
      </c>
      <c r="J470" s="13">
        <v>194.77500000000001</v>
      </c>
      <c r="K470" s="14"/>
      <c r="L470" t="str">
        <f>VLOOKUP(A470,Formulas!A:B,2,FALSE)</f>
        <v>093108</v>
      </c>
      <c r="M470" s="32"/>
    </row>
    <row r="471" spans="1:13" ht="47.5" hidden="1" customHeight="1">
      <c r="A471" s="10">
        <v>4750</v>
      </c>
      <c r="B471" s="11" t="s">
        <v>278</v>
      </c>
      <c r="C471" s="10" t="s">
        <v>217</v>
      </c>
      <c r="D471" s="12" t="s">
        <v>11</v>
      </c>
      <c r="E471" s="10" t="s">
        <v>11</v>
      </c>
      <c r="F471" s="10" t="s">
        <v>1558</v>
      </c>
      <c r="G471" s="10" t="s">
        <v>1560</v>
      </c>
      <c r="H471" s="10" t="s">
        <v>1559</v>
      </c>
      <c r="I471" s="10" t="s">
        <v>11</v>
      </c>
      <c r="J471" s="13">
        <v>194.77500000000001</v>
      </c>
      <c r="K471" s="14"/>
      <c r="L471" t="str">
        <f>VLOOKUP(A471,Formulas!A:B,2,FALSE)</f>
        <v>093109</v>
      </c>
      <c r="M471" s="32"/>
    </row>
    <row r="472" spans="1:13" ht="47.5" hidden="1" customHeight="1">
      <c r="A472" s="10">
        <v>4752</v>
      </c>
      <c r="B472" s="11" t="s">
        <v>935</v>
      </c>
      <c r="C472" s="10" t="s">
        <v>217</v>
      </c>
      <c r="D472" s="12" t="s">
        <v>11</v>
      </c>
      <c r="E472" s="10" t="s">
        <v>11</v>
      </c>
      <c r="F472" s="10" t="s">
        <v>1558</v>
      </c>
      <c r="G472" s="10" t="s">
        <v>1560</v>
      </c>
      <c r="H472" s="10" t="s">
        <v>1559</v>
      </c>
      <c r="I472" s="10" t="s">
        <v>11</v>
      </c>
      <c r="J472" s="13">
        <v>194.77500000000001</v>
      </c>
      <c r="K472" s="14"/>
      <c r="L472" t="str">
        <f>VLOOKUP(A472,Formulas!A:B,2,FALSE)</f>
        <v>093112</v>
      </c>
      <c r="M472" s="32"/>
    </row>
    <row r="473" spans="1:13" ht="47.5" hidden="1" customHeight="1">
      <c r="A473" s="10">
        <v>4753</v>
      </c>
      <c r="B473" s="11" t="s">
        <v>279</v>
      </c>
      <c r="C473" s="10" t="s">
        <v>10</v>
      </c>
      <c r="D473" s="12" t="s">
        <v>267</v>
      </c>
      <c r="E473" s="10">
        <v>225</v>
      </c>
      <c r="F473" s="10" t="s">
        <v>280</v>
      </c>
      <c r="G473" s="10" t="s">
        <v>90</v>
      </c>
      <c r="H473" s="10" t="s">
        <v>281</v>
      </c>
      <c r="I473" s="10" t="s">
        <v>11</v>
      </c>
      <c r="J473" s="13">
        <v>125.65770000000001</v>
      </c>
      <c r="K473" s="14"/>
      <c r="L473" t="str">
        <f>VLOOKUP(A473,Formulas!A:B,2,FALSE)</f>
        <v>093113</v>
      </c>
      <c r="M473" s="32"/>
    </row>
    <row r="474" spans="1:13" ht="47.5" hidden="1" customHeight="1">
      <c r="A474" s="10">
        <v>4754</v>
      </c>
      <c r="B474" s="11" t="s">
        <v>282</v>
      </c>
      <c r="C474" s="10" t="s">
        <v>10</v>
      </c>
      <c r="D474" s="12" t="s">
        <v>267</v>
      </c>
      <c r="E474" s="10">
        <v>225</v>
      </c>
      <c r="F474" s="10" t="s">
        <v>280</v>
      </c>
      <c r="G474" s="10" t="s">
        <v>90</v>
      </c>
      <c r="H474" s="10" t="s">
        <v>281</v>
      </c>
      <c r="I474" s="10" t="s">
        <v>11</v>
      </c>
      <c r="J474" s="13">
        <v>125.65770000000001</v>
      </c>
      <c r="K474" s="14"/>
      <c r="L474" t="str">
        <f>VLOOKUP(A474,Formulas!A:B,2,FALSE)</f>
        <v>093114</v>
      </c>
      <c r="M474" s="32"/>
    </row>
    <row r="475" spans="1:13" ht="47.5" hidden="1" customHeight="1">
      <c r="A475" s="10">
        <v>4755</v>
      </c>
      <c r="B475" s="11" t="s">
        <v>283</v>
      </c>
      <c r="C475" s="10" t="s">
        <v>10</v>
      </c>
      <c r="D475" s="12" t="s">
        <v>267</v>
      </c>
      <c r="E475" s="10">
        <v>225</v>
      </c>
      <c r="F475" s="10" t="s">
        <v>280</v>
      </c>
      <c r="G475" s="10" t="s">
        <v>90</v>
      </c>
      <c r="H475" s="10" t="s">
        <v>281</v>
      </c>
      <c r="I475" s="10" t="s">
        <v>11</v>
      </c>
      <c r="J475" s="13">
        <v>125.65770000000001</v>
      </c>
      <c r="K475" s="14"/>
      <c r="L475" t="str">
        <f>VLOOKUP(A475,Formulas!A:B,2,FALSE)</f>
        <v>093115</v>
      </c>
      <c r="M475" s="32"/>
    </row>
    <row r="476" spans="1:13" ht="47.5" hidden="1" customHeight="1">
      <c r="A476" s="10">
        <v>4761</v>
      </c>
      <c r="B476" s="11" t="s">
        <v>284</v>
      </c>
      <c r="C476" s="10" t="s">
        <v>10</v>
      </c>
      <c r="D476" s="12" t="s">
        <v>285</v>
      </c>
      <c r="E476" s="10">
        <v>375</v>
      </c>
      <c r="F476" s="10" t="s">
        <v>280</v>
      </c>
      <c r="G476" s="10" t="s">
        <v>90</v>
      </c>
      <c r="H476" s="10" t="s">
        <v>281</v>
      </c>
      <c r="I476" s="10" t="s">
        <v>11</v>
      </c>
      <c r="J476" s="13">
        <v>130.1097</v>
      </c>
      <c r="K476" s="14"/>
      <c r="L476" t="str">
        <f>VLOOKUP(A476,Formulas!A:B,2,FALSE)</f>
        <v>093121</v>
      </c>
      <c r="M476" s="32"/>
    </row>
    <row r="477" spans="1:13" ht="47.5" hidden="1" customHeight="1">
      <c r="A477" s="10">
        <v>4762</v>
      </c>
      <c r="B477" s="11" t="s">
        <v>286</v>
      </c>
      <c r="C477" s="10" t="s">
        <v>10</v>
      </c>
      <c r="D477" s="12" t="s">
        <v>285</v>
      </c>
      <c r="E477" s="10">
        <v>375</v>
      </c>
      <c r="F477" s="10" t="s">
        <v>280</v>
      </c>
      <c r="G477" s="10" t="s">
        <v>90</v>
      </c>
      <c r="H477" s="10" t="s">
        <v>281</v>
      </c>
      <c r="I477" s="10" t="s">
        <v>11</v>
      </c>
      <c r="J477" s="13">
        <v>130.1097</v>
      </c>
      <c r="K477" s="14"/>
      <c r="L477" t="str">
        <f>VLOOKUP(A477,Formulas!A:B,2,FALSE)</f>
        <v>093122</v>
      </c>
      <c r="M477" s="32"/>
    </row>
    <row r="478" spans="1:13" ht="47.5" hidden="1" customHeight="1">
      <c r="A478" s="10">
        <v>4763</v>
      </c>
      <c r="B478" s="11" t="s">
        <v>287</v>
      </c>
      <c r="C478" s="10" t="s">
        <v>10</v>
      </c>
      <c r="D478" s="12" t="s">
        <v>285</v>
      </c>
      <c r="E478" s="10">
        <v>375</v>
      </c>
      <c r="F478" s="10" t="s">
        <v>280</v>
      </c>
      <c r="G478" s="10" t="s">
        <v>90</v>
      </c>
      <c r="H478" s="10" t="s">
        <v>281</v>
      </c>
      <c r="I478" s="10" t="s">
        <v>11</v>
      </c>
      <c r="J478" s="13">
        <v>130.1097</v>
      </c>
      <c r="K478" s="14"/>
      <c r="L478" t="str">
        <f>VLOOKUP(A478,Formulas!A:B,2,FALSE)</f>
        <v>093123</v>
      </c>
      <c r="M478" s="32"/>
    </row>
    <row r="479" spans="1:13" ht="47.5" hidden="1" customHeight="1">
      <c r="A479" s="10">
        <v>4770</v>
      </c>
      <c r="B479" s="11" t="s">
        <v>1349</v>
      </c>
      <c r="C479" s="10" t="s">
        <v>10</v>
      </c>
      <c r="D479" s="12" t="s">
        <v>334</v>
      </c>
      <c r="E479" s="10">
        <v>1500</v>
      </c>
      <c r="F479" s="10" t="s">
        <v>281</v>
      </c>
      <c r="G479" s="10" t="s">
        <v>93</v>
      </c>
      <c r="H479" s="10" t="s">
        <v>93</v>
      </c>
      <c r="I479" s="10" t="s">
        <v>11</v>
      </c>
      <c r="J479" s="13">
        <v>284.92800000000005</v>
      </c>
      <c r="K479" s="14"/>
      <c r="L479" t="str">
        <f>VLOOKUP(A479,Formulas!A:B,2,FALSE)</f>
        <v>093529</v>
      </c>
      <c r="M479" s="32"/>
    </row>
    <row r="480" spans="1:13" ht="47.5" hidden="1" customHeight="1">
      <c r="A480" s="10">
        <v>4771</v>
      </c>
      <c r="B480" s="11" t="s">
        <v>416</v>
      </c>
      <c r="C480" s="10" t="s">
        <v>10</v>
      </c>
      <c r="D480" s="12" t="s">
        <v>334</v>
      </c>
      <c r="E480" s="10">
        <v>1500</v>
      </c>
      <c r="F480" s="10" t="s">
        <v>281</v>
      </c>
      <c r="G480" s="10" t="s">
        <v>93</v>
      </c>
      <c r="H480" s="10" t="s">
        <v>93</v>
      </c>
      <c r="I480" s="10" t="s">
        <v>11</v>
      </c>
      <c r="J480" s="13">
        <v>284.92800000000005</v>
      </c>
      <c r="K480" s="14"/>
      <c r="L480" t="str">
        <f>VLOOKUP(A480,Formulas!A:B,2,FALSE)</f>
        <v>093530</v>
      </c>
      <c r="M480" s="32"/>
    </row>
    <row r="481" spans="1:13" ht="47.5" hidden="1" customHeight="1">
      <c r="A481" s="10">
        <v>4772</v>
      </c>
      <c r="B481" s="11" t="s">
        <v>417</v>
      </c>
      <c r="C481" s="10" t="s">
        <v>10</v>
      </c>
      <c r="D481" s="12" t="s">
        <v>334</v>
      </c>
      <c r="E481" s="10">
        <v>1500</v>
      </c>
      <c r="F481" s="10" t="s">
        <v>281</v>
      </c>
      <c r="G481" s="10" t="s">
        <v>93</v>
      </c>
      <c r="H481" s="10" t="s">
        <v>93</v>
      </c>
      <c r="I481" s="10" t="s">
        <v>11</v>
      </c>
      <c r="J481" s="13">
        <v>284.92800000000005</v>
      </c>
      <c r="K481" s="14"/>
      <c r="L481" t="str">
        <f>VLOOKUP(A481,Formulas!A:B,2,FALSE)</f>
        <v>093531</v>
      </c>
      <c r="M481" s="32"/>
    </row>
    <row r="482" spans="1:13" ht="47.5" hidden="1" customHeight="1">
      <c r="A482" s="10">
        <v>4778</v>
      </c>
      <c r="B482" s="11" t="s">
        <v>418</v>
      </c>
      <c r="C482" s="10" t="s">
        <v>10</v>
      </c>
      <c r="D482" s="12" t="s">
        <v>336</v>
      </c>
      <c r="E482" s="10">
        <v>2025</v>
      </c>
      <c r="F482" s="10" t="s">
        <v>281</v>
      </c>
      <c r="G482" s="10" t="s">
        <v>93</v>
      </c>
      <c r="H482" s="10" t="s">
        <v>93</v>
      </c>
      <c r="I482" s="10" t="s">
        <v>11</v>
      </c>
      <c r="J482" s="13">
        <v>368.40300000000002</v>
      </c>
      <c r="K482" s="14"/>
      <c r="L482" t="str">
        <f>VLOOKUP(A482,Formulas!A:B,2,FALSE)</f>
        <v>093537</v>
      </c>
      <c r="M482" s="32"/>
    </row>
    <row r="483" spans="1:13" ht="47.5" hidden="1" customHeight="1">
      <c r="A483" s="10">
        <v>4779</v>
      </c>
      <c r="B483" s="11" t="s">
        <v>419</v>
      </c>
      <c r="C483" s="10" t="s">
        <v>10</v>
      </c>
      <c r="D483" s="12" t="s">
        <v>336</v>
      </c>
      <c r="E483" s="10">
        <v>2025</v>
      </c>
      <c r="F483" s="10" t="s">
        <v>281</v>
      </c>
      <c r="G483" s="10" t="s">
        <v>93</v>
      </c>
      <c r="H483" s="10" t="s">
        <v>93</v>
      </c>
      <c r="I483" s="10" t="s">
        <v>11</v>
      </c>
      <c r="J483" s="13">
        <v>368.40300000000002</v>
      </c>
      <c r="K483" s="14"/>
      <c r="L483" t="str">
        <f>VLOOKUP(A483,Formulas!A:B,2,FALSE)</f>
        <v>093538</v>
      </c>
      <c r="M483" s="32"/>
    </row>
    <row r="484" spans="1:13" ht="47.5" hidden="1" customHeight="1">
      <c r="A484" s="10">
        <v>4780</v>
      </c>
      <c r="B484" s="11" t="s">
        <v>420</v>
      </c>
      <c r="C484" s="10" t="s">
        <v>10</v>
      </c>
      <c r="D484" s="12" t="s">
        <v>336</v>
      </c>
      <c r="E484" s="10">
        <v>2025</v>
      </c>
      <c r="F484" s="10" t="s">
        <v>281</v>
      </c>
      <c r="G484" s="10" t="s">
        <v>93</v>
      </c>
      <c r="H484" s="10" t="s">
        <v>93</v>
      </c>
      <c r="I484" s="10" t="s">
        <v>11</v>
      </c>
      <c r="J484" s="13">
        <v>368.40300000000002</v>
      </c>
      <c r="K484" s="14"/>
      <c r="L484" t="str">
        <f>VLOOKUP(A484,Formulas!A:B,2,FALSE)</f>
        <v>093539</v>
      </c>
      <c r="M484" s="32"/>
    </row>
    <row r="485" spans="1:13" ht="47.5" hidden="1" customHeight="1">
      <c r="A485" s="10">
        <v>4782</v>
      </c>
      <c r="B485" s="11" t="s">
        <v>421</v>
      </c>
      <c r="C485" s="10" t="s">
        <v>10</v>
      </c>
      <c r="D485" s="12" t="s">
        <v>336</v>
      </c>
      <c r="E485" s="10">
        <v>2025</v>
      </c>
      <c r="F485" s="10" t="s">
        <v>281</v>
      </c>
      <c r="G485" s="10" t="s">
        <v>93</v>
      </c>
      <c r="H485" s="10" t="s">
        <v>93</v>
      </c>
      <c r="I485" s="10" t="s">
        <v>11</v>
      </c>
      <c r="J485" s="13">
        <v>368.40300000000002</v>
      </c>
      <c r="K485" s="14"/>
      <c r="L485" t="str">
        <f>VLOOKUP(A485,Formulas!A:B,2,FALSE)</f>
        <v>093541</v>
      </c>
      <c r="M485" s="32"/>
    </row>
    <row r="486" spans="1:13" ht="47.5" hidden="1" customHeight="1">
      <c r="A486" s="10">
        <v>4783</v>
      </c>
      <c r="B486" s="11" t="s">
        <v>422</v>
      </c>
      <c r="C486" s="10" t="s">
        <v>10</v>
      </c>
      <c r="D486" s="12" t="s">
        <v>336</v>
      </c>
      <c r="E486" s="10">
        <v>2025</v>
      </c>
      <c r="F486" s="10" t="s">
        <v>281</v>
      </c>
      <c r="G486" s="10" t="s">
        <v>93</v>
      </c>
      <c r="H486" s="10" t="s">
        <v>93</v>
      </c>
      <c r="I486" s="10" t="s">
        <v>11</v>
      </c>
      <c r="J486" s="13">
        <v>368.40300000000002</v>
      </c>
      <c r="K486" s="14"/>
      <c r="L486" t="str">
        <f>VLOOKUP(A486,Formulas!A:B,2,FALSE)</f>
        <v>093542</v>
      </c>
      <c r="M486" s="32"/>
    </row>
    <row r="487" spans="1:13" ht="47.5" hidden="1" customHeight="1">
      <c r="A487" s="10">
        <v>4784</v>
      </c>
      <c r="B487" s="11" t="s">
        <v>423</v>
      </c>
      <c r="C487" s="10" t="s">
        <v>10</v>
      </c>
      <c r="D487" s="12" t="s">
        <v>336</v>
      </c>
      <c r="E487" s="10">
        <v>2025</v>
      </c>
      <c r="F487" s="10" t="s">
        <v>281</v>
      </c>
      <c r="G487" s="10" t="s">
        <v>93</v>
      </c>
      <c r="H487" s="10" t="s">
        <v>93</v>
      </c>
      <c r="I487" s="10" t="s">
        <v>11</v>
      </c>
      <c r="J487" s="13">
        <v>368.40300000000002</v>
      </c>
      <c r="K487" s="14"/>
      <c r="L487" t="str">
        <f>VLOOKUP(A487,Formulas!A:B,2,FALSE)</f>
        <v>093543</v>
      </c>
      <c r="M487" s="32"/>
    </row>
    <row r="488" spans="1:13" ht="47.5" hidden="1" customHeight="1">
      <c r="A488" s="10">
        <v>4794</v>
      </c>
      <c r="B488" s="11" t="s">
        <v>335</v>
      </c>
      <c r="C488" s="10" t="s">
        <v>10</v>
      </c>
      <c r="D488" s="12" t="s">
        <v>336</v>
      </c>
      <c r="E488" s="10">
        <v>1500</v>
      </c>
      <c r="F488" s="10" t="s">
        <v>281</v>
      </c>
      <c r="G488" s="10" t="s">
        <v>93</v>
      </c>
      <c r="H488" s="10" t="s">
        <v>93</v>
      </c>
      <c r="I488" s="10" t="s">
        <v>11</v>
      </c>
      <c r="J488" s="13">
        <v>377.30700000000002</v>
      </c>
      <c r="K488" s="14"/>
      <c r="L488" t="str">
        <f>VLOOKUP(A488,Formulas!A:B,2,FALSE)</f>
        <v>093307</v>
      </c>
      <c r="M488" s="32"/>
    </row>
    <row r="489" spans="1:13" ht="47.5" hidden="1" customHeight="1">
      <c r="A489" s="10">
        <v>4795</v>
      </c>
      <c r="B489" s="11" t="s">
        <v>337</v>
      </c>
      <c r="C489" s="10" t="s">
        <v>10</v>
      </c>
      <c r="D489" s="12" t="s">
        <v>336</v>
      </c>
      <c r="E489" s="10">
        <v>1500</v>
      </c>
      <c r="F489" s="10" t="s">
        <v>281</v>
      </c>
      <c r="G489" s="10" t="s">
        <v>93</v>
      </c>
      <c r="H489" s="10" t="s">
        <v>93</v>
      </c>
      <c r="I489" s="10" t="s">
        <v>11</v>
      </c>
      <c r="J489" s="13">
        <v>377.30700000000002</v>
      </c>
      <c r="K489" s="14"/>
      <c r="L489" t="str">
        <f>VLOOKUP(A489,Formulas!A:B,2,FALSE)</f>
        <v>093308</v>
      </c>
      <c r="M489" s="32"/>
    </row>
    <row r="490" spans="1:13" ht="47.5" hidden="1" customHeight="1">
      <c r="A490" s="10">
        <v>4796</v>
      </c>
      <c r="B490" s="11" t="s">
        <v>338</v>
      </c>
      <c r="C490" s="10" t="s">
        <v>10</v>
      </c>
      <c r="D490" s="12" t="s">
        <v>336</v>
      </c>
      <c r="E490" s="10">
        <v>1500</v>
      </c>
      <c r="F490" s="10" t="s">
        <v>281</v>
      </c>
      <c r="G490" s="10" t="s">
        <v>93</v>
      </c>
      <c r="H490" s="10" t="s">
        <v>93</v>
      </c>
      <c r="I490" s="10" t="s">
        <v>11</v>
      </c>
      <c r="J490" s="13">
        <v>377.30700000000002</v>
      </c>
      <c r="K490" s="14"/>
      <c r="L490" t="str">
        <f>VLOOKUP(A490,Formulas!A:B,2,FALSE)</f>
        <v>093309</v>
      </c>
      <c r="M490" s="32"/>
    </row>
    <row r="491" spans="1:13" ht="47.5" hidden="1" customHeight="1">
      <c r="A491" s="10">
        <v>4823</v>
      </c>
      <c r="B491" s="11" t="s">
        <v>377</v>
      </c>
      <c r="C491" s="10" t="s">
        <v>10</v>
      </c>
      <c r="D491" s="12" t="s">
        <v>97</v>
      </c>
      <c r="E491" s="10">
        <v>1650</v>
      </c>
      <c r="F491" s="10" t="s">
        <v>206</v>
      </c>
      <c r="G491" s="10" t="s">
        <v>203</v>
      </c>
      <c r="H491" s="10" t="s">
        <v>374</v>
      </c>
      <c r="I491" s="10" t="s">
        <v>11</v>
      </c>
      <c r="J491" s="13">
        <v>228.16500000000002</v>
      </c>
      <c r="K491" s="14"/>
      <c r="L491" t="str">
        <f>VLOOKUP(A491,Formulas!A:B,2,FALSE)</f>
        <v>093432</v>
      </c>
      <c r="M491" s="32"/>
    </row>
    <row r="492" spans="1:13" ht="47.5" hidden="1" customHeight="1">
      <c r="A492" s="10">
        <v>4857</v>
      </c>
      <c r="B492" s="11" t="s">
        <v>312</v>
      </c>
      <c r="C492" s="10" t="s">
        <v>309</v>
      </c>
      <c r="D492" s="12" t="s">
        <v>11</v>
      </c>
      <c r="E492" s="10" t="s">
        <v>11</v>
      </c>
      <c r="F492" s="10" t="s">
        <v>310</v>
      </c>
      <c r="G492" s="10" t="s">
        <v>291</v>
      </c>
      <c r="H492" s="10" t="s">
        <v>311</v>
      </c>
      <c r="I492" s="10" t="s">
        <v>206</v>
      </c>
      <c r="J492" s="13">
        <v>477.47700000000003</v>
      </c>
      <c r="K492" s="14"/>
      <c r="L492" t="str">
        <f>VLOOKUP(A492,Formulas!A:B,2,FALSE)</f>
        <v>093229</v>
      </c>
      <c r="M492" s="32"/>
    </row>
    <row r="493" spans="1:13" ht="47.5" hidden="1" customHeight="1">
      <c r="A493" s="10">
        <v>4867</v>
      </c>
      <c r="B493" s="11" t="s">
        <v>912</v>
      </c>
      <c r="C493" s="10" t="s">
        <v>599</v>
      </c>
      <c r="D493" s="12" t="s">
        <v>591</v>
      </c>
      <c r="E493" s="10">
        <v>2550</v>
      </c>
      <c r="F493" s="10" t="s">
        <v>92</v>
      </c>
      <c r="G493" s="10" t="s">
        <v>222</v>
      </c>
      <c r="H493" s="10" t="s">
        <v>15</v>
      </c>
      <c r="I493" s="10" t="s">
        <v>206</v>
      </c>
      <c r="J493" s="13">
        <v>495.28500000000003</v>
      </c>
      <c r="K493" s="14"/>
      <c r="L493" t="str">
        <f>VLOOKUP(A493,Formulas!A:B,2,FALSE)</f>
        <v>092641</v>
      </c>
      <c r="M493" s="32"/>
    </row>
    <row r="494" spans="1:13" ht="47.5" hidden="1" customHeight="1">
      <c r="A494" s="10">
        <v>4868</v>
      </c>
      <c r="B494" s="11" t="s">
        <v>934</v>
      </c>
      <c r="C494" s="10" t="s">
        <v>217</v>
      </c>
      <c r="D494" s="12" t="s">
        <v>11</v>
      </c>
      <c r="E494" s="10" t="s">
        <v>11</v>
      </c>
      <c r="F494" s="10" t="s">
        <v>1558</v>
      </c>
      <c r="G494" s="10" t="s">
        <v>1560</v>
      </c>
      <c r="H494" s="10" t="s">
        <v>1559</v>
      </c>
      <c r="I494" s="10" t="s">
        <v>11</v>
      </c>
      <c r="J494" s="13">
        <v>194.77500000000001</v>
      </c>
      <c r="K494" s="14"/>
      <c r="L494" t="str">
        <f>VLOOKUP(A494,Formulas!A:B,2,FALSE)</f>
        <v>093111</v>
      </c>
      <c r="M494" s="32"/>
    </row>
    <row r="495" spans="1:13" ht="47.5" hidden="1" customHeight="1">
      <c r="A495" s="10">
        <v>4869</v>
      </c>
      <c r="B495" s="11" t="s">
        <v>313</v>
      </c>
      <c r="C495" s="10" t="s">
        <v>309</v>
      </c>
      <c r="D495" s="12" t="s">
        <v>11</v>
      </c>
      <c r="E495" s="10" t="s">
        <v>11</v>
      </c>
      <c r="F495" s="10" t="s">
        <v>310</v>
      </c>
      <c r="G495" s="10" t="s">
        <v>291</v>
      </c>
      <c r="H495" s="10" t="s">
        <v>311</v>
      </c>
      <c r="I495" s="10" t="s">
        <v>206</v>
      </c>
      <c r="J495" s="13">
        <v>477.47700000000003</v>
      </c>
      <c r="K495" s="14"/>
      <c r="L495" t="str">
        <f>VLOOKUP(A495,Formulas!A:B,2,FALSE)</f>
        <v>093230</v>
      </c>
      <c r="M495" s="32"/>
    </row>
    <row r="496" spans="1:13" ht="47.5" hidden="1" customHeight="1">
      <c r="A496" s="10">
        <v>4881</v>
      </c>
      <c r="B496" s="11" t="s">
        <v>977</v>
      </c>
      <c r="C496" s="10" t="s">
        <v>217</v>
      </c>
      <c r="D496" s="12" t="s">
        <v>11</v>
      </c>
      <c r="E496" s="10" t="s">
        <v>11</v>
      </c>
      <c r="F496" s="10" t="s">
        <v>244</v>
      </c>
      <c r="G496" s="10" t="s">
        <v>245</v>
      </c>
      <c r="H496" s="10" t="s">
        <v>288</v>
      </c>
      <c r="I496" s="10" t="s">
        <v>89</v>
      </c>
      <c r="J496" s="13">
        <v>158.93639999999999</v>
      </c>
      <c r="K496" s="14"/>
      <c r="L496" t="str">
        <f>VLOOKUP(A496,Formulas!A:B,2,FALSE)</f>
        <v>093403</v>
      </c>
      <c r="M496" s="32"/>
    </row>
    <row r="497" spans="1:13" ht="47.5" hidden="1" customHeight="1">
      <c r="A497" s="10">
        <v>4895</v>
      </c>
      <c r="B497" s="11" t="s">
        <v>644</v>
      </c>
      <c r="C497" s="10" t="s">
        <v>182</v>
      </c>
      <c r="D497" s="12" t="s">
        <v>11</v>
      </c>
      <c r="E497" s="10" t="s">
        <v>11</v>
      </c>
      <c r="F497" s="10" t="s">
        <v>95</v>
      </c>
      <c r="G497" s="10" t="s">
        <v>280</v>
      </c>
      <c r="H497" s="10" t="s">
        <v>13</v>
      </c>
      <c r="I497" s="10" t="s">
        <v>11</v>
      </c>
      <c r="J497" s="13">
        <v>121.31700000000001</v>
      </c>
      <c r="K497" s="14"/>
      <c r="L497" t="str">
        <f>VLOOKUP(A497,Formulas!A:B,2,FALSE)</f>
        <v>092790</v>
      </c>
      <c r="M497" s="32"/>
    </row>
    <row r="498" spans="1:13" ht="47.5" hidden="1" customHeight="1">
      <c r="A498" s="10">
        <v>4912</v>
      </c>
      <c r="B498" s="11" t="s">
        <v>473</v>
      </c>
      <c r="C498" s="10" t="s">
        <v>10</v>
      </c>
      <c r="D498" s="12" t="s">
        <v>468</v>
      </c>
      <c r="E498" s="10">
        <v>1650</v>
      </c>
      <c r="F498" s="10" t="s">
        <v>92</v>
      </c>
      <c r="G498" s="10" t="s">
        <v>13</v>
      </c>
      <c r="H498" s="10" t="s">
        <v>13</v>
      </c>
      <c r="I498" s="10" t="s">
        <v>11</v>
      </c>
      <c r="J498" s="13">
        <v>238.18199999999999</v>
      </c>
      <c r="K498" s="14"/>
      <c r="L498" t="str">
        <f>VLOOKUP(A498,Formulas!A:B,2,FALSE)</f>
        <v>092109</v>
      </c>
      <c r="M498" s="32"/>
    </row>
    <row r="499" spans="1:13" ht="47.5" hidden="1" customHeight="1">
      <c r="A499" s="10">
        <v>4915</v>
      </c>
      <c r="B499" s="11" t="s">
        <v>487</v>
      </c>
      <c r="C499" s="10" t="s">
        <v>10</v>
      </c>
      <c r="D499" s="12" t="s">
        <v>482</v>
      </c>
      <c r="E499" s="10">
        <v>3375</v>
      </c>
      <c r="F499" s="10" t="s">
        <v>92</v>
      </c>
      <c r="G499" s="10" t="s">
        <v>94</v>
      </c>
      <c r="H499" s="10" t="s">
        <v>94</v>
      </c>
      <c r="I499" s="10" t="s">
        <v>11</v>
      </c>
      <c r="J499" s="13">
        <v>463.00800000000004</v>
      </c>
      <c r="K499" s="14"/>
      <c r="L499" t="str">
        <f>VLOOKUP(A499,Formulas!A:B,2,FALSE)</f>
        <v>092124</v>
      </c>
      <c r="M499" s="32"/>
    </row>
    <row r="500" spans="1:13" ht="47.5" hidden="1" customHeight="1">
      <c r="A500" s="10">
        <v>4925</v>
      </c>
      <c r="B500" s="11" t="s">
        <v>656</v>
      </c>
      <c r="C500" s="10" t="s">
        <v>217</v>
      </c>
      <c r="D500" s="12" t="s">
        <v>11</v>
      </c>
      <c r="E500" s="10" t="s">
        <v>11</v>
      </c>
      <c r="F500" s="10" t="s">
        <v>106</v>
      </c>
      <c r="G500" s="10" t="s">
        <v>245</v>
      </c>
      <c r="H500" s="10" t="s">
        <v>222</v>
      </c>
      <c r="I500" s="10" t="s">
        <v>11</v>
      </c>
      <c r="J500" s="13">
        <v>150.255</v>
      </c>
      <c r="K500" s="14"/>
      <c r="L500" t="str">
        <f>VLOOKUP(A500,Formulas!A:B,2,FALSE)</f>
        <v>092820</v>
      </c>
      <c r="M500" s="32"/>
    </row>
    <row r="501" spans="1:13" ht="47.5" hidden="1" customHeight="1">
      <c r="A501" s="10">
        <v>4927</v>
      </c>
      <c r="B501" s="11" t="s">
        <v>554</v>
      </c>
      <c r="C501" s="10" t="s">
        <v>497</v>
      </c>
      <c r="D501" s="12" t="s">
        <v>11</v>
      </c>
      <c r="E501" s="10" t="s">
        <v>11</v>
      </c>
      <c r="F501" s="10" t="s">
        <v>301</v>
      </c>
      <c r="G501" s="10" t="s">
        <v>208</v>
      </c>
      <c r="H501" s="10" t="s">
        <v>551</v>
      </c>
      <c r="I501" s="10" t="s">
        <v>291</v>
      </c>
      <c r="J501" s="13">
        <v>621.05399999999997</v>
      </c>
      <c r="K501" s="14"/>
      <c r="L501" t="str">
        <f>VLOOKUP(A501,Formulas!A:B,2,FALSE)</f>
        <v>092507</v>
      </c>
      <c r="M501" s="32"/>
    </row>
    <row r="502" spans="1:13" ht="47.5" hidden="1" customHeight="1">
      <c r="A502" s="10">
        <v>4967</v>
      </c>
      <c r="B502" s="11" t="s">
        <v>492</v>
      </c>
      <c r="C502" s="10" t="s">
        <v>10</v>
      </c>
      <c r="D502" s="12" t="s">
        <v>468</v>
      </c>
      <c r="E502" s="10">
        <v>1650</v>
      </c>
      <c r="F502" s="10" t="s">
        <v>92</v>
      </c>
      <c r="G502" s="10" t="s">
        <v>351</v>
      </c>
      <c r="H502" s="10" t="s">
        <v>351</v>
      </c>
      <c r="I502" s="10" t="s">
        <v>11</v>
      </c>
      <c r="J502" s="13">
        <v>271.572</v>
      </c>
      <c r="K502" s="14"/>
      <c r="L502" t="str">
        <f>VLOOKUP(A502,Formulas!A:B,2,FALSE)</f>
        <v>092129</v>
      </c>
      <c r="M502" s="32"/>
    </row>
    <row r="503" spans="1:13" ht="69.75" hidden="1" customHeight="1">
      <c r="A503" s="10">
        <v>4968</v>
      </c>
      <c r="B503" s="11" t="s">
        <v>458</v>
      </c>
      <c r="C503" s="10" t="s">
        <v>10</v>
      </c>
      <c r="D503" s="12" t="s">
        <v>446</v>
      </c>
      <c r="E503" s="10">
        <v>1350</v>
      </c>
      <c r="F503" s="10" t="s">
        <v>92</v>
      </c>
      <c r="G503" s="10" t="s">
        <v>208</v>
      </c>
      <c r="H503" s="10" t="s">
        <v>268</v>
      </c>
      <c r="I503" s="10" t="s">
        <v>11</v>
      </c>
      <c r="J503" s="13">
        <v>230.39100000000002</v>
      </c>
      <c r="K503" s="14"/>
      <c r="L503" t="str">
        <f>VLOOKUP(A503,Formulas!A:B,2,FALSE)</f>
        <v>092092</v>
      </c>
      <c r="M503" s="32"/>
    </row>
    <row r="504" spans="1:13" ht="69.75" hidden="1" customHeight="1">
      <c r="A504" s="10">
        <v>4970</v>
      </c>
      <c r="B504" s="11" t="s">
        <v>465</v>
      </c>
      <c r="C504" s="10" t="s">
        <v>10</v>
      </c>
      <c r="D504" s="12" t="s">
        <v>460</v>
      </c>
      <c r="E504" s="10">
        <v>2850</v>
      </c>
      <c r="F504" s="10" t="s">
        <v>92</v>
      </c>
      <c r="G504" s="10" t="s">
        <v>208</v>
      </c>
      <c r="H504" s="10" t="s">
        <v>461</v>
      </c>
      <c r="I504" s="10" t="s">
        <v>11</v>
      </c>
      <c r="J504" s="13">
        <v>363.95100000000002</v>
      </c>
      <c r="K504" s="14"/>
      <c r="L504" t="str">
        <f>VLOOKUP(A504,Formulas!A:B,2,FALSE)</f>
        <v>092099</v>
      </c>
      <c r="M504" s="32"/>
    </row>
    <row r="505" spans="1:13" ht="69.75" hidden="1" customHeight="1">
      <c r="A505" s="10">
        <v>4972</v>
      </c>
      <c r="B505" s="11" t="s">
        <v>596</v>
      </c>
      <c r="C505" s="10" t="s">
        <v>10</v>
      </c>
      <c r="D505" s="12" t="s">
        <v>590</v>
      </c>
      <c r="E505" s="10">
        <v>2250</v>
      </c>
      <c r="F505" s="10" t="s">
        <v>90</v>
      </c>
      <c r="G505" s="10" t="s">
        <v>395</v>
      </c>
      <c r="H505" s="10" t="s">
        <v>395</v>
      </c>
      <c r="I505" s="10" t="s">
        <v>206</v>
      </c>
      <c r="J505" s="13">
        <v>608.81100000000004</v>
      </c>
      <c r="K505" s="14"/>
      <c r="L505" t="str">
        <f>VLOOKUP(A505,Formulas!A:B,2,FALSE)</f>
        <v>092630</v>
      </c>
      <c r="M505" s="32"/>
    </row>
    <row r="506" spans="1:13" ht="48" customHeight="1">
      <c r="A506" s="10">
        <v>4983</v>
      </c>
      <c r="B506" s="11" t="s">
        <v>856</v>
      </c>
      <c r="C506" s="10" t="s">
        <v>10</v>
      </c>
      <c r="D506" s="12" t="s">
        <v>97</v>
      </c>
      <c r="E506" s="10">
        <v>1650</v>
      </c>
      <c r="F506" s="10" t="s">
        <v>206</v>
      </c>
      <c r="G506" s="10" t="s">
        <v>203</v>
      </c>
      <c r="H506" s="10" t="s">
        <v>374</v>
      </c>
      <c r="I506" s="10" t="s">
        <v>11</v>
      </c>
      <c r="J506" s="13">
        <v>228.16500000000002</v>
      </c>
      <c r="K506" s="14"/>
      <c r="L506" t="e">
        <f>VLOOKUP(A506,Formulas!A:B,2,FALSE)</f>
        <v>#N/A</v>
      </c>
      <c r="M506" s="32"/>
    </row>
    <row r="507" spans="1:13" ht="47.25" hidden="1" customHeight="1">
      <c r="A507" s="10">
        <v>5002</v>
      </c>
      <c r="B507" s="11" t="s">
        <v>496</v>
      </c>
      <c r="C507" s="10" t="s">
        <v>439</v>
      </c>
      <c r="D507" s="12" t="s">
        <v>11</v>
      </c>
      <c r="E507" s="10" t="s">
        <v>11</v>
      </c>
      <c r="F507" s="10" t="s">
        <v>428</v>
      </c>
      <c r="G507" s="10" t="s">
        <v>96</v>
      </c>
      <c r="H507" s="10" t="s">
        <v>96</v>
      </c>
      <c r="I507" s="10" t="s">
        <v>104</v>
      </c>
      <c r="J507" s="13">
        <v>311.64000000000004</v>
      </c>
      <c r="K507" s="14"/>
      <c r="L507" t="str">
        <f>VLOOKUP(A507,Formulas!A:B,2,FALSE)</f>
        <v>092146</v>
      </c>
      <c r="M507" s="32"/>
    </row>
    <row r="508" spans="1:13" ht="47.5" hidden="1" customHeight="1">
      <c r="A508" s="10">
        <v>5015</v>
      </c>
      <c r="B508" s="11" t="s">
        <v>679</v>
      </c>
      <c r="C508" s="10" t="s">
        <v>217</v>
      </c>
      <c r="D508" s="12" t="s">
        <v>11</v>
      </c>
      <c r="E508" s="10" t="s">
        <v>11</v>
      </c>
      <c r="F508" s="10" t="s">
        <v>262</v>
      </c>
      <c r="G508" s="10" t="s">
        <v>288</v>
      </c>
      <c r="H508" s="10" t="s">
        <v>288</v>
      </c>
      <c r="I508" s="10" t="s">
        <v>11</v>
      </c>
      <c r="J508" s="13">
        <v>244.86</v>
      </c>
      <c r="K508" s="14"/>
      <c r="L508" t="str">
        <f>VLOOKUP(A508,Formulas!A:B,2,FALSE)</f>
        <v>092926</v>
      </c>
      <c r="M508" s="32"/>
    </row>
    <row r="509" spans="1:13" ht="47.5" hidden="1" customHeight="1">
      <c r="A509" s="10">
        <v>5030</v>
      </c>
      <c r="B509" s="11" t="s">
        <v>339</v>
      </c>
      <c r="C509" s="10" t="s">
        <v>217</v>
      </c>
      <c r="D509" s="12" t="s">
        <v>11</v>
      </c>
      <c r="E509" s="10" t="s">
        <v>11</v>
      </c>
      <c r="F509" s="10" t="s">
        <v>288</v>
      </c>
      <c r="G509" s="10" t="s">
        <v>221</v>
      </c>
      <c r="H509" s="10" t="s">
        <v>208</v>
      </c>
      <c r="I509" s="10" t="s">
        <v>206</v>
      </c>
      <c r="J509" s="13">
        <v>84.588000000000008</v>
      </c>
      <c r="K509" s="14"/>
      <c r="L509" t="str">
        <f>VLOOKUP(A509,Formulas!A:B,2,FALSE)</f>
        <v>093315</v>
      </c>
      <c r="M509" s="32"/>
    </row>
    <row r="510" spans="1:13" ht="47.5" hidden="1" customHeight="1">
      <c r="A510" s="10">
        <v>5031</v>
      </c>
      <c r="B510" s="11" t="s">
        <v>889</v>
      </c>
      <c r="C510" s="10" t="s">
        <v>217</v>
      </c>
      <c r="D510" s="12" t="s">
        <v>11</v>
      </c>
      <c r="E510" s="10" t="s">
        <v>11</v>
      </c>
      <c r="F510" s="10" t="s">
        <v>288</v>
      </c>
      <c r="G510" s="10" t="s">
        <v>221</v>
      </c>
      <c r="H510" s="10" t="s">
        <v>208</v>
      </c>
      <c r="I510" s="10" t="s">
        <v>206</v>
      </c>
      <c r="J510" s="13">
        <v>100.86006000000002</v>
      </c>
      <c r="K510" s="14"/>
      <c r="L510" t="str">
        <f>VLOOKUP(A510,Formulas!A:B,2,FALSE)</f>
        <v>093316</v>
      </c>
      <c r="M510" s="32"/>
    </row>
    <row r="511" spans="1:13" ht="47.5" hidden="1" customHeight="1">
      <c r="A511" s="10">
        <v>5032</v>
      </c>
      <c r="B511" s="11" t="s">
        <v>340</v>
      </c>
      <c r="C511" s="10" t="s">
        <v>217</v>
      </c>
      <c r="D511" s="12" t="s">
        <v>11</v>
      </c>
      <c r="E511" s="10" t="s">
        <v>11</v>
      </c>
      <c r="F511" s="10" t="s">
        <v>288</v>
      </c>
      <c r="G511" s="10" t="s">
        <v>221</v>
      </c>
      <c r="H511" s="10" t="s">
        <v>208</v>
      </c>
      <c r="I511" s="10" t="s">
        <v>206</v>
      </c>
      <c r="J511" s="13">
        <v>84.588000000000008</v>
      </c>
      <c r="K511" s="14"/>
      <c r="L511" t="str">
        <f>VLOOKUP(A511,Formulas!A:B,2,FALSE)</f>
        <v>093317</v>
      </c>
      <c r="M511" s="32"/>
    </row>
    <row r="512" spans="1:13" ht="47.5" hidden="1" customHeight="1">
      <c r="A512" s="10">
        <v>5033</v>
      </c>
      <c r="B512" s="11" t="s">
        <v>341</v>
      </c>
      <c r="C512" s="10" t="s">
        <v>217</v>
      </c>
      <c r="D512" s="12" t="s">
        <v>11</v>
      </c>
      <c r="E512" s="10" t="s">
        <v>11</v>
      </c>
      <c r="F512" s="10" t="s">
        <v>288</v>
      </c>
      <c r="G512" s="10" t="s">
        <v>221</v>
      </c>
      <c r="H512" s="10" t="s">
        <v>208</v>
      </c>
      <c r="I512" s="10" t="s">
        <v>206</v>
      </c>
      <c r="J512" s="13">
        <v>84.588000000000008</v>
      </c>
      <c r="K512" s="14"/>
      <c r="L512" t="str">
        <f>VLOOKUP(A512,Formulas!A:B,2,FALSE)</f>
        <v>093318</v>
      </c>
      <c r="M512" s="32"/>
    </row>
    <row r="513" spans="1:13" ht="47.5" hidden="1" customHeight="1">
      <c r="A513" s="10">
        <v>5034</v>
      </c>
      <c r="B513" s="11" t="s">
        <v>342</v>
      </c>
      <c r="C513" s="10" t="s">
        <v>217</v>
      </c>
      <c r="D513" s="12" t="s">
        <v>11</v>
      </c>
      <c r="E513" s="10" t="s">
        <v>11</v>
      </c>
      <c r="F513" s="10" t="s">
        <v>288</v>
      </c>
      <c r="G513" s="10" t="s">
        <v>221</v>
      </c>
      <c r="H513" s="10" t="s">
        <v>208</v>
      </c>
      <c r="I513" s="10" t="s">
        <v>206</v>
      </c>
      <c r="J513" s="13">
        <v>84.588000000000008</v>
      </c>
      <c r="K513" s="14"/>
      <c r="L513" t="str">
        <f>VLOOKUP(A513,Formulas!A:B,2,FALSE)</f>
        <v>093319</v>
      </c>
      <c r="M513" s="32"/>
    </row>
    <row r="514" spans="1:13" ht="47.5" hidden="1" customHeight="1">
      <c r="A514" s="10">
        <v>5035</v>
      </c>
      <c r="B514" s="11" t="s">
        <v>890</v>
      </c>
      <c r="C514" s="10" t="s">
        <v>217</v>
      </c>
      <c r="D514" s="12" t="s">
        <v>11</v>
      </c>
      <c r="E514" s="10" t="s">
        <v>11</v>
      </c>
      <c r="F514" s="10" t="s">
        <v>288</v>
      </c>
      <c r="G514" s="10" t="s">
        <v>221</v>
      </c>
      <c r="H514" s="10" t="s">
        <v>208</v>
      </c>
      <c r="I514" s="10" t="s">
        <v>206</v>
      </c>
      <c r="J514" s="13">
        <v>84.588000000000008</v>
      </c>
      <c r="K514" s="14"/>
      <c r="L514" t="str">
        <f>VLOOKUP(A514,Formulas!A:B,2,FALSE)</f>
        <v>093320</v>
      </c>
      <c r="M514" s="32"/>
    </row>
    <row r="515" spans="1:13" ht="47.5" hidden="1" customHeight="1">
      <c r="A515" s="10">
        <v>5134</v>
      </c>
      <c r="B515" s="11" t="s">
        <v>406</v>
      </c>
      <c r="C515" s="10" t="s">
        <v>102</v>
      </c>
      <c r="D515" s="12" t="s">
        <v>11</v>
      </c>
      <c r="E515" s="10" t="s">
        <v>11</v>
      </c>
      <c r="F515" s="10" t="s">
        <v>213</v>
      </c>
      <c r="G515" s="10" t="s">
        <v>103</v>
      </c>
      <c r="H515" s="10" t="s">
        <v>402</v>
      </c>
      <c r="I515" s="10" t="s">
        <v>11</v>
      </c>
      <c r="J515" s="13">
        <v>65.667000000000002</v>
      </c>
      <c r="K515" s="14" t="s">
        <v>295</v>
      </c>
      <c r="L515" t="str">
        <f>VLOOKUP(A515,Formulas!A:B,2,FALSE)</f>
        <v>093486</v>
      </c>
      <c r="M515" s="32"/>
    </row>
    <row r="516" spans="1:13" ht="47.5" hidden="1" customHeight="1">
      <c r="A516" s="10">
        <v>5136</v>
      </c>
      <c r="B516" s="11" t="s">
        <v>971</v>
      </c>
      <c r="C516" s="10" t="s">
        <v>10</v>
      </c>
      <c r="D516" s="12" t="s">
        <v>360</v>
      </c>
      <c r="E516" s="10">
        <v>750</v>
      </c>
      <c r="F516" s="10" t="s">
        <v>13</v>
      </c>
      <c r="G516" s="10" t="s">
        <v>302</v>
      </c>
      <c r="H516" s="10" t="s">
        <v>302</v>
      </c>
      <c r="I516" s="10" t="s">
        <v>206</v>
      </c>
      <c r="J516" s="13">
        <v>222.60000000000002</v>
      </c>
      <c r="K516" s="14" t="s">
        <v>219</v>
      </c>
      <c r="L516" t="str">
        <f>VLOOKUP(A516,Formulas!A:B,2,FALSE)</f>
        <v>093380</v>
      </c>
      <c r="M516" s="32"/>
    </row>
    <row r="517" spans="1:13" ht="47.5" customHeight="1">
      <c r="A517" s="10">
        <v>5175</v>
      </c>
      <c r="B517" s="11" t="s">
        <v>859</v>
      </c>
      <c r="C517" s="10" t="s">
        <v>102</v>
      </c>
      <c r="D517" s="12" t="s">
        <v>11</v>
      </c>
      <c r="E517" s="10" t="s">
        <v>11</v>
      </c>
      <c r="F517" s="10" t="s">
        <v>402</v>
      </c>
      <c r="G517" s="10" t="s">
        <v>280</v>
      </c>
      <c r="H517" s="10" t="s">
        <v>280</v>
      </c>
      <c r="I517" s="10" t="s">
        <v>11</v>
      </c>
      <c r="J517" s="13">
        <v>87.927000000000007</v>
      </c>
      <c r="K517" s="14"/>
      <c r="L517" t="e">
        <f>VLOOKUP(A517,Formulas!A:B,2,FALSE)</f>
        <v>#N/A</v>
      </c>
      <c r="M517" s="32"/>
    </row>
    <row r="518" spans="1:13" ht="47.5" customHeight="1">
      <c r="A518" s="10">
        <v>5177</v>
      </c>
      <c r="B518" s="11" t="s">
        <v>1576</v>
      </c>
      <c r="C518" s="10" t="s">
        <v>217</v>
      </c>
      <c r="D518" s="12" t="s">
        <v>11</v>
      </c>
      <c r="E518" s="10" t="s">
        <v>11</v>
      </c>
      <c r="F518" s="10" t="s">
        <v>14</v>
      </c>
      <c r="G518" s="10" t="s">
        <v>208</v>
      </c>
      <c r="H518" s="10" t="s">
        <v>229</v>
      </c>
      <c r="I518" s="10" t="s">
        <v>11</v>
      </c>
      <c r="J518" s="13">
        <v>171.40199999999999</v>
      </c>
      <c r="K518" s="14" t="s">
        <v>219</v>
      </c>
      <c r="L518" t="e">
        <f>VLOOKUP(A518,Formulas!A:B,2,FALSE)</f>
        <v>#N/A</v>
      </c>
      <c r="M518" s="32"/>
    </row>
    <row r="519" spans="1:13" ht="47.5" customHeight="1">
      <c r="A519" s="10">
        <v>5234</v>
      </c>
      <c r="B519" s="11" t="s">
        <v>41</v>
      </c>
      <c r="C519" s="10" t="s">
        <v>10</v>
      </c>
      <c r="D519" s="12" t="s">
        <v>98</v>
      </c>
      <c r="E519" s="12">
        <v>1575</v>
      </c>
      <c r="F519" s="10" t="s">
        <v>85</v>
      </c>
      <c r="G519" s="10" t="s">
        <v>13</v>
      </c>
      <c r="H519" s="10" t="s">
        <v>13</v>
      </c>
      <c r="I519" s="10" t="s">
        <v>11</v>
      </c>
      <c r="J519" s="13">
        <v>250.42500000000001</v>
      </c>
      <c r="K519" s="14" t="s">
        <v>759</v>
      </c>
      <c r="L519" t="e">
        <f>VLOOKUP(A519,Formulas!A:B,2,FALSE)</f>
        <v>#N/A</v>
      </c>
      <c r="M519" s="32"/>
    </row>
    <row r="520" spans="1:13" ht="47.5" customHeight="1">
      <c r="A520" s="10">
        <v>5235</v>
      </c>
      <c r="B520" s="11" t="s">
        <v>35</v>
      </c>
      <c r="C520" s="10" t="s">
        <v>10</v>
      </c>
      <c r="D520" s="12" t="s">
        <v>98</v>
      </c>
      <c r="E520" s="10">
        <v>1575</v>
      </c>
      <c r="F520" s="10" t="s">
        <v>85</v>
      </c>
      <c r="G520" s="10" t="s">
        <v>13</v>
      </c>
      <c r="H520" s="10" t="s">
        <v>13</v>
      </c>
      <c r="I520" s="10" t="s">
        <v>11</v>
      </c>
      <c r="J520" s="13">
        <v>250.42500000000001</v>
      </c>
      <c r="K520" s="14" t="s">
        <v>759</v>
      </c>
      <c r="L520" t="e">
        <f>VLOOKUP(A520,Formulas!A:B,2,FALSE)</f>
        <v>#N/A</v>
      </c>
      <c r="M520" s="32"/>
    </row>
    <row r="521" spans="1:13" ht="47.5" customHeight="1">
      <c r="A521" s="10">
        <v>5236</v>
      </c>
      <c r="B521" s="11" t="s">
        <v>36</v>
      </c>
      <c r="C521" s="10" t="s">
        <v>10</v>
      </c>
      <c r="D521" s="12" t="s">
        <v>98</v>
      </c>
      <c r="E521" s="12">
        <v>1575</v>
      </c>
      <c r="F521" s="10" t="s">
        <v>85</v>
      </c>
      <c r="G521" s="10" t="s">
        <v>13</v>
      </c>
      <c r="H521" s="10" t="s">
        <v>13</v>
      </c>
      <c r="I521" s="10" t="s">
        <v>11</v>
      </c>
      <c r="J521" s="13">
        <v>250.42500000000001</v>
      </c>
      <c r="K521" s="14" t="s">
        <v>759</v>
      </c>
      <c r="L521" t="e">
        <f>VLOOKUP(A521,Formulas!A:B,2,FALSE)</f>
        <v>#N/A</v>
      </c>
      <c r="M521" s="32"/>
    </row>
    <row r="522" spans="1:13" ht="47.5" customHeight="1">
      <c r="A522" s="10">
        <v>5242</v>
      </c>
      <c r="B522" s="11" t="s">
        <v>37</v>
      </c>
      <c r="C522" s="10" t="s">
        <v>10</v>
      </c>
      <c r="D522" s="12" t="s">
        <v>765</v>
      </c>
      <c r="E522" s="10">
        <v>2240</v>
      </c>
      <c r="F522" s="10" t="s">
        <v>85</v>
      </c>
      <c r="G522" s="10" t="s">
        <v>96</v>
      </c>
      <c r="H522" s="10" t="s">
        <v>96</v>
      </c>
      <c r="I522" s="10" t="s">
        <v>11</v>
      </c>
      <c r="J522" s="13">
        <v>366.17700000000002</v>
      </c>
      <c r="K522" s="14" t="s">
        <v>759</v>
      </c>
      <c r="L522" t="e">
        <f>VLOOKUP(A522,Formulas!A:B,2,FALSE)</f>
        <v>#N/A</v>
      </c>
      <c r="M522" s="32"/>
    </row>
    <row r="523" spans="1:13" ht="47.5" hidden="1" customHeight="1">
      <c r="A523" s="10">
        <v>5243</v>
      </c>
      <c r="B523" s="11" t="s">
        <v>38</v>
      </c>
      <c r="C523" s="10" t="s">
        <v>10</v>
      </c>
      <c r="D523" s="12" t="s">
        <v>765</v>
      </c>
      <c r="E523" s="10">
        <v>2240</v>
      </c>
      <c r="F523" s="10" t="s">
        <v>85</v>
      </c>
      <c r="G523" s="10" t="s">
        <v>96</v>
      </c>
      <c r="H523" s="10" t="s">
        <v>96</v>
      </c>
      <c r="I523" s="10" t="s">
        <v>11</v>
      </c>
      <c r="J523" s="13">
        <v>366.17700000000002</v>
      </c>
      <c r="K523" s="14" t="s">
        <v>759</v>
      </c>
      <c r="L523" t="str">
        <f>VLOOKUP(A523,Formulas!A:B,2,FALSE)</f>
        <v>178634</v>
      </c>
      <c r="M523" s="32"/>
    </row>
    <row r="524" spans="1:13" ht="47.5" customHeight="1">
      <c r="A524" s="10">
        <v>5244</v>
      </c>
      <c r="B524" s="11" t="s">
        <v>39</v>
      </c>
      <c r="C524" s="10" t="s">
        <v>10</v>
      </c>
      <c r="D524" s="12" t="s">
        <v>765</v>
      </c>
      <c r="E524" s="10">
        <v>2240</v>
      </c>
      <c r="F524" s="10" t="s">
        <v>85</v>
      </c>
      <c r="G524" s="10" t="s">
        <v>96</v>
      </c>
      <c r="H524" s="10" t="s">
        <v>96</v>
      </c>
      <c r="I524" s="10" t="s">
        <v>11</v>
      </c>
      <c r="J524" s="13">
        <v>366.17700000000002</v>
      </c>
      <c r="K524" s="14" t="s">
        <v>759</v>
      </c>
      <c r="L524" t="e">
        <f>VLOOKUP(A524,Formulas!A:B,2,FALSE)</f>
        <v>#N/A</v>
      </c>
      <c r="M524" s="32"/>
    </row>
    <row r="525" spans="1:13" ht="47.5" customHeight="1">
      <c r="A525" s="10">
        <v>5245</v>
      </c>
      <c r="B525" s="11" t="s">
        <v>40</v>
      </c>
      <c r="C525" s="10" t="s">
        <v>10</v>
      </c>
      <c r="D525" s="12" t="s">
        <v>765</v>
      </c>
      <c r="E525" s="10">
        <v>2240</v>
      </c>
      <c r="F525" s="10" t="s">
        <v>85</v>
      </c>
      <c r="G525" s="10" t="s">
        <v>96</v>
      </c>
      <c r="H525" s="10" t="s">
        <v>96</v>
      </c>
      <c r="I525" s="10" t="s">
        <v>11</v>
      </c>
      <c r="J525" s="13">
        <v>366.17700000000002</v>
      </c>
      <c r="K525" s="14" t="s">
        <v>759</v>
      </c>
      <c r="L525" t="e">
        <f>VLOOKUP(A525,Formulas!A:B,2,FALSE)</f>
        <v>#N/A</v>
      </c>
      <c r="M525" s="32"/>
    </row>
    <row r="526" spans="1:13" ht="47.5" customHeight="1">
      <c r="A526" s="10">
        <v>5258</v>
      </c>
      <c r="B526" s="11" t="s">
        <v>28</v>
      </c>
      <c r="C526" s="10" t="s">
        <v>10</v>
      </c>
      <c r="D526" s="12" t="s">
        <v>846</v>
      </c>
      <c r="E526" s="12">
        <v>1875</v>
      </c>
      <c r="F526" s="10" t="s">
        <v>85</v>
      </c>
      <c r="G526" s="10" t="s">
        <v>13</v>
      </c>
      <c r="H526" s="10" t="s">
        <v>13</v>
      </c>
      <c r="I526" s="10" t="s">
        <v>11</v>
      </c>
      <c r="J526" s="13">
        <v>321.65699999999998</v>
      </c>
      <c r="K526" s="14" t="s">
        <v>759</v>
      </c>
      <c r="L526" t="e">
        <f>VLOOKUP(A526,Formulas!A:B,2,FALSE)</f>
        <v>#N/A</v>
      </c>
      <c r="M526" s="32"/>
    </row>
    <row r="527" spans="1:13" ht="47.5" customHeight="1">
      <c r="A527" s="10">
        <v>5259</v>
      </c>
      <c r="B527" s="11" t="s">
        <v>29</v>
      </c>
      <c r="C527" s="10" t="s">
        <v>10</v>
      </c>
      <c r="D527" s="12" t="s">
        <v>846</v>
      </c>
      <c r="E527" s="10">
        <v>1875</v>
      </c>
      <c r="F527" s="10" t="s">
        <v>85</v>
      </c>
      <c r="G527" s="10" t="s">
        <v>13</v>
      </c>
      <c r="H527" s="10" t="s">
        <v>13</v>
      </c>
      <c r="I527" s="10" t="s">
        <v>11</v>
      </c>
      <c r="J527" s="13">
        <v>321.65699999999998</v>
      </c>
      <c r="K527" s="14" t="s">
        <v>759</v>
      </c>
      <c r="L527" t="e">
        <f>VLOOKUP(A527,Formulas!A:B,2,FALSE)</f>
        <v>#N/A</v>
      </c>
      <c r="M527" s="32"/>
    </row>
    <row r="528" spans="1:13" ht="47.5" customHeight="1">
      <c r="A528" s="10">
        <v>5261</v>
      </c>
      <c r="B528" s="11" t="s">
        <v>30</v>
      </c>
      <c r="C528" s="10" t="s">
        <v>10</v>
      </c>
      <c r="D528" s="12" t="s">
        <v>846</v>
      </c>
      <c r="E528" s="12">
        <v>1875</v>
      </c>
      <c r="F528" s="10" t="s">
        <v>85</v>
      </c>
      <c r="G528" s="10" t="s">
        <v>13</v>
      </c>
      <c r="H528" s="10" t="s">
        <v>13</v>
      </c>
      <c r="I528" s="10" t="s">
        <v>11</v>
      </c>
      <c r="J528" s="13">
        <v>321.65699999999998</v>
      </c>
      <c r="K528" s="14" t="s">
        <v>759</v>
      </c>
      <c r="L528" t="e">
        <f>VLOOKUP(A528,Formulas!A:B,2,FALSE)</f>
        <v>#N/A</v>
      </c>
      <c r="M528" s="32"/>
    </row>
    <row r="529" spans="1:13" ht="47.5" customHeight="1">
      <c r="A529" s="10">
        <v>5262</v>
      </c>
      <c r="B529" s="11" t="s">
        <v>31</v>
      </c>
      <c r="C529" s="10" t="s">
        <v>10</v>
      </c>
      <c r="D529" s="12" t="s">
        <v>846</v>
      </c>
      <c r="E529" s="10">
        <v>1875</v>
      </c>
      <c r="F529" s="10" t="s">
        <v>85</v>
      </c>
      <c r="G529" s="10" t="s">
        <v>13</v>
      </c>
      <c r="H529" s="10" t="s">
        <v>13</v>
      </c>
      <c r="I529" s="10" t="s">
        <v>11</v>
      </c>
      <c r="J529" s="13">
        <v>321.65699999999998</v>
      </c>
      <c r="K529" s="14" t="s">
        <v>759</v>
      </c>
      <c r="L529" t="e">
        <f>VLOOKUP(A529,Formulas!A:B,2,FALSE)</f>
        <v>#N/A</v>
      </c>
      <c r="M529" s="32"/>
    </row>
    <row r="530" spans="1:13" ht="47.5" customHeight="1">
      <c r="A530" s="10">
        <v>5267</v>
      </c>
      <c r="B530" s="11" t="s">
        <v>32</v>
      </c>
      <c r="C530" s="10" t="s">
        <v>10</v>
      </c>
      <c r="D530" s="12" t="s">
        <v>868</v>
      </c>
      <c r="E530" s="12">
        <v>3000</v>
      </c>
      <c r="F530" s="10" t="s">
        <v>85</v>
      </c>
      <c r="G530" s="10" t="s">
        <v>226</v>
      </c>
      <c r="H530" s="10" t="s">
        <v>12</v>
      </c>
      <c r="I530" s="10" t="s">
        <v>11</v>
      </c>
      <c r="J530" s="13">
        <v>500.85</v>
      </c>
      <c r="K530" s="14" t="s">
        <v>759</v>
      </c>
      <c r="L530" t="e">
        <f>VLOOKUP(A530,Formulas!A:B,2,FALSE)</f>
        <v>#N/A</v>
      </c>
      <c r="M530" s="32"/>
    </row>
    <row r="531" spans="1:13" ht="47.5" customHeight="1">
      <c r="A531" s="10">
        <v>5268</v>
      </c>
      <c r="B531" s="11" t="s">
        <v>33</v>
      </c>
      <c r="C531" s="10" t="s">
        <v>10</v>
      </c>
      <c r="D531" s="12" t="s">
        <v>868</v>
      </c>
      <c r="E531" s="10">
        <v>3000</v>
      </c>
      <c r="F531" s="10" t="s">
        <v>85</v>
      </c>
      <c r="G531" s="10" t="s">
        <v>96</v>
      </c>
      <c r="H531" s="10" t="s">
        <v>12</v>
      </c>
      <c r="I531" s="10" t="s">
        <v>11</v>
      </c>
      <c r="J531" s="13">
        <v>500.85</v>
      </c>
      <c r="K531" s="14" t="s">
        <v>759</v>
      </c>
      <c r="L531" t="e">
        <f>VLOOKUP(A531,Formulas!A:B,2,FALSE)</f>
        <v>#N/A</v>
      </c>
      <c r="M531" s="32"/>
    </row>
    <row r="532" spans="1:13" ht="47.5" customHeight="1">
      <c r="A532" s="10">
        <v>5269</v>
      </c>
      <c r="B532" s="11" t="s">
        <v>34</v>
      </c>
      <c r="C532" s="10" t="s">
        <v>10</v>
      </c>
      <c r="D532" s="12" t="s">
        <v>868</v>
      </c>
      <c r="E532" s="12">
        <v>3000</v>
      </c>
      <c r="F532" s="10" t="s">
        <v>85</v>
      </c>
      <c r="G532" s="10" t="s">
        <v>226</v>
      </c>
      <c r="H532" s="10" t="s">
        <v>12</v>
      </c>
      <c r="I532" s="10" t="s">
        <v>11</v>
      </c>
      <c r="J532" s="13">
        <v>500.85</v>
      </c>
      <c r="K532" s="14" t="s">
        <v>759</v>
      </c>
      <c r="L532" t="e">
        <f>VLOOKUP(A532,Formulas!A:B,2,FALSE)</f>
        <v>#N/A</v>
      </c>
      <c r="M532" s="32"/>
    </row>
    <row r="533" spans="1:13" ht="47.5" customHeight="1">
      <c r="A533" s="10">
        <v>5270</v>
      </c>
      <c r="B533" s="11" t="s">
        <v>1565</v>
      </c>
      <c r="C533" s="10" t="s">
        <v>10</v>
      </c>
      <c r="D533" s="12" t="s">
        <v>868</v>
      </c>
      <c r="E533" s="12">
        <v>3000</v>
      </c>
      <c r="F533" s="10" t="s">
        <v>85</v>
      </c>
      <c r="G533" s="10" t="s">
        <v>226</v>
      </c>
      <c r="H533" s="10" t="s">
        <v>12</v>
      </c>
      <c r="I533" s="10" t="s">
        <v>11</v>
      </c>
      <c r="J533" s="13">
        <v>500.85</v>
      </c>
      <c r="K533" s="14" t="s">
        <v>759</v>
      </c>
      <c r="L533" t="e">
        <f>VLOOKUP(A533,Formulas!A:B,2,FALSE)</f>
        <v>#N/A</v>
      </c>
      <c r="M533" s="32"/>
    </row>
    <row r="534" spans="1:13" ht="47.5" customHeight="1">
      <c r="A534" s="10">
        <v>5275</v>
      </c>
      <c r="B534" s="11" t="s">
        <v>142</v>
      </c>
      <c r="C534" s="10" t="s">
        <v>10</v>
      </c>
      <c r="D534" s="12" t="s">
        <v>847</v>
      </c>
      <c r="E534" s="12">
        <v>3450</v>
      </c>
      <c r="F534" s="10" t="s">
        <v>85</v>
      </c>
      <c r="G534" s="10" t="s">
        <v>14</v>
      </c>
      <c r="H534" s="10" t="s">
        <v>15</v>
      </c>
      <c r="I534" s="10" t="s">
        <v>11</v>
      </c>
      <c r="J534" s="13">
        <v>521.99700000000007</v>
      </c>
      <c r="K534" s="14" t="s">
        <v>759</v>
      </c>
      <c r="L534" t="e">
        <f>VLOOKUP(A534,Formulas!A:B,2,FALSE)</f>
        <v>#N/A</v>
      </c>
      <c r="M534" s="32"/>
    </row>
    <row r="535" spans="1:13" ht="47.5" customHeight="1">
      <c r="A535" s="10">
        <v>5276</v>
      </c>
      <c r="B535" s="11" t="s">
        <v>143</v>
      </c>
      <c r="C535" s="10" t="s">
        <v>10</v>
      </c>
      <c r="D535" s="12" t="s">
        <v>847</v>
      </c>
      <c r="E535" s="10">
        <v>3450</v>
      </c>
      <c r="F535" s="10" t="s">
        <v>85</v>
      </c>
      <c r="G535" s="10" t="s">
        <v>14</v>
      </c>
      <c r="H535" s="10" t="s">
        <v>15</v>
      </c>
      <c r="I535" s="10" t="s">
        <v>11</v>
      </c>
      <c r="J535" s="13">
        <v>521.99700000000007</v>
      </c>
      <c r="K535" s="14" t="s">
        <v>759</v>
      </c>
      <c r="L535" t="e">
        <f>VLOOKUP(A535,Formulas!A:B,2,FALSE)</f>
        <v>#N/A</v>
      </c>
      <c r="M535" s="32"/>
    </row>
    <row r="536" spans="1:13" ht="47.5" hidden="1" customHeight="1">
      <c r="A536" s="10">
        <v>5277</v>
      </c>
      <c r="B536" s="11" t="s">
        <v>144</v>
      </c>
      <c r="C536" s="10" t="s">
        <v>10</v>
      </c>
      <c r="D536" s="12" t="s">
        <v>847</v>
      </c>
      <c r="E536" s="12">
        <v>3450</v>
      </c>
      <c r="F536" s="10" t="s">
        <v>85</v>
      </c>
      <c r="G536" s="10" t="s">
        <v>14</v>
      </c>
      <c r="H536" s="10" t="s">
        <v>15</v>
      </c>
      <c r="I536" s="10" t="s">
        <v>11</v>
      </c>
      <c r="J536" s="13">
        <v>521.99700000000007</v>
      </c>
      <c r="K536" s="14" t="s">
        <v>759</v>
      </c>
      <c r="L536" t="str">
        <f>VLOOKUP(A536,Formulas!A:B,2,FALSE)</f>
        <v>178054</v>
      </c>
      <c r="M536" s="32"/>
    </row>
    <row r="537" spans="1:13" ht="47.5" customHeight="1">
      <c r="A537" s="10">
        <v>5283</v>
      </c>
      <c r="B537" s="11" t="s">
        <v>16</v>
      </c>
      <c r="C537" s="10" t="s">
        <v>10</v>
      </c>
      <c r="D537" s="12" t="s">
        <v>766</v>
      </c>
      <c r="E537" s="12">
        <v>2220</v>
      </c>
      <c r="F537" s="10" t="s">
        <v>85</v>
      </c>
      <c r="G537" s="10" t="s">
        <v>84</v>
      </c>
      <c r="H537" s="10" t="s">
        <v>84</v>
      </c>
      <c r="I537" s="10" t="s">
        <v>11</v>
      </c>
      <c r="J537" s="13">
        <v>332.78699999999998</v>
      </c>
      <c r="K537" s="14" t="s">
        <v>759</v>
      </c>
      <c r="L537" t="e">
        <f>VLOOKUP(A537,Formulas!A:B,2,FALSE)</f>
        <v>#N/A</v>
      </c>
      <c r="M537" s="32"/>
    </row>
    <row r="538" spans="1:13" ht="47.5" customHeight="1">
      <c r="A538" s="10">
        <v>5284</v>
      </c>
      <c r="B538" s="11" t="s">
        <v>17</v>
      </c>
      <c r="C538" s="10" t="s">
        <v>10</v>
      </c>
      <c r="D538" s="12" t="s">
        <v>766</v>
      </c>
      <c r="E538" s="12">
        <v>2220</v>
      </c>
      <c r="F538" s="10" t="s">
        <v>85</v>
      </c>
      <c r="G538" s="10" t="s">
        <v>84</v>
      </c>
      <c r="H538" s="10" t="s">
        <v>84</v>
      </c>
      <c r="I538" s="10" t="s">
        <v>11</v>
      </c>
      <c r="J538" s="13">
        <v>332.78699999999998</v>
      </c>
      <c r="K538" s="14" t="s">
        <v>759</v>
      </c>
      <c r="L538" t="e">
        <f>VLOOKUP(A538,Formulas!A:B,2,FALSE)</f>
        <v>#N/A</v>
      </c>
      <c r="M538" s="32"/>
    </row>
    <row r="539" spans="1:13" ht="47.5" customHeight="1">
      <c r="A539" s="10">
        <v>5285</v>
      </c>
      <c r="B539" s="11" t="s">
        <v>18</v>
      </c>
      <c r="C539" s="10" t="s">
        <v>10</v>
      </c>
      <c r="D539" s="12" t="s">
        <v>766</v>
      </c>
      <c r="E539" s="12">
        <v>2220</v>
      </c>
      <c r="F539" s="10" t="s">
        <v>85</v>
      </c>
      <c r="G539" s="10" t="s">
        <v>84</v>
      </c>
      <c r="H539" s="10" t="s">
        <v>84</v>
      </c>
      <c r="I539" s="10" t="s">
        <v>11</v>
      </c>
      <c r="J539" s="13">
        <v>332.78699999999998</v>
      </c>
      <c r="K539" s="14" t="s">
        <v>759</v>
      </c>
      <c r="L539" t="e">
        <f>VLOOKUP(A539,Formulas!A:B,2,FALSE)</f>
        <v>#N/A</v>
      </c>
      <c r="M539" s="32"/>
    </row>
    <row r="540" spans="1:13" ht="47.5" customHeight="1">
      <c r="A540" s="10">
        <v>5291</v>
      </c>
      <c r="B540" s="11" t="s">
        <v>19</v>
      </c>
      <c r="C540" s="10" t="s">
        <v>10</v>
      </c>
      <c r="D540" s="12" t="s">
        <v>1499</v>
      </c>
      <c r="E540" s="12">
        <v>3540</v>
      </c>
      <c r="F540" s="10" t="s">
        <v>85</v>
      </c>
      <c r="G540" s="10" t="s">
        <v>12</v>
      </c>
      <c r="H540" s="10" t="s">
        <v>12</v>
      </c>
      <c r="I540" s="10" t="s">
        <v>11</v>
      </c>
      <c r="J540" s="13">
        <v>444.08699999999999</v>
      </c>
      <c r="K540" s="14" t="s">
        <v>759</v>
      </c>
      <c r="L540" t="e">
        <f>VLOOKUP(A540,Formulas!A:B,2,FALSE)</f>
        <v>#N/A</v>
      </c>
      <c r="M540" s="32"/>
    </row>
    <row r="541" spans="1:13" ht="47.5" customHeight="1">
      <c r="A541" s="10">
        <v>5292</v>
      </c>
      <c r="B541" s="11" t="s">
        <v>20</v>
      </c>
      <c r="C541" s="10" t="s">
        <v>10</v>
      </c>
      <c r="D541" s="12" t="s">
        <v>1499</v>
      </c>
      <c r="E541" s="12">
        <v>3540</v>
      </c>
      <c r="F541" s="10" t="s">
        <v>85</v>
      </c>
      <c r="G541" s="10" t="s">
        <v>12</v>
      </c>
      <c r="H541" s="10" t="s">
        <v>12</v>
      </c>
      <c r="I541" s="10" t="s">
        <v>11</v>
      </c>
      <c r="J541" s="13">
        <v>444.08699999999999</v>
      </c>
      <c r="K541" s="14" t="s">
        <v>759</v>
      </c>
      <c r="L541" t="e">
        <f>VLOOKUP(A541,Formulas!A:B,2,FALSE)</f>
        <v>#N/A</v>
      </c>
      <c r="M541" s="32"/>
    </row>
    <row r="542" spans="1:13" ht="47.5" customHeight="1">
      <c r="A542" s="10">
        <v>5293</v>
      </c>
      <c r="B542" s="11" t="s">
        <v>21</v>
      </c>
      <c r="C542" s="10" t="s">
        <v>10</v>
      </c>
      <c r="D542" s="12" t="s">
        <v>1499</v>
      </c>
      <c r="E542" s="12">
        <v>3540</v>
      </c>
      <c r="F542" s="10" t="s">
        <v>85</v>
      </c>
      <c r="G542" s="10" t="s">
        <v>12</v>
      </c>
      <c r="H542" s="10" t="s">
        <v>12</v>
      </c>
      <c r="I542" s="10" t="s">
        <v>11</v>
      </c>
      <c r="J542" s="13">
        <v>444.08699999999999</v>
      </c>
      <c r="K542" s="14" t="s">
        <v>759</v>
      </c>
      <c r="L542" t="e">
        <f>VLOOKUP(A542,Formulas!A:B,2,FALSE)</f>
        <v>#N/A</v>
      </c>
      <c r="M542" s="32"/>
    </row>
    <row r="543" spans="1:13" ht="47.5" customHeight="1">
      <c r="A543" s="10">
        <v>5307</v>
      </c>
      <c r="B543" s="11" t="s">
        <v>22</v>
      </c>
      <c r="C543" s="10" t="s">
        <v>10</v>
      </c>
      <c r="D543" s="12" t="s">
        <v>767</v>
      </c>
      <c r="E543" s="12">
        <v>2475</v>
      </c>
      <c r="F543" s="10" t="s">
        <v>85</v>
      </c>
      <c r="G543" s="10" t="s">
        <v>84</v>
      </c>
      <c r="H543" s="10" t="s">
        <v>84</v>
      </c>
      <c r="I543" s="10" t="s">
        <v>11</v>
      </c>
      <c r="J543" s="13">
        <v>399.56700000000001</v>
      </c>
      <c r="K543" s="14" t="s">
        <v>759</v>
      </c>
      <c r="L543" t="e">
        <f>VLOOKUP(A543,Formulas!A:B,2,FALSE)</f>
        <v>#N/A</v>
      </c>
      <c r="M543" s="32"/>
    </row>
    <row r="544" spans="1:13" ht="47.5" customHeight="1">
      <c r="A544" s="10">
        <v>5308</v>
      </c>
      <c r="B544" s="11" t="s">
        <v>23</v>
      </c>
      <c r="C544" s="10" t="s">
        <v>10</v>
      </c>
      <c r="D544" s="12" t="s">
        <v>767</v>
      </c>
      <c r="E544" s="10">
        <v>2475</v>
      </c>
      <c r="F544" s="10" t="s">
        <v>85</v>
      </c>
      <c r="G544" s="10" t="s">
        <v>84</v>
      </c>
      <c r="H544" s="10" t="s">
        <v>84</v>
      </c>
      <c r="I544" s="10" t="s">
        <v>11</v>
      </c>
      <c r="J544" s="13">
        <v>399.56700000000001</v>
      </c>
      <c r="K544" s="14" t="s">
        <v>759</v>
      </c>
      <c r="L544" t="e">
        <f>VLOOKUP(A544,Formulas!A:B,2,FALSE)</f>
        <v>#N/A</v>
      </c>
      <c r="M544" s="32"/>
    </row>
    <row r="545" spans="1:13" ht="47.5" customHeight="1">
      <c r="A545" s="10">
        <v>5309</v>
      </c>
      <c r="B545" s="11" t="s">
        <v>24</v>
      </c>
      <c r="C545" s="10" t="s">
        <v>10</v>
      </c>
      <c r="D545" s="12" t="s">
        <v>767</v>
      </c>
      <c r="E545" s="12">
        <v>2475</v>
      </c>
      <c r="F545" s="10" t="s">
        <v>85</v>
      </c>
      <c r="G545" s="10" t="s">
        <v>84</v>
      </c>
      <c r="H545" s="10" t="s">
        <v>84</v>
      </c>
      <c r="I545" s="10" t="s">
        <v>11</v>
      </c>
      <c r="J545" s="13">
        <v>399.56700000000001</v>
      </c>
      <c r="K545" s="14" t="s">
        <v>759</v>
      </c>
      <c r="L545" t="e">
        <f>VLOOKUP(A545,Formulas!A:B,2,FALSE)</f>
        <v>#N/A</v>
      </c>
      <c r="M545" s="32"/>
    </row>
    <row r="546" spans="1:13" ht="47.5" customHeight="1">
      <c r="A546" s="10">
        <v>5317</v>
      </c>
      <c r="B546" s="11" t="s">
        <v>25</v>
      </c>
      <c r="C546" s="10" t="s">
        <v>10</v>
      </c>
      <c r="D546" s="12" t="s">
        <v>842</v>
      </c>
      <c r="E546" s="12">
        <v>3150</v>
      </c>
      <c r="F546" s="10" t="s">
        <v>85</v>
      </c>
      <c r="G546" s="10" t="s">
        <v>12</v>
      </c>
      <c r="H546" s="10" t="s">
        <v>12</v>
      </c>
      <c r="I546" s="10" t="s">
        <v>11</v>
      </c>
      <c r="J546" s="13">
        <v>584.32500000000005</v>
      </c>
      <c r="K546" s="14" t="s">
        <v>759</v>
      </c>
      <c r="L546" t="e">
        <f>VLOOKUP(A546,Formulas!A:B,2,FALSE)</f>
        <v>#N/A</v>
      </c>
      <c r="M546" s="32"/>
    </row>
    <row r="547" spans="1:13" ht="47.5" customHeight="1">
      <c r="A547" s="10">
        <v>5318</v>
      </c>
      <c r="B547" s="11" t="s">
        <v>26</v>
      </c>
      <c r="C547" s="10" t="s">
        <v>10</v>
      </c>
      <c r="D547" s="12" t="s">
        <v>842</v>
      </c>
      <c r="E547" s="10">
        <v>3150</v>
      </c>
      <c r="F547" s="10" t="s">
        <v>85</v>
      </c>
      <c r="G547" s="10" t="s">
        <v>12</v>
      </c>
      <c r="H547" s="10" t="s">
        <v>12</v>
      </c>
      <c r="I547" s="10" t="s">
        <v>11</v>
      </c>
      <c r="J547" s="13">
        <v>584.32500000000005</v>
      </c>
      <c r="K547" s="14" t="s">
        <v>759</v>
      </c>
      <c r="L547" t="e">
        <f>VLOOKUP(A547,Formulas!A:B,2,FALSE)</f>
        <v>#N/A</v>
      </c>
      <c r="M547" s="32"/>
    </row>
    <row r="548" spans="1:13" ht="47.5" customHeight="1">
      <c r="A548" s="10">
        <v>5319</v>
      </c>
      <c r="B548" s="11" t="s">
        <v>27</v>
      </c>
      <c r="C548" s="10" t="s">
        <v>10</v>
      </c>
      <c r="D548" s="12" t="s">
        <v>842</v>
      </c>
      <c r="E548" s="12">
        <v>3150</v>
      </c>
      <c r="F548" s="10" t="s">
        <v>85</v>
      </c>
      <c r="G548" s="10" t="s">
        <v>12</v>
      </c>
      <c r="H548" s="10" t="s">
        <v>12</v>
      </c>
      <c r="I548" s="10" t="s">
        <v>11</v>
      </c>
      <c r="J548" s="13">
        <v>584.32500000000005</v>
      </c>
      <c r="K548" s="14" t="s">
        <v>759</v>
      </c>
      <c r="L548" t="e">
        <f>VLOOKUP(A548,Formulas!A:B,2,FALSE)</f>
        <v>#N/A</v>
      </c>
      <c r="M548" s="32"/>
    </row>
    <row r="549" spans="1:13" ht="47.5" customHeight="1">
      <c r="A549" s="10">
        <v>5337</v>
      </c>
      <c r="B549" s="11" t="s">
        <v>42</v>
      </c>
      <c r="C549" s="10" t="s">
        <v>10</v>
      </c>
      <c r="D549" s="12" t="s">
        <v>334</v>
      </c>
      <c r="E549" s="12">
        <v>1500</v>
      </c>
      <c r="F549" s="10" t="s">
        <v>87</v>
      </c>
      <c r="G549" s="10" t="s">
        <v>86</v>
      </c>
      <c r="H549" s="10" t="s">
        <v>85</v>
      </c>
      <c r="I549" s="10" t="s">
        <v>11</v>
      </c>
      <c r="J549" s="13">
        <v>184.30754170089037</v>
      </c>
      <c r="K549" s="14"/>
      <c r="L549" t="e">
        <f>VLOOKUP(A549,Formulas!A:B,2,FALSE)</f>
        <v>#N/A</v>
      </c>
      <c r="M549" s="32"/>
    </row>
    <row r="550" spans="1:13" ht="47.5" customHeight="1">
      <c r="A550" s="10">
        <v>5338</v>
      </c>
      <c r="B550" s="11" t="s">
        <v>43</v>
      </c>
      <c r="C550" s="10" t="s">
        <v>10</v>
      </c>
      <c r="D550" s="12" t="s">
        <v>334</v>
      </c>
      <c r="E550" s="10">
        <v>1500</v>
      </c>
      <c r="F550" s="10" t="s">
        <v>87</v>
      </c>
      <c r="G550" s="10" t="s">
        <v>86</v>
      </c>
      <c r="H550" s="10" t="s">
        <v>85</v>
      </c>
      <c r="I550" s="10" t="s">
        <v>11</v>
      </c>
      <c r="J550" s="13">
        <v>184.30754170089037</v>
      </c>
      <c r="K550" s="14"/>
      <c r="L550" t="e">
        <f>VLOOKUP(A550,Formulas!A:B,2,FALSE)</f>
        <v>#N/A</v>
      </c>
      <c r="M550" s="32"/>
    </row>
    <row r="551" spans="1:13" ht="47.5" customHeight="1">
      <c r="A551" s="10">
        <v>5339</v>
      </c>
      <c r="B551" s="11" t="s">
        <v>44</v>
      </c>
      <c r="C551" s="10" t="s">
        <v>10</v>
      </c>
      <c r="D551" s="12" t="s">
        <v>334</v>
      </c>
      <c r="E551" s="12">
        <v>1500</v>
      </c>
      <c r="F551" s="10" t="s">
        <v>87</v>
      </c>
      <c r="G551" s="10" t="s">
        <v>86</v>
      </c>
      <c r="H551" s="10" t="s">
        <v>85</v>
      </c>
      <c r="I551" s="10" t="s">
        <v>11</v>
      </c>
      <c r="J551" s="13">
        <v>184.30754170089037</v>
      </c>
      <c r="K551" s="14"/>
      <c r="L551" t="e">
        <f>VLOOKUP(A551,Formulas!A:B,2,FALSE)</f>
        <v>#N/A</v>
      </c>
      <c r="M551" s="32"/>
    </row>
    <row r="552" spans="1:13" ht="47.5" customHeight="1">
      <c r="A552" s="10">
        <v>5345</v>
      </c>
      <c r="B552" s="11" t="s">
        <v>45</v>
      </c>
      <c r="C552" s="10" t="s">
        <v>10</v>
      </c>
      <c r="D552" s="12" t="s">
        <v>862</v>
      </c>
      <c r="E552" s="12">
        <v>2250</v>
      </c>
      <c r="F552" s="10" t="s">
        <v>88</v>
      </c>
      <c r="G552" s="10" t="s">
        <v>86</v>
      </c>
      <c r="H552" s="10" t="s">
        <v>85</v>
      </c>
      <c r="I552" s="10" t="s">
        <v>11</v>
      </c>
      <c r="J552" s="13">
        <v>221.48699999999999</v>
      </c>
      <c r="K552" s="14"/>
      <c r="L552" t="e">
        <f>VLOOKUP(A552,Formulas!A:B,2,FALSE)</f>
        <v>#N/A</v>
      </c>
      <c r="M552" s="32"/>
    </row>
    <row r="553" spans="1:13" ht="47.5" customHeight="1">
      <c r="A553" s="10">
        <v>5346</v>
      </c>
      <c r="B553" s="11" t="s">
        <v>46</v>
      </c>
      <c r="C553" s="10" t="s">
        <v>10</v>
      </c>
      <c r="D553" s="12" t="s">
        <v>862</v>
      </c>
      <c r="E553" s="10">
        <v>2250</v>
      </c>
      <c r="F553" s="10" t="s">
        <v>88</v>
      </c>
      <c r="G553" s="10" t="s">
        <v>86</v>
      </c>
      <c r="H553" s="10" t="s">
        <v>85</v>
      </c>
      <c r="I553" s="10" t="s">
        <v>11</v>
      </c>
      <c r="J553" s="13">
        <v>221.48699999999999</v>
      </c>
      <c r="K553" s="14"/>
      <c r="L553" t="e">
        <f>VLOOKUP(A553,Formulas!A:B,2,FALSE)</f>
        <v>#N/A</v>
      </c>
      <c r="M553" s="32"/>
    </row>
    <row r="554" spans="1:13" ht="47.5" customHeight="1">
      <c r="A554" s="10">
        <v>5347</v>
      </c>
      <c r="B554" s="11" t="s">
        <v>47</v>
      </c>
      <c r="C554" s="10" t="s">
        <v>10</v>
      </c>
      <c r="D554" s="12" t="s">
        <v>862</v>
      </c>
      <c r="E554" s="12">
        <v>2250</v>
      </c>
      <c r="F554" s="10" t="s">
        <v>88</v>
      </c>
      <c r="G554" s="10" t="s">
        <v>86</v>
      </c>
      <c r="H554" s="10" t="s">
        <v>85</v>
      </c>
      <c r="I554" s="10" t="s">
        <v>11</v>
      </c>
      <c r="J554" s="13">
        <v>221.48699999999999</v>
      </c>
      <c r="K554" s="14"/>
      <c r="L554" t="e">
        <f>VLOOKUP(A554,Formulas!A:B,2,FALSE)</f>
        <v>#N/A</v>
      </c>
      <c r="M554" s="32"/>
    </row>
    <row r="555" spans="1:13" ht="47.5" customHeight="1">
      <c r="A555" s="10">
        <v>5353</v>
      </c>
      <c r="B555" s="11" t="s">
        <v>48</v>
      </c>
      <c r="C555" s="10" t="s">
        <v>10</v>
      </c>
      <c r="D555" s="12" t="s">
        <v>840</v>
      </c>
      <c r="E555" s="12">
        <v>3000</v>
      </c>
      <c r="F555" s="10" t="s">
        <v>291</v>
      </c>
      <c r="G555" s="10" t="s">
        <v>86</v>
      </c>
      <c r="H555" s="10" t="s">
        <v>85</v>
      </c>
      <c r="I555" s="10" t="s">
        <v>11</v>
      </c>
      <c r="J555" s="13">
        <v>272.685</v>
      </c>
      <c r="K555" s="14"/>
      <c r="L555" t="e">
        <f>VLOOKUP(A555,Formulas!A:B,2,FALSE)</f>
        <v>#N/A</v>
      </c>
      <c r="M555" s="32"/>
    </row>
    <row r="556" spans="1:13" ht="47.5" customHeight="1">
      <c r="A556" s="10">
        <v>5354</v>
      </c>
      <c r="B556" s="11" t="s">
        <v>49</v>
      </c>
      <c r="C556" s="10" t="s">
        <v>10</v>
      </c>
      <c r="D556" s="12" t="s">
        <v>840</v>
      </c>
      <c r="E556" s="10">
        <v>3000</v>
      </c>
      <c r="F556" s="10" t="s">
        <v>291</v>
      </c>
      <c r="G556" s="10" t="s">
        <v>86</v>
      </c>
      <c r="H556" s="10" t="s">
        <v>85</v>
      </c>
      <c r="I556" s="10" t="s">
        <v>11</v>
      </c>
      <c r="J556" s="13">
        <v>272.685</v>
      </c>
      <c r="K556" s="14"/>
      <c r="L556" t="e">
        <f>VLOOKUP(A556,Formulas!A:B,2,FALSE)</f>
        <v>#N/A</v>
      </c>
      <c r="M556" s="32"/>
    </row>
    <row r="557" spans="1:13" ht="47.5" customHeight="1">
      <c r="A557" s="10">
        <v>5355</v>
      </c>
      <c r="B557" s="11" t="s">
        <v>50</v>
      </c>
      <c r="C557" s="10" t="s">
        <v>10</v>
      </c>
      <c r="D557" s="12" t="s">
        <v>840</v>
      </c>
      <c r="E557" s="12">
        <v>3000</v>
      </c>
      <c r="F557" s="10" t="s">
        <v>291</v>
      </c>
      <c r="G557" s="10" t="s">
        <v>86</v>
      </c>
      <c r="H557" s="10" t="s">
        <v>85</v>
      </c>
      <c r="I557" s="10" t="s">
        <v>11</v>
      </c>
      <c r="J557" s="13">
        <v>272.685</v>
      </c>
      <c r="K557" s="14"/>
      <c r="L557" t="e">
        <f>VLOOKUP(A557,Formulas!A:B,2,FALSE)</f>
        <v>#N/A</v>
      </c>
      <c r="M557" s="32"/>
    </row>
    <row r="558" spans="1:13" ht="47.5" customHeight="1">
      <c r="A558" s="10">
        <v>5369</v>
      </c>
      <c r="B558" s="11" t="s">
        <v>51</v>
      </c>
      <c r="C558" s="10" t="s">
        <v>10</v>
      </c>
      <c r="D558" s="12" t="s">
        <v>865</v>
      </c>
      <c r="E558" s="12">
        <v>1725</v>
      </c>
      <c r="F558" s="10" t="s">
        <v>87</v>
      </c>
      <c r="G558" s="10" t="s">
        <v>86</v>
      </c>
      <c r="H558" s="10" t="s">
        <v>85</v>
      </c>
      <c r="I558" s="10" t="s">
        <v>11</v>
      </c>
      <c r="J558" s="13">
        <v>277.137</v>
      </c>
      <c r="K558" s="14"/>
      <c r="L558" t="e">
        <f>VLOOKUP(A558,Formulas!A:B,2,FALSE)</f>
        <v>#N/A</v>
      </c>
      <c r="M558" s="32"/>
    </row>
    <row r="559" spans="1:13" ht="47.5" customHeight="1">
      <c r="A559" s="10">
        <v>5370</v>
      </c>
      <c r="B559" s="11" t="s">
        <v>52</v>
      </c>
      <c r="C559" s="10" t="s">
        <v>10</v>
      </c>
      <c r="D559" s="12" t="s">
        <v>865</v>
      </c>
      <c r="E559" s="10">
        <v>1725</v>
      </c>
      <c r="F559" s="10" t="s">
        <v>87</v>
      </c>
      <c r="G559" s="10" t="s">
        <v>86</v>
      </c>
      <c r="H559" s="10" t="s">
        <v>85</v>
      </c>
      <c r="I559" s="10" t="s">
        <v>11</v>
      </c>
      <c r="J559" s="13">
        <v>277.137</v>
      </c>
      <c r="K559" s="14"/>
      <c r="L559" t="e">
        <f>VLOOKUP(A559,Formulas!A:B,2,FALSE)</f>
        <v>#N/A</v>
      </c>
      <c r="M559" s="32"/>
    </row>
    <row r="560" spans="1:13" ht="47.5" customHeight="1">
      <c r="A560" s="10">
        <v>5371</v>
      </c>
      <c r="B560" s="11" t="s">
        <v>53</v>
      </c>
      <c r="C560" s="10" t="s">
        <v>10</v>
      </c>
      <c r="D560" s="12" t="s">
        <v>865</v>
      </c>
      <c r="E560" s="12">
        <v>1725</v>
      </c>
      <c r="F560" s="10" t="s">
        <v>87</v>
      </c>
      <c r="G560" s="10" t="s">
        <v>86</v>
      </c>
      <c r="H560" s="10" t="s">
        <v>85</v>
      </c>
      <c r="I560" s="10" t="s">
        <v>11</v>
      </c>
      <c r="J560" s="13">
        <v>277.137</v>
      </c>
      <c r="K560" s="14"/>
      <c r="L560" t="e">
        <f>VLOOKUP(A560,Formulas!A:B,2,FALSE)</f>
        <v>#N/A</v>
      </c>
      <c r="M560" s="32"/>
    </row>
    <row r="561" spans="1:13" ht="47.5" customHeight="1">
      <c r="A561" s="10">
        <v>5377</v>
      </c>
      <c r="B561" s="11" t="s">
        <v>54</v>
      </c>
      <c r="C561" s="10" t="s">
        <v>10</v>
      </c>
      <c r="D561" s="12" t="s">
        <v>866</v>
      </c>
      <c r="E561" s="12">
        <v>2475</v>
      </c>
      <c r="F561" s="10" t="s">
        <v>88</v>
      </c>
      <c r="G561" s="10" t="s">
        <v>86</v>
      </c>
      <c r="H561" s="10" t="s">
        <v>85</v>
      </c>
      <c r="I561" s="10" t="s">
        <v>11</v>
      </c>
      <c r="J561" s="13">
        <v>310.52699999999999</v>
      </c>
      <c r="K561" s="14"/>
      <c r="L561" t="e">
        <f>VLOOKUP(A561,Formulas!A:B,2,FALSE)</f>
        <v>#N/A</v>
      </c>
      <c r="M561" s="32"/>
    </row>
    <row r="562" spans="1:13" ht="47.5" customHeight="1">
      <c r="A562" s="10">
        <v>5378</v>
      </c>
      <c r="B562" s="11" t="s">
        <v>55</v>
      </c>
      <c r="C562" s="10" t="s">
        <v>10</v>
      </c>
      <c r="D562" s="12" t="s">
        <v>866</v>
      </c>
      <c r="E562" s="10">
        <v>2475</v>
      </c>
      <c r="F562" s="10" t="s">
        <v>88</v>
      </c>
      <c r="G562" s="10" t="s">
        <v>86</v>
      </c>
      <c r="H562" s="10" t="s">
        <v>85</v>
      </c>
      <c r="I562" s="10" t="s">
        <v>11</v>
      </c>
      <c r="J562" s="13">
        <v>310.52699999999999</v>
      </c>
      <c r="K562" s="14"/>
      <c r="L562" t="e">
        <f>VLOOKUP(A562,Formulas!A:B,2,FALSE)</f>
        <v>#N/A</v>
      </c>
      <c r="M562" s="32"/>
    </row>
    <row r="563" spans="1:13" ht="47.5" customHeight="1">
      <c r="A563" s="10">
        <v>5379</v>
      </c>
      <c r="B563" s="11" t="s">
        <v>56</v>
      </c>
      <c r="C563" s="10" t="s">
        <v>10</v>
      </c>
      <c r="D563" s="12" t="s">
        <v>867</v>
      </c>
      <c r="E563" s="12">
        <v>2475</v>
      </c>
      <c r="F563" s="10" t="s">
        <v>88</v>
      </c>
      <c r="G563" s="10" t="s">
        <v>86</v>
      </c>
      <c r="H563" s="10" t="s">
        <v>85</v>
      </c>
      <c r="I563" s="10" t="s">
        <v>11</v>
      </c>
      <c r="J563" s="13">
        <v>310.52699999999999</v>
      </c>
      <c r="K563" s="14"/>
      <c r="L563" t="e">
        <f>VLOOKUP(A563,Formulas!A:B,2,FALSE)</f>
        <v>#N/A</v>
      </c>
      <c r="M563" s="32"/>
    </row>
    <row r="564" spans="1:13" ht="47.5" customHeight="1">
      <c r="A564" s="10">
        <v>5385</v>
      </c>
      <c r="B564" s="11" t="s">
        <v>57</v>
      </c>
      <c r="C564" s="10" t="s">
        <v>10</v>
      </c>
      <c r="D564" s="12" t="s">
        <v>863</v>
      </c>
      <c r="E564" s="12">
        <v>3225</v>
      </c>
      <c r="F564" s="10" t="s">
        <v>291</v>
      </c>
      <c r="G564" s="10" t="s">
        <v>86</v>
      </c>
      <c r="H564" s="10" t="s">
        <v>85</v>
      </c>
      <c r="I564" s="10" t="s">
        <v>11</v>
      </c>
      <c r="J564" s="13">
        <v>366.17700000000002</v>
      </c>
      <c r="K564" s="14"/>
      <c r="L564" t="e">
        <f>VLOOKUP(A564,Formulas!A:B,2,FALSE)</f>
        <v>#N/A</v>
      </c>
      <c r="M564" s="32"/>
    </row>
    <row r="565" spans="1:13" ht="47.5" customHeight="1">
      <c r="A565" s="10">
        <v>5386</v>
      </c>
      <c r="B565" s="11" t="s">
        <v>58</v>
      </c>
      <c r="C565" s="10" t="s">
        <v>10</v>
      </c>
      <c r="D565" s="12" t="s">
        <v>863</v>
      </c>
      <c r="E565" s="10">
        <v>3225</v>
      </c>
      <c r="F565" s="10" t="s">
        <v>291</v>
      </c>
      <c r="G565" s="10" t="s">
        <v>86</v>
      </c>
      <c r="H565" s="10" t="s">
        <v>85</v>
      </c>
      <c r="I565" s="10" t="s">
        <v>11</v>
      </c>
      <c r="J565" s="13">
        <v>366.17700000000002</v>
      </c>
      <c r="K565" s="14"/>
      <c r="L565" t="e">
        <f>VLOOKUP(A565,Formulas!A:B,2,FALSE)</f>
        <v>#N/A</v>
      </c>
      <c r="M565" s="32"/>
    </row>
    <row r="566" spans="1:13" ht="47.5" customHeight="1">
      <c r="A566" s="10">
        <v>5387</v>
      </c>
      <c r="B566" s="11" t="s">
        <v>59</v>
      </c>
      <c r="C566" s="10" t="s">
        <v>10</v>
      </c>
      <c r="D566" s="12" t="s">
        <v>864</v>
      </c>
      <c r="E566" s="12">
        <v>3225</v>
      </c>
      <c r="F566" s="10" t="s">
        <v>291</v>
      </c>
      <c r="G566" s="10" t="s">
        <v>86</v>
      </c>
      <c r="H566" s="10" t="s">
        <v>85</v>
      </c>
      <c r="I566" s="10" t="s">
        <v>11</v>
      </c>
      <c r="J566" s="13">
        <v>366.17700000000002</v>
      </c>
      <c r="K566" s="14"/>
      <c r="L566" t="e">
        <f>VLOOKUP(A566,Formulas!A:B,2,FALSE)</f>
        <v>#N/A</v>
      </c>
      <c r="M566" s="32"/>
    </row>
    <row r="567" spans="1:13" ht="47.5" customHeight="1">
      <c r="A567" s="10">
        <v>5401</v>
      </c>
      <c r="B567" s="11" t="s">
        <v>60</v>
      </c>
      <c r="C567" s="10" t="s">
        <v>10</v>
      </c>
      <c r="D567" s="12" t="s">
        <v>768</v>
      </c>
      <c r="E567" s="12">
        <v>375</v>
      </c>
      <c r="F567" s="10" t="s">
        <v>778</v>
      </c>
      <c r="G567" s="10" t="s">
        <v>203</v>
      </c>
      <c r="H567" s="10" t="s">
        <v>103</v>
      </c>
      <c r="I567" s="10" t="s">
        <v>11</v>
      </c>
      <c r="J567" s="13">
        <v>199.227</v>
      </c>
      <c r="K567" s="14"/>
      <c r="L567" t="e">
        <f>VLOOKUP(A567,Formulas!A:B,2,FALSE)</f>
        <v>#N/A</v>
      </c>
      <c r="M567" s="32"/>
    </row>
    <row r="568" spans="1:13" ht="47.5" customHeight="1">
      <c r="A568" s="10">
        <v>5402</v>
      </c>
      <c r="B568" s="11" t="s">
        <v>61</v>
      </c>
      <c r="C568" s="10" t="s">
        <v>10</v>
      </c>
      <c r="D568" s="12" t="s">
        <v>768</v>
      </c>
      <c r="E568" s="10">
        <v>375</v>
      </c>
      <c r="F568" s="10" t="s">
        <v>778</v>
      </c>
      <c r="G568" s="10" t="s">
        <v>203</v>
      </c>
      <c r="H568" s="10" t="s">
        <v>103</v>
      </c>
      <c r="I568" s="10" t="s">
        <v>11</v>
      </c>
      <c r="J568" s="13">
        <v>199.227</v>
      </c>
      <c r="K568" s="14"/>
      <c r="L568" t="e">
        <f>VLOOKUP(A568,Formulas!A:B,2,FALSE)</f>
        <v>#N/A</v>
      </c>
      <c r="M568" s="32"/>
    </row>
    <row r="569" spans="1:13" ht="47.5" customHeight="1">
      <c r="A569" s="10">
        <v>5403</v>
      </c>
      <c r="B569" s="11" t="s">
        <v>62</v>
      </c>
      <c r="C569" s="10" t="s">
        <v>10</v>
      </c>
      <c r="D569" s="12" t="s">
        <v>768</v>
      </c>
      <c r="E569" s="12">
        <v>375</v>
      </c>
      <c r="F569" s="10" t="s">
        <v>778</v>
      </c>
      <c r="G569" s="10" t="s">
        <v>203</v>
      </c>
      <c r="H569" s="10" t="s">
        <v>103</v>
      </c>
      <c r="I569" s="10" t="s">
        <v>11</v>
      </c>
      <c r="J569" s="13">
        <v>199.227</v>
      </c>
      <c r="K569" s="14"/>
      <c r="L569" t="e">
        <f>VLOOKUP(A569,Formulas!A:B,2,FALSE)</f>
        <v>#N/A</v>
      </c>
      <c r="M569" s="32"/>
    </row>
    <row r="570" spans="1:13" ht="47.5" customHeight="1">
      <c r="A570" s="10">
        <v>5404</v>
      </c>
      <c r="B570" s="11" t="s">
        <v>83</v>
      </c>
      <c r="C570" s="10" t="s">
        <v>10</v>
      </c>
      <c r="D570" s="12" t="s">
        <v>768</v>
      </c>
      <c r="E570" s="10">
        <v>375</v>
      </c>
      <c r="F570" s="10" t="s">
        <v>778</v>
      </c>
      <c r="G570" s="10" t="s">
        <v>203</v>
      </c>
      <c r="H570" s="10" t="s">
        <v>103</v>
      </c>
      <c r="I570" s="10" t="s">
        <v>11</v>
      </c>
      <c r="J570" s="13">
        <v>199.227</v>
      </c>
      <c r="K570" s="14"/>
      <c r="L570" t="e">
        <f>VLOOKUP(A570,Formulas!A:B,2,FALSE)</f>
        <v>#N/A</v>
      </c>
      <c r="M570" s="32"/>
    </row>
    <row r="571" spans="1:13" ht="47.5" customHeight="1">
      <c r="A571" s="10">
        <v>5405</v>
      </c>
      <c r="B571" s="11" t="s">
        <v>63</v>
      </c>
      <c r="C571" s="10" t="s">
        <v>10</v>
      </c>
      <c r="D571" s="12" t="s">
        <v>768</v>
      </c>
      <c r="E571" s="12">
        <v>375</v>
      </c>
      <c r="F571" s="10" t="s">
        <v>778</v>
      </c>
      <c r="G571" s="10" t="s">
        <v>203</v>
      </c>
      <c r="H571" s="10" t="s">
        <v>103</v>
      </c>
      <c r="I571" s="10" t="s">
        <v>11</v>
      </c>
      <c r="J571" s="13">
        <v>199.227</v>
      </c>
      <c r="K571" s="14"/>
      <c r="L571" t="e">
        <f>VLOOKUP(A571,Formulas!A:B,2,FALSE)</f>
        <v>#N/A</v>
      </c>
      <c r="M571" s="32"/>
    </row>
    <row r="572" spans="1:13" ht="47.5" customHeight="1">
      <c r="A572" s="10">
        <v>5406</v>
      </c>
      <c r="B572" s="11" t="s">
        <v>64</v>
      </c>
      <c r="C572" s="10" t="s">
        <v>10</v>
      </c>
      <c r="D572" s="12" t="s">
        <v>768</v>
      </c>
      <c r="E572" s="10">
        <v>375</v>
      </c>
      <c r="F572" s="10" t="s">
        <v>778</v>
      </c>
      <c r="G572" s="10" t="s">
        <v>203</v>
      </c>
      <c r="H572" s="10" t="s">
        <v>103</v>
      </c>
      <c r="I572" s="10" t="s">
        <v>11</v>
      </c>
      <c r="J572" s="13">
        <v>199.227</v>
      </c>
      <c r="K572" s="14"/>
      <c r="L572" t="e">
        <f>VLOOKUP(A572,Formulas!A:B,2,FALSE)</f>
        <v>#N/A</v>
      </c>
      <c r="M572" s="32"/>
    </row>
    <row r="573" spans="1:13" ht="47.5" customHeight="1">
      <c r="A573" s="10">
        <v>5407</v>
      </c>
      <c r="B573" s="11" t="s">
        <v>65</v>
      </c>
      <c r="C573" s="10" t="s">
        <v>10</v>
      </c>
      <c r="D573" s="12" t="s">
        <v>768</v>
      </c>
      <c r="E573" s="12">
        <v>375</v>
      </c>
      <c r="F573" s="10" t="s">
        <v>778</v>
      </c>
      <c r="G573" s="10" t="s">
        <v>203</v>
      </c>
      <c r="H573" s="10" t="s">
        <v>103</v>
      </c>
      <c r="I573" s="10" t="s">
        <v>11</v>
      </c>
      <c r="J573" s="13">
        <v>199.227</v>
      </c>
      <c r="K573" s="14"/>
      <c r="L573" t="e">
        <f>VLOOKUP(A573,Formulas!A:B,2,FALSE)</f>
        <v>#N/A</v>
      </c>
      <c r="M573" s="32"/>
    </row>
    <row r="574" spans="1:13" ht="47.5" customHeight="1">
      <c r="A574" s="10">
        <v>5408</v>
      </c>
      <c r="B574" s="11" t="s">
        <v>82</v>
      </c>
      <c r="C574" s="10" t="s">
        <v>10</v>
      </c>
      <c r="D574" s="12" t="s">
        <v>768</v>
      </c>
      <c r="E574" s="10">
        <v>375</v>
      </c>
      <c r="F574" s="10" t="s">
        <v>778</v>
      </c>
      <c r="G574" s="10" t="s">
        <v>203</v>
      </c>
      <c r="H574" s="10" t="s">
        <v>103</v>
      </c>
      <c r="I574" s="10" t="s">
        <v>11</v>
      </c>
      <c r="J574" s="13">
        <v>199.227</v>
      </c>
      <c r="K574" s="14"/>
      <c r="L574" t="e">
        <f>VLOOKUP(A574,Formulas!A:B,2,FALSE)</f>
        <v>#N/A</v>
      </c>
      <c r="M574" s="32"/>
    </row>
    <row r="575" spans="1:13" ht="47.5" customHeight="1">
      <c r="A575" s="10">
        <v>5409</v>
      </c>
      <c r="B575" s="11" t="s">
        <v>66</v>
      </c>
      <c r="C575" s="10" t="s">
        <v>10</v>
      </c>
      <c r="D575" s="12" t="s">
        <v>99</v>
      </c>
      <c r="E575" s="12">
        <v>825</v>
      </c>
      <c r="F575" s="10" t="s">
        <v>779</v>
      </c>
      <c r="G575" s="10" t="s">
        <v>203</v>
      </c>
      <c r="H575" s="10" t="s">
        <v>103</v>
      </c>
      <c r="I575" s="10" t="s">
        <v>11</v>
      </c>
      <c r="J575" s="13">
        <v>212.58300000000003</v>
      </c>
      <c r="K575" s="14"/>
      <c r="L575" t="e">
        <f>VLOOKUP(A575,Formulas!A:B,2,FALSE)</f>
        <v>#N/A</v>
      </c>
      <c r="M575" s="32"/>
    </row>
    <row r="576" spans="1:13" ht="47.5" customHeight="1">
      <c r="A576" s="10">
        <v>5410</v>
      </c>
      <c r="B576" s="11" t="s">
        <v>67</v>
      </c>
      <c r="C576" s="10" t="s">
        <v>10</v>
      </c>
      <c r="D576" s="12" t="s">
        <v>99</v>
      </c>
      <c r="E576" s="10">
        <v>825</v>
      </c>
      <c r="F576" s="10" t="s">
        <v>779</v>
      </c>
      <c r="G576" s="10" t="s">
        <v>203</v>
      </c>
      <c r="H576" s="10" t="s">
        <v>103</v>
      </c>
      <c r="I576" s="10" t="s">
        <v>11</v>
      </c>
      <c r="J576" s="13">
        <v>212.58300000000003</v>
      </c>
      <c r="K576" s="14"/>
      <c r="L576" t="e">
        <f>VLOOKUP(A576,Formulas!A:B,2,FALSE)</f>
        <v>#N/A</v>
      </c>
      <c r="M576" s="32"/>
    </row>
    <row r="577" spans="1:13" ht="47.5" hidden="1" customHeight="1">
      <c r="A577" s="10">
        <v>5411</v>
      </c>
      <c r="B577" s="11" t="s">
        <v>68</v>
      </c>
      <c r="C577" s="10" t="s">
        <v>10</v>
      </c>
      <c r="D577" s="12" t="s">
        <v>99</v>
      </c>
      <c r="E577" s="12">
        <v>825</v>
      </c>
      <c r="F577" s="10" t="s">
        <v>779</v>
      </c>
      <c r="G577" s="10" t="s">
        <v>203</v>
      </c>
      <c r="H577" s="10" t="s">
        <v>103</v>
      </c>
      <c r="I577" s="10" t="s">
        <v>11</v>
      </c>
      <c r="J577" s="13">
        <v>212.58300000000003</v>
      </c>
      <c r="K577" s="14"/>
      <c r="L577" t="str">
        <f>VLOOKUP(A577,Formulas!A:B,2,FALSE)</f>
        <v>177604</v>
      </c>
      <c r="M577" s="32"/>
    </row>
    <row r="578" spans="1:13" ht="47.5" customHeight="1">
      <c r="A578" s="10">
        <v>5412</v>
      </c>
      <c r="B578" s="11" t="s">
        <v>81</v>
      </c>
      <c r="C578" s="10" t="s">
        <v>10</v>
      </c>
      <c r="D578" s="12" t="s">
        <v>99</v>
      </c>
      <c r="E578" s="10">
        <v>825</v>
      </c>
      <c r="F578" s="10" t="s">
        <v>779</v>
      </c>
      <c r="G578" s="10" t="s">
        <v>203</v>
      </c>
      <c r="H578" s="10" t="s">
        <v>103</v>
      </c>
      <c r="I578" s="10" t="s">
        <v>11</v>
      </c>
      <c r="J578" s="13">
        <v>212.58300000000003</v>
      </c>
      <c r="K578" s="14"/>
      <c r="L578" t="e">
        <f>VLOOKUP(A578,Formulas!A:B,2,FALSE)</f>
        <v>#N/A</v>
      </c>
      <c r="M578" s="32"/>
    </row>
    <row r="579" spans="1:13" ht="47.5" customHeight="1">
      <c r="A579" s="10">
        <v>5413</v>
      </c>
      <c r="B579" s="11" t="s">
        <v>69</v>
      </c>
      <c r="C579" s="10" t="s">
        <v>10</v>
      </c>
      <c r="D579" s="12" t="s">
        <v>99</v>
      </c>
      <c r="E579" s="12">
        <v>825</v>
      </c>
      <c r="F579" s="10" t="s">
        <v>779</v>
      </c>
      <c r="G579" s="10" t="s">
        <v>203</v>
      </c>
      <c r="H579" s="10" t="s">
        <v>103</v>
      </c>
      <c r="I579" s="10" t="s">
        <v>11</v>
      </c>
      <c r="J579" s="13">
        <v>212.58300000000003</v>
      </c>
      <c r="K579" s="14"/>
      <c r="L579" t="e">
        <f>VLOOKUP(A579,Formulas!A:B,2,FALSE)</f>
        <v>#N/A</v>
      </c>
      <c r="M579" s="32"/>
    </row>
    <row r="580" spans="1:13" ht="47.5" customHeight="1">
      <c r="A580" s="10">
        <v>5414</v>
      </c>
      <c r="B580" s="11" t="s">
        <v>70</v>
      </c>
      <c r="C580" s="10" t="s">
        <v>10</v>
      </c>
      <c r="D580" s="12" t="s">
        <v>99</v>
      </c>
      <c r="E580" s="10">
        <v>825</v>
      </c>
      <c r="F580" s="10" t="s">
        <v>779</v>
      </c>
      <c r="G580" s="10" t="s">
        <v>203</v>
      </c>
      <c r="H580" s="10" t="s">
        <v>103</v>
      </c>
      <c r="I580" s="10" t="s">
        <v>11</v>
      </c>
      <c r="J580" s="13">
        <v>212.58300000000003</v>
      </c>
      <c r="K580" s="14"/>
      <c r="L580" t="e">
        <f>VLOOKUP(A580,Formulas!A:B,2,FALSE)</f>
        <v>#N/A</v>
      </c>
      <c r="M580" s="32"/>
    </row>
    <row r="581" spans="1:13" ht="47.5" customHeight="1">
      <c r="A581" s="10">
        <v>5415</v>
      </c>
      <c r="B581" s="11" t="s">
        <v>71</v>
      </c>
      <c r="C581" s="10" t="s">
        <v>10</v>
      </c>
      <c r="D581" s="12" t="s">
        <v>99</v>
      </c>
      <c r="E581" s="12">
        <v>825</v>
      </c>
      <c r="F581" s="10" t="s">
        <v>779</v>
      </c>
      <c r="G581" s="10" t="s">
        <v>203</v>
      </c>
      <c r="H581" s="10" t="s">
        <v>103</v>
      </c>
      <c r="I581" s="10" t="s">
        <v>11</v>
      </c>
      <c r="J581" s="13">
        <v>212.58300000000003</v>
      </c>
      <c r="K581" s="14"/>
      <c r="L581" t="e">
        <f>VLOOKUP(A581,Formulas!A:B,2,FALSE)</f>
        <v>#N/A</v>
      </c>
      <c r="M581" s="32"/>
    </row>
    <row r="582" spans="1:13" ht="47.5" customHeight="1">
      <c r="A582" s="10">
        <v>5416</v>
      </c>
      <c r="B582" s="11" t="s">
        <v>80</v>
      </c>
      <c r="C582" s="10" t="s">
        <v>10</v>
      </c>
      <c r="D582" s="12" t="s">
        <v>99</v>
      </c>
      <c r="E582" s="10">
        <v>825</v>
      </c>
      <c r="F582" s="10" t="s">
        <v>779</v>
      </c>
      <c r="G582" s="10" t="s">
        <v>203</v>
      </c>
      <c r="H582" s="10" t="s">
        <v>103</v>
      </c>
      <c r="I582" s="10" t="s">
        <v>11</v>
      </c>
      <c r="J582" s="13">
        <v>212.58300000000003</v>
      </c>
      <c r="K582" s="14"/>
      <c r="L582" t="e">
        <f>VLOOKUP(A582,Formulas!A:B,2,FALSE)</f>
        <v>#N/A</v>
      </c>
      <c r="M582" s="32"/>
    </row>
    <row r="583" spans="1:13" ht="47.5" customHeight="1">
      <c r="A583" s="10">
        <v>5417</v>
      </c>
      <c r="B583" s="11" t="s">
        <v>72</v>
      </c>
      <c r="C583" s="10" t="s">
        <v>10</v>
      </c>
      <c r="D583" s="12" t="s">
        <v>769</v>
      </c>
      <c r="E583" s="10">
        <v>1200</v>
      </c>
      <c r="F583" s="10" t="s">
        <v>88</v>
      </c>
      <c r="G583" s="10" t="s">
        <v>203</v>
      </c>
      <c r="H583" s="10" t="s">
        <v>103</v>
      </c>
      <c r="I583" s="10" t="s">
        <v>11</v>
      </c>
      <c r="J583" s="13">
        <v>243.10401929631598</v>
      </c>
      <c r="K583" s="14"/>
      <c r="L583" t="e">
        <f>VLOOKUP(A583,Formulas!A:B,2,FALSE)</f>
        <v>#N/A</v>
      </c>
      <c r="M583" s="32"/>
    </row>
    <row r="584" spans="1:13" ht="47.5" customHeight="1">
      <c r="A584" s="10">
        <v>5418</v>
      </c>
      <c r="B584" s="11" t="s">
        <v>73</v>
      </c>
      <c r="C584" s="10" t="s">
        <v>10</v>
      </c>
      <c r="D584" s="12" t="s">
        <v>769</v>
      </c>
      <c r="E584" s="10">
        <v>1200</v>
      </c>
      <c r="F584" s="10" t="s">
        <v>88</v>
      </c>
      <c r="G584" s="10" t="s">
        <v>203</v>
      </c>
      <c r="H584" s="10" t="s">
        <v>103</v>
      </c>
      <c r="I584" s="10" t="s">
        <v>11</v>
      </c>
      <c r="J584" s="13">
        <v>243.10401929631598</v>
      </c>
      <c r="K584" s="14"/>
      <c r="L584" t="e">
        <f>VLOOKUP(A584,Formulas!A:B,2,FALSE)</f>
        <v>#N/A</v>
      </c>
      <c r="M584" s="32"/>
    </row>
    <row r="585" spans="1:13" ht="47.5" hidden="1" customHeight="1">
      <c r="A585" s="10">
        <v>5419</v>
      </c>
      <c r="B585" s="11" t="s">
        <v>74</v>
      </c>
      <c r="C585" s="10" t="s">
        <v>10</v>
      </c>
      <c r="D585" s="12" t="s">
        <v>769</v>
      </c>
      <c r="E585" s="12">
        <v>1200</v>
      </c>
      <c r="F585" s="10" t="s">
        <v>88</v>
      </c>
      <c r="G585" s="10" t="s">
        <v>203</v>
      </c>
      <c r="H585" s="10" t="s">
        <v>103</v>
      </c>
      <c r="I585" s="10" t="s">
        <v>11</v>
      </c>
      <c r="J585" s="13">
        <v>243.10401929631598</v>
      </c>
      <c r="K585" s="14"/>
      <c r="L585" t="str">
        <f>VLOOKUP(A585,Formulas!A:B,2,FALSE)</f>
        <v>178789</v>
      </c>
      <c r="M585" s="32"/>
    </row>
    <row r="586" spans="1:13" ht="47.5" customHeight="1">
      <c r="A586" s="10">
        <v>5420</v>
      </c>
      <c r="B586" s="11" t="s">
        <v>79</v>
      </c>
      <c r="C586" s="10" t="s">
        <v>10</v>
      </c>
      <c r="D586" s="12" t="s">
        <v>769</v>
      </c>
      <c r="E586" s="10">
        <v>1200</v>
      </c>
      <c r="F586" s="10" t="s">
        <v>88</v>
      </c>
      <c r="G586" s="10" t="s">
        <v>203</v>
      </c>
      <c r="H586" s="10" t="s">
        <v>103</v>
      </c>
      <c r="I586" s="10" t="s">
        <v>11</v>
      </c>
      <c r="J586" s="13">
        <v>243.10401929631598</v>
      </c>
      <c r="K586" s="14"/>
      <c r="L586" t="e">
        <f>VLOOKUP(A586,Formulas!A:B,2,FALSE)</f>
        <v>#N/A</v>
      </c>
      <c r="M586" s="32"/>
    </row>
    <row r="587" spans="1:13" ht="47.5" customHeight="1">
      <c r="A587" s="10">
        <v>5421</v>
      </c>
      <c r="B587" s="11" t="s">
        <v>75</v>
      </c>
      <c r="C587" s="10" t="s">
        <v>10</v>
      </c>
      <c r="D587" s="12" t="s">
        <v>769</v>
      </c>
      <c r="E587" s="12">
        <v>1200</v>
      </c>
      <c r="F587" s="10" t="s">
        <v>88</v>
      </c>
      <c r="G587" s="10" t="s">
        <v>203</v>
      </c>
      <c r="H587" s="10" t="s">
        <v>103</v>
      </c>
      <c r="I587" s="10" t="s">
        <v>11</v>
      </c>
      <c r="J587" s="13">
        <v>243.10401929631598</v>
      </c>
      <c r="K587" s="14"/>
      <c r="L587" t="e">
        <f>VLOOKUP(A587,Formulas!A:B,2,FALSE)</f>
        <v>#N/A</v>
      </c>
      <c r="M587" s="32"/>
    </row>
    <row r="588" spans="1:13" ht="47.5" customHeight="1">
      <c r="A588" s="10">
        <v>5422</v>
      </c>
      <c r="B588" s="11" t="s">
        <v>76</v>
      </c>
      <c r="C588" s="10" t="s">
        <v>10</v>
      </c>
      <c r="D588" s="12" t="s">
        <v>769</v>
      </c>
      <c r="E588" s="10">
        <v>1200</v>
      </c>
      <c r="F588" s="10" t="s">
        <v>88</v>
      </c>
      <c r="G588" s="10" t="s">
        <v>203</v>
      </c>
      <c r="H588" s="10" t="s">
        <v>103</v>
      </c>
      <c r="I588" s="10" t="s">
        <v>11</v>
      </c>
      <c r="J588" s="13">
        <v>243.10401929631598</v>
      </c>
      <c r="K588" s="14"/>
      <c r="L588" t="e">
        <f>VLOOKUP(A588,Formulas!A:B,2,FALSE)</f>
        <v>#N/A</v>
      </c>
      <c r="M588" s="32"/>
    </row>
    <row r="589" spans="1:13" ht="47.5" customHeight="1">
      <c r="A589" s="10">
        <v>5423</v>
      </c>
      <c r="B589" s="11" t="s">
        <v>77</v>
      </c>
      <c r="C589" s="10" t="s">
        <v>10</v>
      </c>
      <c r="D589" s="12" t="s">
        <v>769</v>
      </c>
      <c r="E589" s="12">
        <v>1200</v>
      </c>
      <c r="F589" s="10" t="s">
        <v>88</v>
      </c>
      <c r="G589" s="10" t="s">
        <v>203</v>
      </c>
      <c r="H589" s="10" t="s">
        <v>103</v>
      </c>
      <c r="I589" s="10" t="s">
        <v>11</v>
      </c>
      <c r="J589" s="13">
        <v>243.10401929631598</v>
      </c>
      <c r="K589" s="14"/>
      <c r="L589" t="e">
        <f>VLOOKUP(A589,Formulas!A:B,2,FALSE)</f>
        <v>#N/A</v>
      </c>
      <c r="M589" s="32"/>
    </row>
    <row r="590" spans="1:13" ht="47.5" customHeight="1">
      <c r="A590" s="10">
        <v>5424</v>
      </c>
      <c r="B590" s="11" t="s">
        <v>78</v>
      </c>
      <c r="C590" s="10" t="s">
        <v>10</v>
      </c>
      <c r="D590" s="12" t="s">
        <v>769</v>
      </c>
      <c r="E590" s="10">
        <v>1200</v>
      </c>
      <c r="F590" s="10" t="s">
        <v>88</v>
      </c>
      <c r="G590" s="10" t="s">
        <v>203</v>
      </c>
      <c r="H590" s="10" t="s">
        <v>103</v>
      </c>
      <c r="I590" s="10" t="s">
        <v>11</v>
      </c>
      <c r="J590" s="13">
        <v>243.10401929631598</v>
      </c>
      <c r="K590" s="14"/>
      <c r="L590" t="e">
        <f>VLOOKUP(A590,Formulas!A:B,2,FALSE)</f>
        <v>#N/A</v>
      </c>
      <c r="M590" s="32"/>
    </row>
    <row r="591" spans="1:13" ht="47.5" customHeight="1">
      <c r="A591" s="10">
        <v>5433</v>
      </c>
      <c r="B591" s="11" t="s">
        <v>1584</v>
      </c>
      <c r="C591" s="10" t="s">
        <v>10</v>
      </c>
      <c r="D591" s="12" t="s">
        <v>107</v>
      </c>
      <c r="E591" s="12">
        <v>1260</v>
      </c>
      <c r="F591" s="10" t="s">
        <v>415</v>
      </c>
      <c r="G591" s="10" t="s">
        <v>93</v>
      </c>
      <c r="H591" s="10" t="s">
        <v>93</v>
      </c>
      <c r="I591" s="10" t="s">
        <v>11</v>
      </c>
      <c r="J591" s="13">
        <v>290.44</v>
      </c>
      <c r="K591" s="14"/>
      <c r="L591" t="e">
        <f>VLOOKUP(A591,Formulas!A:B,2,FALSE)</f>
        <v>#N/A</v>
      </c>
      <c r="M591" s="32"/>
    </row>
    <row r="592" spans="1:13" ht="47.5" customHeight="1">
      <c r="A592" s="10">
        <v>5434</v>
      </c>
      <c r="B592" s="11" t="s">
        <v>109</v>
      </c>
      <c r="C592" s="10" t="s">
        <v>10</v>
      </c>
      <c r="D592" s="12" t="s">
        <v>107</v>
      </c>
      <c r="E592" s="12">
        <v>1260</v>
      </c>
      <c r="F592" s="10" t="s">
        <v>415</v>
      </c>
      <c r="G592" s="10" t="s">
        <v>93</v>
      </c>
      <c r="H592" s="10" t="s">
        <v>93</v>
      </c>
      <c r="I592" s="10" t="s">
        <v>11</v>
      </c>
      <c r="J592" s="13">
        <v>290.44</v>
      </c>
      <c r="K592" s="14"/>
      <c r="L592" t="e">
        <f>VLOOKUP(A592,Formulas!A:B,2,FALSE)</f>
        <v>#N/A</v>
      </c>
      <c r="M592" s="32"/>
    </row>
    <row r="593" spans="1:13" ht="47.5" customHeight="1">
      <c r="A593" s="10">
        <v>5435</v>
      </c>
      <c r="B593" s="11" t="s">
        <v>1585</v>
      </c>
      <c r="C593" s="10" t="s">
        <v>10</v>
      </c>
      <c r="D593" s="12" t="s">
        <v>107</v>
      </c>
      <c r="E593" s="12">
        <v>1260</v>
      </c>
      <c r="F593" s="10" t="s">
        <v>415</v>
      </c>
      <c r="G593" s="10" t="s">
        <v>93</v>
      </c>
      <c r="H593" s="10" t="s">
        <v>93</v>
      </c>
      <c r="I593" s="10" t="s">
        <v>11</v>
      </c>
      <c r="J593" s="13">
        <v>290.44</v>
      </c>
      <c r="K593" s="14"/>
      <c r="L593" t="e">
        <f>VLOOKUP(A593,Formulas!A:B,2,FALSE)</f>
        <v>#N/A</v>
      </c>
      <c r="M593" s="32"/>
    </row>
    <row r="594" spans="1:13" ht="47.5" customHeight="1">
      <c r="A594" s="10">
        <v>5439</v>
      </c>
      <c r="B594" s="11" t="s">
        <v>1586</v>
      </c>
      <c r="C594" s="10" t="s">
        <v>10</v>
      </c>
      <c r="D594" s="12" t="s">
        <v>1566</v>
      </c>
      <c r="E594" s="12">
        <v>2520</v>
      </c>
      <c r="F594" s="10" t="s">
        <v>415</v>
      </c>
      <c r="G594" s="10" t="s">
        <v>94</v>
      </c>
      <c r="H594" s="10" t="s">
        <v>94</v>
      </c>
      <c r="I594" s="10" t="s">
        <v>11</v>
      </c>
      <c r="J594" s="13">
        <v>385.84000000000003</v>
      </c>
      <c r="K594" s="14"/>
      <c r="L594" t="e">
        <f>VLOOKUP(A594,Formulas!A:B,2,FALSE)</f>
        <v>#N/A</v>
      </c>
      <c r="M594" s="32"/>
    </row>
    <row r="595" spans="1:13" ht="47.5" customHeight="1">
      <c r="A595" s="10">
        <v>5440</v>
      </c>
      <c r="B595" s="11" t="s">
        <v>1587</v>
      </c>
      <c r="C595" s="10" t="s">
        <v>10</v>
      </c>
      <c r="D595" s="12" t="s">
        <v>1566</v>
      </c>
      <c r="E595" s="12">
        <v>2520</v>
      </c>
      <c r="F595" s="10" t="s">
        <v>415</v>
      </c>
      <c r="G595" s="10" t="s">
        <v>94</v>
      </c>
      <c r="H595" s="10" t="s">
        <v>94</v>
      </c>
      <c r="I595" s="10" t="s">
        <v>11</v>
      </c>
      <c r="J595" s="13">
        <v>385.84000000000003</v>
      </c>
      <c r="K595" s="14"/>
      <c r="L595" t="e">
        <f>VLOOKUP(A595,Formulas!A:B,2,FALSE)</f>
        <v>#N/A</v>
      </c>
      <c r="M595" s="32"/>
    </row>
    <row r="596" spans="1:13" ht="47.5" customHeight="1">
      <c r="A596" s="10">
        <v>5441</v>
      </c>
      <c r="B596" s="11" t="s">
        <v>1588</v>
      </c>
      <c r="C596" s="10" t="s">
        <v>10</v>
      </c>
      <c r="D596" s="12" t="s">
        <v>1566</v>
      </c>
      <c r="E596" s="12">
        <v>2520</v>
      </c>
      <c r="F596" s="10" t="s">
        <v>415</v>
      </c>
      <c r="G596" s="10" t="s">
        <v>94</v>
      </c>
      <c r="H596" s="10" t="s">
        <v>94</v>
      </c>
      <c r="I596" s="10" t="s">
        <v>11</v>
      </c>
      <c r="J596" s="13">
        <v>385.84000000000003</v>
      </c>
      <c r="K596" s="14"/>
      <c r="L596" t="e">
        <f>VLOOKUP(A596,Formulas!A:B,2,FALSE)</f>
        <v>#N/A</v>
      </c>
      <c r="M596" s="32"/>
    </row>
    <row r="597" spans="1:13" ht="47.5" customHeight="1">
      <c r="A597" s="10">
        <v>5445</v>
      </c>
      <c r="B597" s="11" t="s">
        <v>1591</v>
      </c>
      <c r="C597" s="10" t="s">
        <v>10</v>
      </c>
      <c r="D597" s="12" t="s">
        <v>107</v>
      </c>
      <c r="E597" s="12">
        <v>1260</v>
      </c>
      <c r="F597" s="10" t="s">
        <v>415</v>
      </c>
      <c r="G597" s="10" t="s">
        <v>95</v>
      </c>
      <c r="H597" s="10" t="s">
        <v>95</v>
      </c>
      <c r="I597" s="10" t="s">
        <v>11</v>
      </c>
      <c r="J597" s="13">
        <v>300.49940000000004</v>
      </c>
      <c r="K597" s="14"/>
      <c r="L597" t="e">
        <f>VLOOKUP(A597,Formulas!A:B,2,FALSE)</f>
        <v>#N/A</v>
      </c>
      <c r="M597" s="32"/>
    </row>
    <row r="598" spans="1:13" ht="47.5" hidden="1" customHeight="1">
      <c r="A598" s="10">
        <v>5446</v>
      </c>
      <c r="B598" s="11" t="s">
        <v>1592</v>
      </c>
      <c r="C598" s="10" t="s">
        <v>10</v>
      </c>
      <c r="D598" s="12" t="s">
        <v>107</v>
      </c>
      <c r="E598" s="12">
        <v>1260</v>
      </c>
      <c r="F598" s="10" t="s">
        <v>415</v>
      </c>
      <c r="G598" s="10" t="s">
        <v>95</v>
      </c>
      <c r="H598" s="10" t="s">
        <v>95</v>
      </c>
      <c r="I598" s="10" t="s">
        <v>11</v>
      </c>
      <c r="J598" s="13">
        <v>300.49940000000004</v>
      </c>
      <c r="K598" s="14"/>
      <c r="L598" t="str">
        <f>VLOOKUP(A598,Formulas!A:B,2,FALSE)</f>
        <v>177557</v>
      </c>
      <c r="M598" s="32"/>
    </row>
    <row r="599" spans="1:13" ht="47.5" customHeight="1">
      <c r="A599" s="10">
        <v>5447</v>
      </c>
      <c r="B599" s="11" t="s">
        <v>1593</v>
      </c>
      <c r="C599" s="10" t="s">
        <v>10</v>
      </c>
      <c r="D599" s="12" t="s">
        <v>107</v>
      </c>
      <c r="E599" s="12">
        <v>1260</v>
      </c>
      <c r="F599" s="10" t="s">
        <v>415</v>
      </c>
      <c r="G599" s="10" t="s">
        <v>95</v>
      </c>
      <c r="H599" s="10" t="s">
        <v>95</v>
      </c>
      <c r="I599" s="10" t="s">
        <v>11</v>
      </c>
      <c r="J599" s="13">
        <v>300.49940000000004</v>
      </c>
      <c r="K599" s="14"/>
      <c r="L599" t="e">
        <f>VLOOKUP(A599,Formulas!A:B,2,FALSE)</f>
        <v>#N/A</v>
      </c>
      <c r="M599" s="32"/>
    </row>
    <row r="600" spans="1:13" ht="47.5" customHeight="1">
      <c r="A600" s="10">
        <v>5451</v>
      </c>
      <c r="B600" s="11" t="s">
        <v>1595</v>
      </c>
      <c r="C600" s="10" t="s">
        <v>10</v>
      </c>
      <c r="D600" s="12" t="s">
        <v>1566</v>
      </c>
      <c r="E600" s="12">
        <v>2520</v>
      </c>
      <c r="F600" s="10" t="s">
        <v>415</v>
      </c>
      <c r="G600" s="10" t="s">
        <v>96</v>
      </c>
      <c r="H600" s="10" t="s">
        <v>96</v>
      </c>
      <c r="I600" s="10" t="s">
        <v>11</v>
      </c>
      <c r="J600" s="13">
        <v>401.74</v>
      </c>
      <c r="K600" s="14"/>
      <c r="L600" t="e">
        <f>VLOOKUP(A600,Formulas!A:B,2,FALSE)</f>
        <v>#N/A</v>
      </c>
      <c r="M600" s="32"/>
    </row>
    <row r="601" spans="1:13" ht="47.5" hidden="1" customHeight="1">
      <c r="A601" s="10">
        <v>5452</v>
      </c>
      <c r="B601" s="11" t="s">
        <v>1596</v>
      </c>
      <c r="C601" s="10" t="s">
        <v>10</v>
      </c>
      <c r="D601" s="12" t="s">
        <v>1566</v>
      </c>
      <c r="E601" s="12">
        <v>2520</v>
      </c>
      <c r="F601" s="10" t="s">
        <v>415</v>
      </c>
      <c r="G601" s="10" t="s">
        <v>96</v>
      </c>
      <c r="H601" s="10" t="s">
        <v>96</v>
      </c>
      <c r="I601" s="10" t="s">
        <v>11</v>
      </c>
      <c r="J601" s="13">
        <v>401.74</v>
      </c>
      <c r="K601" s="14"/>
      <c r="L601" t="str">
        <f>VLOOKUP(A601,Formulas!A:B,2,FALSE)</f>
        <v>177532</v>
      </c>
      <c r="M601" s="32"/>
    </row>
    <row r="602" spans="1:13" ht="47.5" customHeight="1">
      <c r="A602" s="10">
        <v>5453</v>
      </c>
      <c r="B602" s="11" t="s">
        <v>1597</v>
      </c>
      <c r="C602" s="10" t="s">
        <v>10</v>
      </c>
      <c r="D602" s="12" t="s">
        <v>1566</v>
      </c>
      <c r="E602" s="12">
        <v>2520</v>
      </c>
      <c r="F602" s="10" t="s">
        <v>415</v>
      </c>
      <c r="G602" s="10" t="s">
        <v>96</v>
      </c>
      <c r="H602" s="10" t="s">
        <v>96</v>
      </c>
      <c r="I602" s="10" t="s">
        <v>11</v>
      </c>
      <c r="J602" s="13">
        <v>401.74</v>
      </c>
      <c r="K602" s="14"/>
      <c r="L602" t="e">
        <f>VLOOKUP(A602,Formulas!A:B,2,FALSE)</f>
        <v>#N/A</v>
      </c>
      <c r="M602" s="32"/>
    </row>
    <row r="603" spans="1:13" ht="47.5" customHeight="1">
      <c r="A603" s="10">
        <v>5472</v>
      </c>
      <c r="B603" s="11" t="s">
        <v>122</v>
      </c>
      <c r="C603" s="10" t="s">
        <v>102</v>
      </c>
      <c r="D603" s="12" t="s">
        <v>11</v>
      </c>
      <c r="E603" s="10" t="s">
        <v>11</v>
      </c>
      <c r="F603" s="10" t="s">
        <v>101</v>
      </c>
      <c r="G603" s="10" t="s">
        <v>103</v>
      </c>
      <c r="H603" s="10" t="s">
        <v>103</v>
      </c>
      <c r="I603" s="10" t="s">
        <v>91</v>
      </c>
      <c r="J603" s="13">
        <v>122.43</v>
      </c>
      <c r="K603" s="14"/>
      <c r="L603" t="e">
        <f>VLOOKUP(A603,Formulas!A:B,2,FALSE)</f>
        <v>#N/A</v>
      </c>
      <c r="M603" s="32"/>
    </row>
    <row r="604" spans="1:13" ht="47.5" customHeight="1">
      <c r="A604" s="10">
        <v>5473</v>
      </c>
      <c r="B604" s="11" t="s">
        <v>123</v>
      </c>
      <c r="C604" s="10" t="s">
        <v>102</v>
      </c>
      <c r="D604" s="12" t="s">
        <v>11</v>
      </c>
      <c r="E604" s="12" t="s">
        <v>11</v>
      </c>
      <c r="F604" s="10" t="s">
        <v>101</v>
      </c>
      <c r="G604" s="10" t="s">
        <v>103</v>
      </c>
      <c r="H604" s="10" t="s">
        <v>103</v>
      </c>
      <c r="I604" s="10" t="s">
        <v>91</v>
      </c>
      <c r="J604" s="13">
        <v>122.43</v>
      </c>
      <c r="K604" s="14"/>
      <c r="L604" t="e">
        <f>VLOOKUP(A604,Formulas!A:B,2,FALSE)</f>
        <v>#N/A</v>
      </c>
      <c r="M604" s="32"/>
    </row>
    <row r="605" spans="1:13" ht="47.5" customHeight="1">
      <c r="A605" s="10">
        <v>5474</v>
      </c>
      <c r="B605" s="11" t="s">
        <v>124</v>
      </c>
      <c r="C605" s="10" t="s">
        <v>102</v>
      </c>
      <c r="D605" s="12" t="s">
        <v>11</v>
      </c>
      <c r="E605" s="10" t="s">
        <v>11</v>
      </c>
      <c r="F605" s="10" t="s">
        <v>101</v>
      </c>
      <c r="G605" s="10" t="s">
        <v>103</v>
      </c>
      <c r="H605" s="10" t="s">
        <v>103</v>
      </c>
      <c r="I605" s="10" t="s">
        <v>91</v>
      </c>
      <c r="J605" s="13">
        <v>122.43</v>
      </c>
      <c r="K605" s="14"/>
      <c r="L605" t="e">
        <f>VLOOKUP(A605,Formulas!A:B,2,FALSE)</f>
        <v>#N/A</v>
      </c>
      <c r="M605" s="32"/>
    </row>
    <row r="606" spans="1:13" ht="47.5" customHeight="1">
      <c r="A606" s="10">
        <v>5484</v>
      </c>
      <c r="B606" s="11" t="s">
        <v>125</v>
      </c>
      <c r="C606" s="10" t="s">
        <v>316</v>
      </c>
      <c r="D606" s="12" t="s">
        <v>11</v>
      </c>
      <c r="E606" s="10" t="s">
        <v>11</v>
      </c>
      <c r="F606" s="10" t="s">
        <v>90</v>
      </c>
      <c r="G606" s="10" t="s">
        <v>103</v>
      </c>
      <c r="H606" s="10" t="s">
        <v>104</v>
      </c>
      <c r="I606" s="10" t="s">
        <v>91</v>
      </c>
      <c r="J606" s="13">
        <v>533.12700000000007</v>
      </c>
      <c r="K606" s="14"/>
      <c r="L606" t="e">
        <f>VLOOKUP(A606,Formulas!A:B,2,FALSE)</f>
        <v>#N/A</v>
      </c>
      <c r="M606" s="32"/>
    </row>
    <row r="607" spans="1:13" ht="47.5" customHeight="1">
      <c r="A607" s="10">
        <v>5485</v>
      </c>
      <c r="B607" s="11" t="s">
        <v>126</v>
      </c>
      <c r="C607" s="10" t="s">
        <v>316</v>
      </c>
      <c r="D607" s="12" t="s">
        <v>11</v>
      </c>
      <c r="E607" s="12" t="s">
        <v>11</v>
      </c>
      <c r="F607" s="10" t="s">
        <v>90</v>
      </c>
      <c r="G607" s="10" t="s">
        <v>103</v>
      </c>
      <c r="H607" s="10" t="s">
        <v>104</v>
      </c>
      <c r="I607" s="10" t="s">
        <v>91</v>
      </c>
      <c r="J607" s="13">
        <v>533.12700000000007</v>
      </c>
      <c r="K607" s="14"/>
      <c r="L607" t="e">
        <f>VLOOKUP(A607,Formulas!A:B,2,FALSE)</f>
        <v>#N/A</v>
      </c>
      <c r="M607" s="32"/>
    </row>
    <row r="608" spans="1:13" ht="47.5" customHeight="1">
      <c r="A608" s="10">
        <v>5486</v>
      </c>
      <c r="B608" s="11" t="s">
        <v>127</v>
      </c>
      <c r="C608" s="10" t="s">
        <v>316</v>
      </c>
      <c r="D608" s="12" t="s">
        <v>11</v>
      </c>
      <c r="E608" s="10" t="s">
        <v>11</v>
      </c>
      <c r="F608" s="10" t="s">
        <v>90</v>
      </c>
      <c r="G608" s="10" t="s">
        <v>103</v>
      </c>
      <c r="H608" s="10" t="s">
        <v>104</v>
      </c>
      <c r="I608" s="10" t="s">
        <v>91</v>
      </c>
      <c r="J608" s="13">
        <v>533.12700000000007</v>
      </c>
      <c r="K608" s="14"/>
      <c r="L608" t="e">
        <f>VLOOKUP(A608,Formulas!A:B,2,FALSE)</f>
        <v>#N/A</v>
      </c>
      <c r="M608" s="32"/>
    </row>
    <row r="609" spans="1:13" ht="47.5" customHeight="1">
      <c r="A609" s="10">
        <v>5516</v>
      </c>
      <c r="B609" s="11" t="s">
        <v>110</v>
      </c>
      <c r="C609" s="10" t="s">
        <v>10</v>
      </c>
      <c r="D609" s="12" t="s">
        <v>107</v>
      </c>
      <c r="E609" s="10">
        <v>1260</v>
      </c>
      <c r="F609" s="10" t="s">
        <v>301</v>
      </c>
      <c r="G609" s="10" t="s">
        <v>106</v>
      </c>
      <c r="H609" s="10" t="s">
        <v>106</v>
      </c>
      <c r="I609" s="10" t="s">
        <v>91</v>
      </c>
      <c r="J609" s="13">
        <v>199.227</v>
      </c>
      <c r="K609" s="14"/>
      <c r="L609" t="e">
        <f>VLOOKUP(A609,Formulas!A:B,2,FALSE)</f>
        <v>#N/A</v>
      </c>
      <c r="M609" s="32"/>
    </row>
    <row r="610" spans="1:13" ht="47.5" customHeight="1">
      <c r="A610" s="10">
        <v>5517</v>
      </c>
      <c r="B610" s="11" t="s">
        <v>111</v>
      </c>
      <c r="C610" s="10" t="s">
        <v>10</v>
      </c>
      <c r="D610" s="12" t="s">
        <v>107</v>
      </c>
      <c r="E610" s="12">
        <v>1260</v>
      </c>
      <c r="F610" s="10" t="s">
        <v>301</v>
      </c>
      <c r="G610" s="10" t="s">
        <v>106</v>
      </c>
      <c r="H610" s="10" t="s">
        <v>106</v>
      </c>
      <c r="I610" s="10" t="s">
        <v>91</v>
      </c>
      <c r="J610" s="13">
        <v>199.227</v>
      </c>
      <c r="K610" s="14"/>
      <c r="L610" t="e">
        <f>VLOOKUP(A610,Formulas!A:B,2,FALSE)</f>
        <v>#N/A</v>
      </c>
      <c r="M610" s="32"/>
    </row>
    <row r="611" spans="1:13" ht="47.5" customHeight="1">
      <c r="A611" s="10">
        <v>5518</v>
      </c>
      <c r="B611" s="11" t="s">
        <v>112</v>
      </c>
      <c r="C611" s="10" t="s">
        <v>10</v>
      </c>
      <c r="D611" s="12" t="s">
        <v>107</v>
      </c>
      <c r="E611" s="10">
        <v>1260</v>
      </c>
      <c r="F611" s="10" t="s">
        <v>301</v>
      </c>
      <c r="G611" s="10" t="s">
        <v>106</v>
      </c>
      <c r="H611" s="10" t="s">
        <v>106</v>
      </c>
      <c r="I611" s="10" t="s">
        <v>91</v>
      </c>
      <c r="J611" s="13">
        <v>199.227</v>
      </c>
      <c r="K611" s="14"/>
      <c r="L611" t="e">
        <f>VLOOKUP(A611,Formulas!A:B,2,FALSE)</f>
        <v>#N/A</v>
      </c>
      <c r="M611" s="32"/>
    </row>
    <row r="612" spans="1:13" ht="47.5" customHeight="1">
      <c r="A612" s="10">
        <v>5523</v>
      </c>
      <c r="B612" s="11" t="s">
        <v>872</v>
      </c>
      <c r="C612" s="10" t="s">
        <v>10</v>
      </c>
      <c r="D612" s="12" t="s">
        <v>107</v>
      </c>
      <c r="E612" s="10">
        <v>1260</v>
      </c>
      <c r="F612" s="10" t="s">
        <v>301</v>
      </c>
      <c r="G612" s="10" t="s">
        <v>106</v>
      </c>
      <c r="H612" s="10" t="s">
        <v>106</v>
      </c>
      <c r="I612" s="10" t="s">
        <v>91</v>
      </c>
      <c r="J612" s="13">
        <v>221.48699999999999</v>
      </c>
      <c r="K612" s="14"/>
      <c r="L612" t="e">
        <f>VLOOKUP(A612,Formulas!A:B,2,FALSE)</f>
        <v>#N/A</v>
      </c>
      <c r="M612" s="32"/>
    </row>
    <row r="613" spans="1:13" ht="47.5" customHeight="1">
      <c r="A613" s="10">
        <v>5538</v>
      </c>
      <c r="B613" s="11" t="s">
        <v>113</v>
      </c>
      <c r="C613" s="10" t="s">
        <v>10</v>
      </c>
      <c r="D613" s="12" t="s">
        <v>97</v>
      </c>
      <c r="E613" s="12">
        <v>1540</v>
      </c>
      <c r="F613" s="10" t="s">
        <v>301</v>
      </c>
      <c r="G613" s="10" t="s">
        <v>95</v>
      </c>
      <c r="H613" s="10" t="s">
        <v>95</v>
      </c>
      <c r="I613" s="10" t="s">
        <v>91</v>
      </c>
      <c r="J613" s="13">
        <v>232.61699999999999</v>
      </c>
      <c r="K613" s="14"/>
      <c r="L613" t="e">
        <f>VLOOKUP(A613,Formulas!A:B,2,FALSE)</f>
        <v>#N/A</v>
      </c>
      <c r="M613" s="32"/>
    </row>
    <row r="614" spans="1:13" ht="47.5" customHeight="1">
      <c r="A614" s="10">
        <v>5539</v>
      </c>
      <c r="B614" s="11" t="s">
        <v>114</v>
      </c>
      <c r="C614" s="10" t="s">
        <v>10</v>
      </c>
      <c r="D614" s="12" t="s">
        <v>97</v>
      </c>
      <c r="E614" s="10">
        <v>1540</v>
      </c>
      <c r="F614" s="10" t="s">
        <v>301</v>
      </c>
      <c r="G614" s="10" t="s">
        <v>95</v>
      </c>
      <c r="H614" s="10" t="s">
        <v>95</v>
      </c>
      <c r="I614" s="10" t="s">
        <v>91</v>
      </c>
      <c r="J614" s="13">
        <v>232.61699999999999</v>
      </c>
      <c r="K614" s="14"/>
      <c r="L614" t="e">
        <f>VLOOKUP(A614,Formulas!A:B,2,FALSE)</f>
        <v>#N/A</v>
      </c>
      <c r="M614" s="32"/>
    </row>
    <row r="615" spans="1:13" ht="47.5" customHeight="1">
      <c r="A615" s="10">
        <v>5540</v>
      </c>
      <c r="B615" s="11" t="s">
        <v>115</v>
      </c>
      <c r="C615" s="10" t="s">
        <v>10</v>
      </c>
      <c r="D615" s="12" t="s">
        <v>97</v>
      </c>
      <c r="E615" s="12">
        <v>1540</v>
      </c>
      <c r="F615" s="10" t="s">
        <v>301</v>
      </c>
      <c r="G615" s="10" t="s">
        <v>95</v>
      </c>
      <c r="H615" s="10" t="s">
        <v>95</v>
      </c>
      <c r="I615" s="10" t="s">
        <v>91</v>
      </c>
      <c r="J615" s="13">
        <v>232.61699999999999</v>
      </c>
      <c r="K615" s="14"/>
      <c r="L615" t="e">
        <f>VLOOKUP(A615,Formulas!A:B,2,FALSE)</f>
        <v>#N/A</v>
      </c>
      <c r="M615" s="32"/>
    </row>
    <row r="616" spans="1:13" ht="47.5" customHeight="1">
      <c r="A616" s="10">
        <v>5546</v>
      </c>
      <c r="B616" s="11" t="s">
        <v>873</v>
      </c>
      <c r="C616" s="10" t="s">
        <v>10</v>
      </c>
      <c r="D616" s="12" t="s">
        <v>97</v>
      </c>
      <c r="E616" s="12">
        <v>1540</v>
      </c>
      <c r="F616" s="10" t="s">
        <v>301</v>
      </c>
      <c r="G616" s="10" t="s">
        <v>95</v>
      </c>
      <c r="H616" s="10" t="s">
        <v>95</v>
      </c>
      <c r="I616" s="10" t="s">
        <v>91</v>
      </c>
      <c r="J616" s="13">
        <v>254.87700000000001</v>
      </c>
      <c r="K616" s="14"/>
      <c r="L616" t="e">
        <f>VLOOKUP(A616,Formulas!A:B,2,FALSE)</f>
        <v>#N/A</v>
      </c>
      <c r="M616" s="32"/>
    </row>
    <row r="617" spans="1:13" ht="47.5" customHeight="1">
      <c r="A617" s="10">
        <v>5547</v>
      </c>
      <c r="B617" s="11" t="s">
        <v>135</v>
      </c>
      <c r="C617" s="10" t="s">
        <v>10</v>
      </c>
      <c r="D617" s="12" t="s">
        <v>784</v>
      </c>
      <c r="E617" s="10">
        <v>280</v>
      </c>
      <c r="F617" s="10" t="s">
        <v>103</v>
      </c>
      <c r="G617" s="10" t="s">
        <v>108</v>
      </c>
      <c r="H617" s="10" t="s">
        <v>108</v>
      </c>
      <c r="I617" s="10" t="s">
        <v>91</v>
      </c>
      <c r="J617" s="13">
        <v>110.18700000000001</v>
      </c>
      <c r="K617" s="14"/>
      <c r="L617" t="e">
        <f>VLOOKUP(A617,Formulas!A:B,2,FALSE)</f>
        <v>#N/A</v>
      </c>
      <c r="M617" s="32"/>
    </row>
    <row r="618" spans="1:13" ht="47.5" customHeight="1">
      <c r="A618" s="10">
        <v>5548</v>
      </c>
      <c r="B618" s="11" t="s">
        <v>136</v>
      </c>
      <c r="C618" s="10" t="s">
        <v>10</v>
      </c>
      <c r="D618" s="12" t="s">
        <v>784</v>
      </c>
      <c r="E618" s="12">
        <v>280</v>
      </c>
      <c r="F618" s="10" t="s">
        <v>103</v>
      </c>
      <c r="G618" s="10" t="s">
        <v>108</v>
      </c>
      <c r="H618" s="10" t="s">
        <v>108</v>
      </c>
      <c r="I618" s="10" t="s">
        <v>91</v>
      </c>
      <c r="J618" s="13">
        <v>110.18700000000001</v>
      </c>
      <c r="K618" s="14"/>
      <c r="L618" t="e">
        <f>VLOOKUP(A618,Formulas!A:B,2,FALSE)</f>
        <v>#N/A</v>
      </c>
      <c r="M618" s="32"/>
    </row>
    <row r="619" spans="1:13" ht="47.5" customHeight="1">
      <c r="A619" s="10">
        <v>5549</v>
      </c>
      <c r="B619" s="11" t="s">
        <v>137</v>
      </c>
      <c r="C619" s="10" t="s">
        <v>10</v>
      </c>
      <c r="D619" s="12" t="s">
        <v>784</v>
      </c>
      <c r="E619" s="10">
        <v>280</v>
      </c>
      <c r="F619" s="10" t="s">
        <v>103</v>
      </c>
      <c r="G619" s="10" t="s">
        <v>108</v>
      </c>
      <c r="H619" s="10" t="s">
        <v>108</v>
      </c>
      <c r="I619" s="10" t="s">
        <v>91</v>
      </c>
      <c r="J619" s="13">
        <v>110.18700000000001</v>
      </c>
      <c r="K619" s="14"/>
      <c r="L619" t="e">
        <f>VLOOKUP(A619,Formulas!A:B,2,FALSE)</f>
        <v>#N/A</v>
      </c>
      <c r="M619" s="32"/>
    </row>
    <row r="620" spans="1:13" ht="47.5" hidden="1" customHeight="1">
      <c r="A620" s="10">
        <v>5554</v>
      </c>
      <c r="B620" s="11" t="s">
        <v>874</v>
      </c>
      <c r="C620" s="10" t="s">
        <v>10</v>
      </c>
      <c r="D620" s="12" t="s">
        <v>784</v>
      </c>
      <c r="E620" s="10">
        <v>280</v>
      </c>
      <c r="F620" s="10" t="s">
        <v>103</v>
      </c>
      <c r="G620" s="10" t="s">
        <v>108</v>
      </c>
      <c r="H620" s="10" t="s">
        <v>108</v>
      </c>
      <c r="I620" s="10" t="s">
        <v>91</v>
      </c>
      <c r="J620" s="13">
        <v>122.43</v>
      </c>
      <c r="K620" s="14"/>
      <c r="L620" t="str">
        <f>VLOOKUP(A620,Formulas!A:B,2,FALSE)</f>
        <v>177873</v>
      </c>
      <c r="M620" s="32"/>
    </row>
    <row r="621" spans="1:13" ht="47.5" customHeight="1">
      <c r="A621" s="10">
        <v>5555</v>
      </c>
      <c r="B621" s="11" t="s">
        <v>116</v>
      </c>
      <c r="C621" s="10" t="s">
        <v>10</v>
      </c>
      <c r="D621" s="12" t="s">
        <v>107</v>
      </c>
      <c r="E621" s="12">
        <v>1260</v>
      </c>
      <c r="F621" s="10" t="s">
        <v>402</v>
      </c>
      <c r="G621" s="10" t="s">
        <v>106</v>
      </c>
      <c r="H621" s="10" t="s">
        <v>106</v>
      </c>
      <c r="I621" s="10" t="s">
        <v>91</v>
      </c>
      <c r="J621" s="13">
        <v>176.96699999999998</v>
      </c>
      <c r="K621" s="14"/>
      <c r="L621" t="e">
        <f>VLOOKUP(A621,Formulas!A:B,2,FALSE)</f>
        <v>#N/A</v>
      </c>
      <c r="M621" s="32"/>
    </row>
    <row r="622" spans="1:13" ht="47.5" customHeight="1">
      <c r="A622" s="10">
        <v>5556</v>
      </c>
      <c r="B622" s="11" t="s">
        <v>117</v>
      </c>
      <c r="C622" s="10" t="s">
        <v>10</v>
      </c>
      <c r="D622" s="12" t="s">
        <v>107</v>
      </c>
      <c r="E622" s="10">
        <v>1260</v>
      </c>
      <c r="F622" s="10" t="s">
        <v>402</v>
      </c>
      <c r="G622" s="10" t="s">
        <v>106</v>
      </c>
      <c r="H622" s="10" t="s">
        <v>106</v>
      </c>
      <c r="I622" s="10" t="s">
        <v>91</v>
      </c>
      <c r="J622" s="13">
        <v>176.96699999999998</v>
      </c>
      <c r="K622" s="14"/>
      <c r="L622" t="e">
        <f>VLOOKUP(A622,Formulas!A:B,2,FALSE)</f>
        <v>#N/A</v>
      </c>
      <c r="M622" s="32"/>
    </row>
    <row r="623" spans="1:13" ht="47.5" customHeight="1">
      <c r="A623" s="10">
        <v>5557</v>
      </c>
      <c r="B623" s="11" t="s">
        <v>118</v>
      </c>
      <c r="C623" s="10" t="s">
        <v>10</v>
      </c>
      <c r="D623" s="12" t="s">
        <v>107</v>
      </c>
      <c r="E623" s="12">
        <v>1260</v>
      </c>
      <c r="F623" s="10" t="s">
        <v>402</v>
      </c>
      <c r="G623" s="10" t="s">
        <v>106</v>
      </c>
      <c r="H623" s="10" t="s">
        <v>106</v>
      </c>
      <c r="I623" s="10" t="s">
        <v>91</v>
      </c>
      <c r="J623" s="13">
        <v>176.96699999999998</v>
      </c>
      <c r="K623" s="14"/>
      <c r="L623" t="e">
        <f>VLOOKUP(A623,Formulas!A:B,2,FALSE)</f>
        <v>#N/A</v>
      </c>
      <c r="M623" s="32"/>
    </row>
    <row r="624" spans="1:13" ht="47.5" hidden="1" customHeight="1">
      <c r="A624" s="10">
        <v>5562</v>
      </c>
      <c r="B624" s="11" t="s">
        <v>875</v>
      </c>
      <c r="C624" s="10" t="s">
        <v>10</v>
      </c>
      <c r="D624" s="12" t="s">
        <v>107</v>
      </c>
      <c r="E624" s="12">
        <v>1260</v>
      </c>
      <c r="F624" s="10" t="s">
        <v>402</v>
      </c>
      <c r="G624" s="10" t="s">
        <v>106</v>
      </c>
      <c r="H624" s="10" t="s">
        <v>106</v>
      </c>
      <c r="I624" s="10" t="s">
        <v>91</v>
      </c>
      <c r="J624" s="13">
        <v>199.227</v>
      </c>
      <c r="K624" s="14"/>
      <c r="L624" t="str">
        <f>VLOOKUP(A624,Formulas!A:B,2,FALSE)</f>
        <v>177874</v>
      </c>
      <c r="M624" s="32"/>
    </row>
    <row r="625" spans="1:13" ht="47.5" customHeight="1">
      <c r="A625" s="10">
        <v>5563</v>
      </c>
      <c r="B625" s="11" t="s">
        <v>119</v>
      </c>
      <c r="C625" s="10" t="s">
        <v>10</v>
      </c>
      <c r="D625" s="12" t="s">
        <v>97</v>
      </c>
      <c r="E625" s="10">
        <v>1540</v>
      </c>
      <c r="F625" s="10" t="s">
        <v>221</v>
      </c>
      <c r="G625" s="10" t="s">
        <v>95</v>
      </c>
      <c r="H625" s="10" t="s">
        <v>95</v>
      </c>
      <c r="I625" s="10" t="s">
        <v>91</v>
      </c>
      <c r="J625" s="13">
        <v>221.48699999999999</v>
      </c>
      <c r="K625" s="14"/>
      <c r="L625" t="e">
        <f>VLOOKUP(A625,Formulas!A:B,2,FALSE)</f>
        <v>#N/A</v>
      </c>
      <c r="M625" s="32"/>
    </row>
    <row r="626" spans="1:13" ht="47.5" customHeight="1">
      <c r="A626" s="10">
        <v>5564</v>
      </c>
      <c r="B626" s="11" t="s">
        <v>120</v>
      </c>
      <c r="C626" s="10" t="s">
        <v>10</v>
      </c>
      <c r="D626" s="12" t="s">
        <v>97</v>
      </c>
      <c r="E626" s="12">
        <v>1540</v>
      </c>
      <c r="F626" s="10" t="s">
        <v>221</v>
      </c>
      <c r="G626" s="10" t="s">
        <v>95</v>
      </c>
      <c r="H626" s="10" t="s">
        <v>95</v>
      </c>
      <c r="I626" s="10" t="s">
        <v>91</v>
      </c>
      <c r="J626" s="13">
        <v>221.48699999999999</v>
      </c>
      <c r="K626" s="14"/>
      <c r="L626" t="e">
        <f>VLOOKUP(A626,Formulas!A:B,2,FALSE)</f>
        <v>#N/A</v>
      </c>
      <c r="M626" s="32"/>
    </row>
    <row r="627" spans="1:13" ht="47.5" customHeight="1">
      <c r="A627" s="10">
        <v>5565</v>
      </c>
      <c r="B627" s="11" t="s">
        <v>121</v>
      </c>
      <c r="C627" s="10" t="s">
        <v>10</v>
      </c>
      <c r="D627" s="12" t="s">
        <v>97</v>
      </c>
      <c r="E627" s="10">
        <v>1540</v>
      </c>
      <c r="F627" s="10" t="s">
        <v>221</v>
      </c>
      <c r="G627" s="10" t="s">
        <v>95</v>
      </c>
      <c r="H627" s="10" t="s">
        <v>95</v>
      </c>
      <c r="I627" s="10" t="s">
        <v>91</v>
      </c>
      <c r="J627" s="13">
        <v>221.48699999999999</v>
      </c>
      <c r="K627" s="14"/>
      <c r="L627" t="e">
        <f>VLOOKUP(A627,Formulas!A:B,2,FALSE)</f>
        <v>#N/A</v>
      </c>
      <c r="M627" s="32"/>
    </row>
    <row r="628" spans="1:13" ht="47.5" hidden="1" customHeight="1">
      <c r="A628" s="10">
        <v>5570</v>
      </c>
      <c r="B628" s="11" t="s">
        <v>876</v>
      </c>
      <c r="C628" s="10" t="s">
        <v>10</v>
      </c>
      <c r="D628" s="12" t="s">
        <v>97</v>
      </c>
      <c r="E628" s="10">
        <v>1540</v>
      </c>
      <c r="F628" s="10" t="s">
        <v>221</v>
      </c>
      <c r="G628" s="10" t="s">
        <v>95</v>
      </c>
      <c r="H628" s="10" t="s">
        <v>95</v>
      </c>
      <c r="I628" s="10" t="s">
        <v>91</v>
      </c>
      <c r="J628" s="13">
        <v>243.74700000000001</v>
      </c>
      <c r="K628" s="14"/>
      <c r="L628" t="str">
        <f>VLOOKUP(A628,Formulas!A:B,2,FALSE)</f>
        <v>177875</v>
      </c>
      <c r="M628" s="32"/>
    </row>
    <row r="629" spans="1:13" ht="47.5" customHeight="1">
      <c r="A629" s="10">
        <v>5587</v>
      </c>
      <c r="B629" s="11" t="s">
        <v>128</v>
      </c>
      <c r="C629" s="10" t="s">
        <v>10</v>
      </c>
      <c r="D629" s="12" t="s">
        <v>107</v>
      </c>
      <c r="E629" s="10">
        <v>1260</v>
      </c>
      <c r="F629" s="10" t="s">
        <v>301</v>
      </c>
      <c r="G629" s="10" t="s">
        <v>106</v>
      </c>
      <c r="H629" s="10" t="s">
        <v>106</v>
      </c>
      <c r="I629" s="10" t="s">
        <v>91</v>
      </c>
      <c r="J629" s="13">
        <v>210.357</v>
      </c>
      <c r="K629" s="14" t="s">
        <v>105</v>
      </c>
      <c r="L629" t="e">
        <f>VLOOKUP(A629,Formulas!A:B,2,FALSE)</f>
        <v>#N/A</v>
      </c>
      <c r="M629" s="32"/>
    </row>
    <row r="630" spans="1:13" ht="47.5" customHeight="1">
      <c r="A630" s="10">
        <v>5588</v>
      </c>
      <c r="B630" s="11" t="s">
        <v>129</v>
      </c>
      <c r="C630" s="10" t="s">
        <v>10</v>
      </c>
      <c r="D630" s="12" t="s">
        <v>107</v>
      </c>
      <c r="E630" s="12">
        <v>1260</v>
      </c>
      <c r="F630" s="10" t="s">
        <v>301</v>
      </c>
      <c r="G630" s="10" t="s">
        <v>106</v>
      </c>
      <c r="H630" s="10" t="s">
        <v>106</v>
      </c>
      <c r="I630" s="10" t="s">
        <v>91</v>
      </c>
      <c r="J630" s="13">
        <v>210.357</v>
      </c>
      <c r="K630" s="14" t="s">
        <v>105</v>
      </c>
      <c r="L630" t="e">
        <f>VLOOKUP(A630,Formulas!A:B,2,FALSE)</f>
        <v>#N/A</v>
      </c>
      <c r="M630" s="32"/>
    </row>
    <row r="631" spans="1:13" ht="47.5" customHeight="1">
      <c r="A631" s="10">
        <v>5589</v>
      </c>
      <c r="B631" s="11" t="s">
        <v>130</v>
      </c>
      <c r="C631" s="10" t="s">
        <v>10</v>
      </c>
      <c r="D631" s="12" t="s">
        <v>107</v>
      </c>
      <c r="E631" s="10">
        <v>1260</v>
      </c>
      <c r="F631" s="10" t="s">
        <v>301</v>
      </c>
      <c r="G631" s="10" t="s">
        <v>106</v>
      </c>
      <c r="H631" s="10" t="s">
        <v>106</v>
      </c>
      <c r="I631" s="10" t="s">
        <v>91</v>
      </c>
      <c r="J631" s="13">
        <v>210.357</v>
      </c>
      <c r="K631" s="14" t="s">
        <v>105</v>
      </c>
      <c r="L631" t="e">
        <f>VLOOKUP(A631,Formulas!A:B,2,FALSE)</f>
        <v>#N/A</v>
      </c>
      <c r="M631" s="32"/>
    </row>
    <row r="632" spans="1:13" ht="47.5" customHeight="1">
      <c r="A632" s="10">
        <v>5594</v>
      </c>
      <c r="B632" s="11" t="s">
        <v>870</v>
      </c>
      <c r="C632" s="10" t="s">
        <v>10</v>
      </c>
      <c r="D632" s="12" t="s">
        <v>107</v>
      </c>
      <c r="E632" s="10">
        <v>1260</v>
      </c>
      <c r="F632" s="10" t="s">
        <v>301</v>
      </c>
      <c r="G632" s="10" t="s">
        <v>106</v>
      </c>
      <c r="H632" s="10" t="s">
        <v>106</v>
      </c>
      <c r="I632" s="10" t="s">
        <v>91</v>
      </c>
      <c r="J632" s="13">
        <v>232.61699999999999</v>
      </c>
      <c r="K632" s="14" t="s">
        <v>105</v>
      </c>
      <c r="L632" t="e">
        <f>VLOOKUP(A632,Formulas!A:B,2,FALSE)</f>
        <v>#N/A</v>
      </c>
      <c r="M632" s="32"/>
    </row>
    <row r="633" spans="1:13" ht="47.5" customHeight="1">
      <c r="A633" s="10">
        <v>5595</v>
      </c>
      <c r="B633" s="11" t="s">
        <v>131</v>
      </c>
      <c r="C633" s="10" t="s">
        <v>10</v>
      </c>
      <c r="D633" s="12" t="s">
        <v>861</v>
      </c>
      <c r="E633" s="12">
        <v>1540</v>
      </c>
      <c r="F633" s="10" t="s">
        <v>301</v>
      </c>
      <c r="G633" s="10" t="s">
        <v>95</v>
      </c>
      <c r="H633" s="10" t="s">
        <v>95</v>
      </c>
      <c r="I633" s="10" t="s">
        <v>91</v>
      </c>
      <c r="J633" s="13">
        <v>239.29500000000002</v>
      </c>
      <c r="K633" s="14" t="s">
        <v>105</v>
      </c>
      <c r="L633" t="e">
        <f>VLOOKUP(A633,Formulas!A:B,2,FALSE)</f>
        <v>#N/A</v>
      </c>
      <c r="M633" s="32"/>
    </row>
    <row r="634" spans="1:13" ht="47.5" customHeight="1">
      <c r="A634" s="10">
        <v>5596</v>
      </c>
      <c r="B634" s="11" t="s">
        <v>132</v>
      </c>
      <c r="C634" s="10" t="s">
        <v>10</v>
      </c>
      <c r="D634" s="12" t="s">
        <v>97</v>
      </c>
      <c r="E634" s="10">
        <v>1540</v>
      </c>
      <c r="F634" s="10" t="s">
        <v>301</v>
      </c>
      <c r="G634" s="10" t="s">
        <v>95</v>
      </c>
      <c r="H634" s="10" t="s">
        <v>95</v>
      </c>
      <c r="I634" s="10" t="s">
        <v>91</v>
      </c>
      <c r="J634" s="13">
        <v>239.29500000000002</v>
      </c>
      <c r="K634" s="14" t="s">
        <v>105</v>
      </c>
      <c r="L634" t="e">
        <f>VLOOKUP(A634,Formulas!A:B,2,FALSE)</f>
        <v>#N/A</v>
      </c>
      <c r="M634" s="32"/>
    </row>
    <row r="635" spans="1:13" ht="47.5" customHeight="1">
      <c r="A635" s="10">
        <v>5597</v>
      </c>
      <c r="B635" s="11" t="s">
        <v>133</v>
      </c>
      <c r="C635" s="10" t="s">
        <v>10</v>
      </c>
      <c r="D635" s="12" t="s">
        <v>861</v>
      </c>
      <c r="E635" s="12">
        <v>1540</v>
      </c>
      <c r="F635" s="10" t="s">
        <v>301</v>
      </c>
      <c r="G635" s="10" t="s">
        <v>95</v>
      </c>
      <c r="H635" s="10" t="s">
        <v>95</v>
      </c>
      <c r="I635" s="10" t="s">
        <v>91</v>
      </c>
      <c r="J635" s="13">
        <v>239.29500000000002</v>
      </c>
      <c r="K635" s="14" t="s">
        <v>105</v>
      </c>
      <c r="L635" t="e">
        <f>VLOOKUP(A635,Formulas!A:B,2,FALSE)</f>
        <v>#N/A</v>
      </c>
      <c r="M635" s="32"/>
    </row>
    <row r="636" spans="1:13" ht="47.5" customHeight="1">
      <c r="A636" s="10">
        <v>5602</v>
      </c>
      <c r="B636" s="11" t="s">
        <v>871</v>
      </c>
      <c r="C636" s="10" t="s">
        <v>10</v>
      </c>
      <c r="D636" s="12" t="s">
        <v>861</v>
      </c>
      <c r="E636" s="12">
        <v>1540</v>
      </c>
      <c r="F636" s="10" t="s">
        <v>301</v>
      </c>
      <c r="G636" s="10" t="s">
        <v>95</v>
      </c>
      <c r="H636" s="10" t="s">
        <v>95</v>
      </c>
      <c r="I636" s="10" t="s">
        <v>91</v>
      </c>
      <c r="J636" s="13">
        <v>261.55500000000001</v>
      </c>
      <c r="K636" s="14" t="s">
        <v>105</v>
      </c>
      <c r="L636" t="e">
        <f>VLOOKUP(A636,Formulas!A:B,2,FALSE)</f>
        <v>#N/A</v>
      </c>
      <c r="M636" s="32"/>
    </row>
    <row r="637" spans="1:13" ht="47.5" customHeight="1">
      <c r="A637" s="10">
        <v>5666</v>
      </c>
      <c r="B637" s="11" t="s">
        <v>740</v>
      </c>
      <c r="C637" s="10" t="s">
        <v>10</v>
      </c>
      <c r="D637" s="12" t="s">
        <v>848</v>
      </c>
      <c r="E637" s="12">
        <v>1800</v>
      </c>
      <c r="F637" s="10" t="s">
        <v>281</v>
      </c>
      <c r="G637" s="10" t="s">
        <v>85</v>
      </c>
      <c r="H637" s="10" t="s">
        <v>104</v>
      </c>
      <c r="I637" s="10" t="s">
        <v>11</v>
      </c>
      <c r="J637" s="13">
        <v>239.29500000000002</v>
      </c>
      <c r="K637" s="14"/>
      <c r="L637" t="e">
        <f>VLOOKUP(A637,Formulas!A:B,2,FALSE)</f>
        <v>#N/A</v>
      </c>
      <c r="M637" s="32"/>
    </row>
    <row r="638" spans="1:13" ht="47.5" customHeight="1">
      <c r="A638" s="10">
        <v>5667</v>
      </c>
      <c r="B638" s="11" t="s">
        <v>741</v>
      </c>
      <c r="C638" s="10" t="s">
        <v>10</v>
      </c>
      <c r="D638" s="12" t="s">
        <v>848</v>
      </c>
      <c r="E638" s="10">
        <v>1800</v>
      </c>
      <c r="F638" s="10" t="s">
        <v>281</v>
      </c>
      <c r="G638" s="10" t="s">
        <v>85</v>
      </c>
      <c r="H638" s="10" t="s">
        <v>104</v>
      </c>
      <c r="I638" s="10" t="s">
        <v>11</v>
      </c>
      <c r="J638" s="13">
        <v>239.29500000000002</v>
      </c>
      <c r="K638" s="14"/>
      <c r="L638" t="e">
        <f>VLOOKUP(A638,Formulas!A:B,2,FALSE)</f>
        <v>#N/A</v>
      </c>
      <c r="M638" s="32"/>
    </row>
    <row r="639" spans="1:13" ht="47.5" hidden="1" customHeight="1">
      <c r="A639" s="10">
        <v>5668</v>
      </c>
      <c r="B639" s="11" t="s">
        <v>742</v>
      </c>
      <c r="C639" s="10" t="s">
        <v>10</v>
      </c>
      <c r="D639" s="12" t="s">
        <v>848</v>
      </c>
      <c r="E639" s="12">
        <v>1800</v>
      </c>
      <c r="F639" s="10" t="s">
        <v>281</v>
      </c>
      <c r="G639" s="10" t="s">
        <v>85</v>
      </c>
      <c r="H639" s="10" t="s">
        <v>104</v>
      </c>
      <c r="I639" s="10" t="s">
        <v>11</v>
      </c>
      <c r="J639" s="13">
        <v>239.29500000000002</v>
      </c>
      <c r="K639" s="14"/>
      <c r="L639" t="str">
        <f>VLOOKUP(A639,Formulas!A:B,2,FALSE)</f>
        <v>178053</v>
      </c>
      <c r="M639" s="32"/>
    </row>
    <row r="640" spans="1:13" ht="47.5" customHeight="1">
      <c r="A640" s="10">
        <v>5669</v>
      </c>
      <c r="B640" s="11" t="s">
        <v>743</v>
      </c>
      <c r="C640" s="10" t="s">
        <v>10</v>
      </c>
      <c r="D640" s="12" t="s">
        <v>848</v>
      </c>
      <c r="E640" s="10">
        <v>1800</v>
      </c>
      <c r="F640" s="10" t="s">
        <v>281</v>
      </c>
      <c r="G640" s="10" t="s">
        <v>85</v>
      </c>
      <c r="H640" s="10" t="s">
        <v>104</v>
      </c>
      <c r="I640" s="10" t="s">
        <v>11</v>
      </c>
      <c r="J640" s="13">
        <v>239.29500000000002</v>
      </c>
      <c r="K640" s="14"/>
      <c r="L640" t="e">
        <f>VLOOKUP(A640,Formulas!A:B,2,FALSE)</f>
        <v>#N/A</v>
      </c>
      <c r="M640" s="32"/>
    </row>
    <row r="641" spans="1:13" ht="47.5" customHeight="1">
      <c r="A641" s="10">
        <v>5670</v>
      </c>
      <c r="B641" s="11" t="s">
        <v>744</v>
      </c>
      <c r="C641" s="10" t="s">
        <v>10</v>
      </c>
      <c r="D641" s="12" t="s">
        <v>848</v>
      </c>
      <c r="E641" s="12">
        <v>1800</v>
      </c>
      <c r="F641" s="10" t="s">
        <v>281</v>
      </c>
      <c r="G641" s="10" t="s">
        <v>85</v>
      </c>
      <c r="H641" s="10" t="s">
        <v>104</v>
      </c>
      <c r="I641" s="10" t="s">
        <v>11</v>
      </c>
      <c r="J641" s="13">
        <v>239.29500000000002</v>
      </c>
      <c r="K641" s="14"/>
      <c r="L641" t="e">
        <f>VLOOKUP(A641,Formulas!A:B,2,FALSE)</f>
        <v>#N/A</v>
      </c>
      <c r="M641" s="32"/>
    </row>
    <row r="642" spans="1:13" ht="47.5" customHeight="1">
      <c r="A642" s="10">
        <v>5671</v>
      </c>
      <c r="B642" s="11" t="s">
        <v>745</v>
      </c>
      <c r="C642" s="10" t="s">
        <v>10</v>
      </c>
      <c r="D642" s="12" t="s">
        <v>848</v>
      </c>
      <c r="E642" s="10">
        <v>1800</v>
      </c>
      <c r="F642" s="10" t="s">
        <v>281</v>
      </c>
      <c r="G642" s="10" t="s">
        <v>85</v>
      </c>
      <c r="H642" s="10" t="s">
        <v>104</v>
      </c>
      <c r="I642" s="10" t="s">
        <v>11</v>
      </c>
      <c r="J642" s="13">
        <v>239.29500000000002</v>
      </c>
      <c r="K642" s="14"/>
      <c r="L642" t="e">
        <f>VLOOKUP(A642,Formulas!A:B,2,FALSE)</f>
        <v>#N/A</v>
      </c>
      <c r="M642" s="32"/>
    </row>
    <row r="643" spans="1:13" ht="47.5" customHeight="1">
      <c r="A643" s="10">
        <v>5672</v>
      </c>
      <c r="B643" s="11" t="s">
        <v>746</v>
      </c>
      <c r="C643" s="10" t="s">
        <v>10</v>
      </c>
      <c r="D643" s="12" t="s">
        <v>758</v>
      </c>
      <c r="E643" s="12">
        <v>2100</v>
      </c>
      <c r="F643" s="10" t="s">
        <v>281</v>
      </c>
      <c r="G643" s="10" t="s">
        <v>85</v>
      </c>
      <c r="H643" s="10" t="s">
        <v>291</v>
      </c>
      <c r="I643" s="10" t="s">
        <v>11</v>
      </c>
      <c r="J643" s="13">
        <v>261.55500000000001</v>
      </c>
      <c r="K643" s="14"/>
      <c r="L643" t="e">
        <f>VLOOKUP(A643,Formulas!A:B,2,FALSE)</f>
        <v>#N/A</v>
      </c>
      <c r="M643" s="32"/>
    </row>
    <row r="644" spans="1:13" ht="47.5" customHeight="1">
      <c r="A644" s="10">
        <v>5673</v>
      </c>
      <c r="B644" s="11" t="s">
        <v>747</v>
      </c>
      <c r="C644" s="10" t="s">
        <v>10</v>
      </c>
      <c r="D644" s="12" t="s">
        <v>758</v>
      </c>
      <c r="E644" s="10">
        <v>2100</v>
      </c>
      <c r="F644" s="10" t="s">
        <v>281</v>
      </c>
      <c r="G644" s="10" t="s">
        <v>85</v>
      </c>
      <c r="H644" s="10" t="s">
        <v>291</v>
      </c>
      <c r="I644" s="10" t="s">
        <v>11</v>
      </c>
      <c r="J644" s="13">
        <v>261.55500000000001</v>
      </c>
      <c r="K644" s="14"/>
      <c r="L644" t="e">
        <f>VLOOKUP(A644,Formulas!A:B,2,FALSE)</f>
        <v>#N/A</v>
      </c>
      <c r="M644" s="32"/>
    </row>
    <row r="645" spans="1:13" ht="47.5" customHeight="1">
      <c r="A645" s="10">
        <v>5674</v>
      </c>
      <c r="B645" s="11" t="s">
        <v>748</v>
      </c>
      <c r="C645" s="10" t="s">
        <v>10</v>
      </c>
      <c r="D645" s="12" t="s">
        <v>758</v>
      </c>
      <c r="E645" s="12">
        <v>2100</v>
      </c>
      <c r="F645" s="10" t="s">
        <v>281</v>
      </c>
      <c r="G645" s="10" t="s">
        <v>85</v>
      </c>
      <c r="H645" s="10" t="s">
        <v>291</v>
      </c>
      <c r="I645" s="10" t="s">
        <v>11</v>
      </c>
      <c r="J645" s="13">
        <v>261.55500000000001</v>
      </c>
      <c r="K645" s="14"/>
      <c r="L645" t="e">
        <f>VLOOKUP(A645,Formulas!A:B,2,FALSE)</f>
        <v>#N/A</v>
      </c>
      <c r="M645" s="32"/>
    </row>
    <row r="646" spans="1:13" ht="47.5" customHeight="1">
      <c r="A646" s="10">
        <v>5675</v>
      </c>
      <c r="B646" s="11" t="s">
        <v>749</v>
      </c>
      <c r="C646" s="10" t="s">
        <v>10</v>
      </c>
      <c r="D646" s="12" t="s">
        <v>758</v>
      </c>
      <c r="E646" s="10">
        <v>2100</v>
      </c>
      <c r="F646" s="10" t="s">
        <v>281</v>
      </c>
      <c r="G646" s="10" t="s">
        <v>85</v>
      </c>
      <c r="H646" s="10" t="s">
        <v>291</v>
      </c>
      <c r="I646" s="10" t="s">
        <v>11</v>
      </c>
      <c r="J646" s="13">
        <v>261.55500000000001</v>
      </c>
      <c r="K646" s="14"/>
      <c r="L646" t="e">
        <f>VLOOKUP(A646,Formulas!A:B,2,FALSE)</f>
        <v>#N/A</v>
      </c>
      <c r="M646" s="32"/>
    </row>
    <row r="647" spans="1:13" ht="47.5" customHeight="1">
      <c r="A647" s="10">
        <v>5676</v>
      </c>
      <c r="B647" s="11" t="s">
        <v>750</v>
      </c>
      <c r="C647" s="10" t="s">
        <v>10</v>
      </c>
      <c r="D647" s="12" t="s">
        <v>758</v>
      </c>
      <c r="E647" s="12">
        <v>2100</v>
      </c>
      <c r="F647" s="10" t="s">
        <v>281</v>
      </c>
      <c r="G647" s="10" t="s">
        <v>85</v>
      </c>
      <c r="H647" s="10" t="s">
        <v>291</v>
      </c>
      <c r="I647" s="10" t="s">
        <v>11</v>
      </c>
      <c r="J647" s="13">
        <v>261.55500000000001</v>
      </c>
      <c r="K647" s="14"/>
      <c r="L647" t="e">
        <f>VLOOKUP(A647,Formulas!A:B,2,FALSE)</f>
        <v>#N/A</v>
      </c>
      <c r="M647" s="32"/>
    </row>
    <row r="648" spans="1:13" ht="47.5" customHeight="1">
      <c r="A648" s="10">
        <v>5677</v>
      </c>
      <c r="B648" s="11" t="s">
        <v>751</v>
      </c>
      <c r="C648" s="10" t="s">
        <v>10</v>
      </c>
      <c r="D648" s="12" t="s">
        <v>758</v>
      </c>
      <c r="E648" s="10">
        <v>2025</v>
      </c>
      <c r="F648" s="10" t="s">
        <v>281</v>
      </c>
      <c r="G648" s="10" t="s">
        <v>85</v>
      </c>
      <c r="H648" s="10" t="s">
        <v>291</v>
      </c>
      <c r="I648" s="10" t="s">
        <v>11</v>
      </c>
      <c r="J648" s="13">
        <v>261.55500000000001</v>
      </c>
      <c r="K648" s="14"/>
      <c r="L648" t="e">
        <f>VLOOKUP(A648,Formulas!A:B,2,FALSE)</f>
        <v>#N/A</v>
      </c>
      <c r="M648" s="32"/>
    </row>
    <row r="649" spans="1:13" ht="47.5" customHeight="1">
      <c r="A649" s="10">
        <v>5678</v>
      </c>
      <c r="B649" s="11" t="s">
        <v>752</v>
      </c>
      <c r="C649" s="10" t="s">
        <v>10</v>
      </c>
      <c r="D649" s="12" t="s">
        <v>849</v>
      </c>
      <c r="E649" s="12">
        <v>3150</v>
      </c>
      <c r="F649" s="10" t="s">
        <v>281</v>
      </c>
      <c r="G649" s="10" t="s">
        <v>85</v>
      </c>
      <c r="H649" s="10" t="s">
        <v>206</v>
      </c>
      <c r="I649" s="10" t="s">
        <v>11</v>
      </c>
      <c r="J649" s="13">
        <v>310.52699999999999</v>
      </c>
      <c r="K649" s="14"/>
      <c r="L649" t="e">
        <f>VLOOKUP(A649,Formulas!A:B,2,FALSE)</f>
        <v>#N/A</v>
      </c>
      <c r="M649" s="32"/>
    </row>
    <row r="650" spans="1:13" ht="47.5" customHeight="1">
      <c r="A650" s="10">
        <v>5679</v>
      </c>
      <c r="B650" s="11" t="s">
        <v>753</v>
      </c>
      <c r="C650" s="10" t="s">
        <v>10</v>
      </c>
      <c r="D650" s="12" t="s">
        <v>849</v>
      </c>
      <c r="E650" s="10">
        <v>3150</v>
      </c>
      <c r="F650" s="10" t="s">
        <v>281</v>
      </c>
      <c r="G650" s="10" t="s">
        <v>85</v>
      </c>
      <c r="H650" s="10" t="s">
        <v>206</v>
      </c>
      <c r="I650" s="10" t="s">
        <v>11</v>
      </c>
      <c r="J650" s="13">
        <v>310.52699999999999</v>
      </c>
      <c r="K650" s="14"/>
      <c r="L650" t="e">
        <f>VLOOKUP(A650,Formulas!A:B,2,FALSE)</f>
        <v>#N/A</v>
      </c>
      <c r="M650" s="32"/>
    </row>
    <row r="651" spans="1:13" ht="46.5" customHeight="1">
      <c r="A651" s="10">
        <v>5680</v>
      </c>
      <c r="B651" s="11" t="s">
        <v>754</v>
      </c>
      <c r="C651" s="10" t="s">
        <v>10</v>
      </c>
      <c r="D651" s="12" t="s">
        <v>849</v>
      </c>
      <c r="E651" s="12">
        <v>3150</v>
      </c>
      <c r="F651" s="10" t="s">
        <v>281</v>
      </c>
      <c r="G651" s="10" t="s">
        <v>85</v>
      </c>
      <c r="H651" s="10" t="s">
        <v>206</v>
      </c>
      <c r="I651" s="10" t="s">
        <v>11</v>
      </c>
      <c r="J651" s="13">
        <v>310.52699999999999</v>
      </c>
      <c r="K651" s="14"/>
      <c r="L651" t="e">
        <f>VLOOKUP(A651,Formulas!A:B,2,FALSE)</f>
        <v>#N/A</v>
      </c>
      <c r="M651" s="32"/>
    </row>
    <row r="652" spans="1:13" ht="46.5" customHeight="1">
      <c r="A652" s="10">
        <v>5681</v>
      </c>
      <c r="B652" s="11" t="s">
        <v>755</v>
      </c>
      <c r="C652" s="10" t="s">
        <v>10</v>
      </c>
      <c r="D652" s="12" t="s">
        <v>849</v>
      </c>
      <c r="E652" s="10">
        <v>3150</v>
      </c>
      <c r="F652" s="10" t="s">
        <v>281</v>
      </c>
      <c r="G652" s="10" t="s">
        <v>85</v>
      </c>
      <c r="H652" s="10" t="s">
        <v>206</v>
      </c>
      <c r="I652" s="10" t="s">
        <v>11</v>
      </c>
      <c r="J652" s="13">
        <v>310.52699999999999</v>
      </c>
      <c r="K652" s="14"/>
      <c r="L652" t="e">
        <f>VLOOKUP(A652,Formulas!A:B,2,FALSE)</f>
        <v>#N/A</v>
      </c>
      <c r="M652" s="32"/>
    </row>
    <row r="653" spans="1:13" ht="46.5" customHeight="1">
      <c r="A653" s="10">
        <v>5682</v>
      </c>
      <c r="B653" s="11" t="s">
        <v>756</v>
      </c>
      <c r="C653" s="10" t="s">
        <v>10</v>
      </c>
      <c r="D653" s="12" t="s">
        <v>849</v>
      </c>
      <c r="E653" s="12">
        <v>3150</v>
      </c>
      <c r="F653" s="10" t="s">
        <v>281</v>
      </c>
      <c r="G653" s="10" t="s">
        <v>85</v>
      </c>
      <c r="H653" s="10" t="s">
        <v>206</v>
      </c>
      <c r="I653" s="10" t="s">
        <v>11</v>
      </c>
      <c r="J653" s="13">
        <v>310.52699999999999</v>
      </c>
      <c r="K653" s="14"/>
      <c r="L653" t="e">
        <f>VLOOKUP(A653,Formulas!A:B,2,FALSE)</f>
        <v>#N/A</v>
      </c>
      <c r="M653" s="32"/>
    </row>
    <row r="654" spans="1:13" ht="46.5" customHeight="1">
      <c r="A654" s="10">
        <v>5683</v>
      </c>
      <c r="B654" s="11" t="s">
        <v>757</v>
      </c>
      <c r="C654" s="10" t="s">
        <v>10</v>
      </c>
      <c r="D654" s="12" t="s">
        <v>849</v>
      </c>
      <c r="E654" s="10">
        <v>3150</v>
      </c>
      <c r="F654" s="10" t="s">
        <v>281</v>
      </c>
      <c r="G654" s="10" t="s">
        <v>85</v>
      </c>
      <c r="H654" s="10" t="s">
        <v>206</v>
      </c>
      <c r="I654" s="10" t="s">
        <v>11</v>
      </c>
      <c r="J654" s="13">
        <v>310.52699999999999</v>
      </c>
      <c r="K654" s="14"/>
      <c r="L654" t="e">
        <f>VLOOKUP(A654,Formulas!A:B,2,FALSE)</f>
        <v>#N/A</v>
      </c>
      <c r="M654" s="32"/>
    </row>
    <row r="655" spans="1:13" ht="46.5" customHeight="1">
      <c r="A655" s="10">
        <v>5690</v>
      </c>
      <c r="B655" s="11" t="s">
        <v>773</v>
      </c>
      <c r="C655" s="10" t="s">
        <v>10</v>
      </c>
      <c r="D655" s="12" t="s">
        <v>758</v>
      </c>
      <c r="E655" s="12">
        <v>2100</v>
      </c>
      <c r="F655" s="10" t="s">
        <v>281</v>
      </c>
      <c r="G655" s="10" t="s">
        <v>85</v>
      </c>
      <c r="H655" s="10" t="s">
        <v>291</v>
      </c>
      <c r="I655" s="10" t="s">
        <v>91</v>
      </c>
      <c r="J655" s="13">
        <v>300.51</v>
      </c>
      <c r="K655" s="14"/>
      <c r="L655" t="e">
        <f>VLOOKUP(A655,Formulas!A:B,2,FALSE)</f>
        <v>#N/A</v>
      </c>
      <c r="M655" s="32"/>
    </row>
    <row r="656" spans="1:13" ht="46.5" customHeight="1">
      <c r="A656" s="10">
        <v>5691</v>
      </c>
      <c r="B656" s="11" t="s">
        <v>774</v>
      </c>
      <c r="C656" s="10" t="s">
        <v>10</v>
      </c>
      <c r="D656" s="12" t="s">
        <v>758</v>
      </c>
      <c r="E656" s="10">
        <v>2100</v>
      </c>
      <c r="F656" s="10" t="s">
        <v>281</v>
      </c>
      <c r="G656" s="10" t="s">
        <v>85</v>
      </c>
      <c r="H656" s="10" t="s">
        <v>291</v>
      </c>
      <c r="I656" s="10" t="s">
        <v>91</v>
      </c>
      <c r="J656" s="13">
        <v>300.51</v>
      </c>
      <c r="K656" s="14"/>
      <c r="L656" t="e">
        <f>VLOOKUP(A656,Formulas!A:B,2,FALSE)</f>
        <v>#N/A</v>
      </c>
      <c r="M656" s="32"/>
    </row>
    <row r="657" spans="1:13" ht="46.5" customHeight="1">
      <c r="A657" s="10">
        <v>5692</v>
      </c>
      <c r="B657" s="11" t="s">
        <v>798</v>
      </c>
      <c r="C657" s="10" t="s">
        <v>10</v>
      </c>
      <c r="D657" s="12" t="s">
        <v>758</v>
      </c>
      <c r="E657" s="12">
        <v>2100</v>
      </c>
      <c r="F657" s="10" t="s">
        <v>281</v>
      </c>
      <c r="G657" s="10" t="s">
        <v>85</v>
      </c>
      <c r="H657" s="10" t="s">
        <v>291</v>
      </c>
      <c r="I657" s="10" t="s">
        <v>91</v>
      </c>
      <c r="J657" s="13">
        <v>300.51</v>
      </c>
      <c r="K657" s="14"/>
      <c r="L657" t="e">
        <f>VLOOKUP(A657,Formulas!A:B,2,FALSE)</f>
        <v>#N/A</v>
      </c>
      <c r="M657" s="32"/>
    </row>
    <row r="658" spans="1:13" ht="46.5" customHeight="1">
      <c r="A658" s="10">
        <v>5693</v>
      </c>
      <c r="B658" s="11" t="s">
        <v>775</v>
      </c>
      <c r="C658" s="10" t="s">
        <v>10</v>
      </c>
      <c r="D658" s="12" t="s">
        <v>758</v>
      </c>
      <c r="E658" s="10">
        <v>2100</v>
      </c>
      <c r="F658" s="10" t="s">
        <v>281</v>
      </c>
      <c r="G658" s="10" t="s">
        <v>85</v>
      </c>
      <c r="H658" s="10" t="s">
        <v>291</v>
      </c>
      <c r="I658" s="10" t="s">
        <v>91</v>
      </c>
      <c r="J658" s="13">
        <v>300.51</v>
      </c>
      <c r="K658" s="14"/>
      <c r="L658" t="e">
        <f>VLOOKUP(A658,Formulas!A:B,2,FALSE)</f>
        <v>#N/A</v>
      </c>
      <c r="M658" s="32"/>
    </row>
    <row r="659" spans="1:13" ht="46.5" customHeight="1">
      <c r="A659" s="10">
        <v>5694</v>
      </c>
      <c r="B659" s="11" t="s">
        <v>776</v>
      </c>
      <c r="C659" s="10" t="s">
        <v>10</v>
      </c>
      <c r="D659" s="12" t="s">
        <v>758</v>
      </c>
      <c r="E659" s="12">
        <v>2100</v>
      </c>
      <c r="F659" s="10" t="s">
        <v>281</v>
      </c>
      <c r="G659" s="10" t="s">
        <v>85</v>
      </c>
      <c r="H659" s="10" t="s">
        <v>291</v>
      </c>
      <c r="I659" s="10" t="s">
        <v>91</v>
      </c>
      <c r="J659" s="13">
        <v>300.51</v>
      </c>
      <c r="K659" s="14"/>
      <c r="L659" t="e">
        <f>VLOOKUP(A659,Formulas!A:B,2,FALSE)</f>
        <v>#N/A</v>
      </c>
      <c r="M659" s="32"/>
    </row>
    <row r="660" spans="1:13" ht="46.5" customHeight="1">
      <c r="A660" s="10">
        <v>5695</v>
      </c>
      <c r="B660" s="11" t="s">
        <v>777</v>
      </c>
      <c r="C660" s="10" t="s">
        <v>10</v>
      </c>
      <c r="D660" s="12" t="s">
        <v>758</v>
      </c>
      <c r="E660" s="10">
        <v>2100</v>
      </c>
      <c r="F660" s="10" t="s">
        <v>281</v>
      </c>
      <c r="G660" s="10" t="s">
        <v>85</v>
      </c>
      <c r="H660" s="10" t="s">
        <v>291</v>
      </c>
      <c r="I660" s="10" t="s">
        <v>91</v>
      </c>
      <c r="J660" s="13">
        <v>300.51</v>
      </c>
      <c r="K660" s="14"/>
      <c r="L660" t="e">
        <f>VLOOKUP(A660,Formulas!A:B,2,FALSE)</f>
        <v>#N/A</v>
      </c>
      <c r="M660" s="32"/>
    </row>
    <row r="661" spans="1:13" ht="46.5" hidden="1" customHeight="1">
      <c r="A661" s="10">
        <v>5798</v>
      </c>
      <c r="B661" s="11" t="s">
        <v>138</v>
      </c>
      <c r="C661" s="10" t="s">
        <v>10</v>
      </c>
      <c r="D661" s="12" t="s">
        <v>134</v>
      </c>
      <c r="E661" s="10">
        <v>225</v>
      </c>
      <c r="F661" s="10" t="s">
        <v>96</v>
      </c>
      <c r="G661" s="10" t="s">
        <v>90</v>
      </c>
      <c r="H661" s="10" t="s">
        <v>266</v>
      </c>
      <c r="I661" s="10" t="s">
        <v>91</v>
      </c>
      <c r="J661" s="13">
        <v>132.447</v>
      </c>
      <c r="K661" s="14" t="s">
        <v>105</v>
      </c>
      <c r="L661" t="str">
        <f>VLOOKUP(A661,Formulas!A:B,2,FALSE)</f>
        <v>177860</v>
      </c>
      <c r="M661" s="32"/>
    </row>
    <row r="662" spans="1:13" ht="46.5" hidden="1" customHeight="1">
      <c r="A662" s="10">
        <v>5799</v>
      </c>
      <c r="B662" s="11" t="s">
        <v>139</v>
      </c>
      <c r="C662" s="10" t="s">
        <v>10</v>
      </c>
      <c r="D662" s="12" t="s">
        <v>134</v>
      </c>
      <c r="E662" s="12">
        <v>225</v>
      </c>
      <c r="F662" s="10" t="s">
        <v>96</v>
      </c>
      <c r="G662" s="10" t="s">
        <v>90</v>
      </c>
      <c r="H662" s="10" t="s">
        <v>266</v>
      </c>
      <c r="I662" s="10" t="s">
        <v>91</v>
      </c>
      <c r="J662" s="13">
        <v>132.447</v>
      </c>
      <c r="K662" s="14" t="s">
        <v>105</v>
      </c>
      <c r="L662" t="str">
        <f>VLOOKUP(A662,Formulas!A:B,2,FALSE)</f>
        <v>178238</v>
      </c>
      <c r="M662" s="32"/>
    </row>
    <row r="663" spans="1:13" ht="46.5" customHeight="1">
      <c r="A663" s="10">
        <v>5800</v>
      </c>
      <c r="B663" s="11" t="s">
        <v>140</v>
      </c>
      <c r="C663" s="10" t="s">
        <v>10</v>
      </c>
      <c r="D663" s="12" t="s">
        <v>134</v>
      </c>
      <c r="E663" s="10">
        <v>225</v>
      </c>
      <c r="F663" s="10" t="s">
        <v>96</v>
      </c>
      <c r="G663" s="10" t="s">
        <v>90</v>
      </c>
      <c r="H663" s="10" t="s">
        <v>266</v>
      </c>
      <c r="I663" s="10" t="s">
        <v>91</v>
      </c>
      <c r="J663" s="13">
        <v>132.447</v>
      </c>
      <c r="K663" s="14" t="s">
        <v>105</v>
      </c>
      <c r="L663" t="e">
        <f>VLOOKUP(A663,Formulas!A:B,2,FALSE)</f>
        <v>#N/A</v>
      </c>
      <c r="M663" s="32"/>
    </row>
    <row r="664" spans="1:13" ht="46.5" customHeight="1">
      <c r="A664" s="10">
        <v>5801</v>
      </c>
      <c r="B664" s="11" t="s">
        <v>141</v>
      </c>
      <c r="C664" s="10" t="s">
        <v>10</v>
      </c>
      <c r="D664" s="12" t="s">
        <v>134</v>
      </c>
      <c r="E664" s="12">
        <v>225</v>
      </c>
      <c r="F664" s="10" t="s">
        <v>96</v>
      </c>
      <c r="G664" s="10" t="s">
        <v>90</v>
      </c>
      <c r="H664" s="10" t="s">
        <v>266</v>
      </c>
      <c r="I664" s="10" t="s">
        <v>91</v>
      </c>
      <c r="J664" s="13">
        <v>158.93639999999999</v>
      </c>
      <c r="K664" s="14" t="s">
        <v>105</v>
      </c>
      <c r="L664" t="e">
        <f>VLOOKUP(A664,Formulas!A:B,2,FALSE)</f>
        <v>#N/A</v>
      </c>
      <c r="M664" s="32"/>
    </row>
    <row r="665" spans="1:13" ht="46.5" customHeight="1">
      <c r="A665" s="10">
        <v>5802</v>
      </c>
      <c r="B665" s="11" t="s">
        <v>882</v>
      </c>
      <c r="C665" s="10" t="s">
        <v>10</v>
      </c>
      <c r="D665" s="12" t="s">
        <v>134</v>
      </c>
      <c r="E665" s="10">
        <v>225</v>
      </c>
      <c r="F665" s="10" t="s">
        <v>96</v>
      </c>
      <c r="G665" s="10" t="s">
        <v>90</v>
      </c>
      <c r="H665" s="10" t="s">
        <v>266</v>
      </c>
      <c r="I665" s="10" t="s">
        <v>91</v>
      </c>
      <c r="J665" s="13">
        <v>158.93639999999999</v>
      </c>
      <c r="K665" s="14" t="s">
        <v>105</v>
      </c>
      <c r="L665" t="e">
        <f>VLOOKUP(A665,Formulas!A:B,2,FALSE)</f>
        <v>#N/A</v>
      </c>
      <c r="M665" s="32"/>
    </row>
    <row r="666" spans="1:13" ht="46.5" customHeight="1">
      <c r="A666" s="10">
        <v>5823</v>
      </c>
      <c r="B666" s="11" t="s">
        <v>728</v>
      </c>
      <c r="C666" s="10" t="s">
        <v>10</v>
      </c>
      <c r="D666" s="12" t="s">
        <v>848</v>
      </c>
      <c r="E666" s="12">
        <v>1800</v>
      </c>
      <c r="F666" s="10" t="s">
        <v>266</v>
      </c>
      <c r="G666" s="10" t="s">
        <v>226</v>
      </c>
      <c r="H666" s="10" t="s">
        <v>104</v>
      </c>
      <c r="I666" s="10" t="s">
        <v>11</v>
      </c>
      <c r="J666" s="13">
        <v>199.227</v>
      </c>
      <c r="K666" s="14"/>
      <c r="L666" t="e">
        <f>VLOOKUP(A666,Formulas!A:B,2,FALSE)</f>
        <v>#N/A</v>
      </c>
      <c r="M666" s="32"/>
    </row>
    <row r="667" spans="1:13" ht="47.5" customHeight="1">
      <c r="A667" s="10">
        <v>5824</v>
      </c>
      <c r="B667" s="11" t="s">
        <v>729</v>
      </c>
      <c r="C667" s="10" t="s">
        <v>10</v>
      </c>
      <c r="D667" s="12" t="s">
        <v>848</v>
      </c>
      <c r="E667" s="10">
        <v>1800</v>
      </c>
      <c r="F667" s="10" t="s">
        <v>266</v>
      </c>
      <c r="G667" s="10" t="s">
        <v>226</v>
      </c>
      <c r="H667" s="10" t="s">
        <v>104</v>
      </c>
      <c r="I667" s="10" t="s">
        <v>11</v>
      </c>
      <c r="J667" s="13">
        <v>199.227</v>
      </c>
      <c r="K667" s="14"/>
      <c r="L667" t="e">
        <f>VLOOKUP(A667,Formulas!A:B,2,FALSE)</f>
        <v>#N/A</v>
      </c>
      <c r="M667" s="32"/>
    </row>
    <row r="668" spans="1:13" ht="47.5" customHeight="1">
      <c r="A668" s="10">
        <v>5825</v>
      </c>
      <c r="B668" s="11" t="s">
        <v>730</v>
      </c>
      <c r="C668" s="10" t="s">
        <v>10</v>
      </c>
      <c r="D668" s="12" t="s">
        <v>848</v>
      </c>
      <c r="E668" s="12">
        <v>1800</v>
      </c>
      <c r="F668" s="10" t="s">
        <v>266</v>
      </c>
      <c r="G668" s="10" t="s">
        <v>226</v>
      </c>
      <c r="H668" s="10" t="s">
        <v>104</v>
      </c>
      <c r="I668" s="10" t="s">
        <v>11</v>
      </c>
      <c r="J668" s="13">
        <v>199.227</v>
      </c>
      <c r="K668" s="14"/>
      <c r="L668" t="e">
        <f>VLOOKUP(A668,Formulas!A:B,2,FALSE)</f>
        <v>#N/A</v>
      </c>
      <c r="M668" s="32"/>
    </row>
    <row r="669" spans="1:13" ht="47.5" customHeight="1">
      <c r="A669" s="10">
        <v>5826</v>
      </c>
      <c r="B669" s="11" t="s">
        <v>731</v>
      </c>
      <c r="C669" s="10" t="s">
        <v>10</v>
      </c>
      <c r="D669" s="12" t="s">
        <v>848</v>
      </c>
      <c r="E669" s="10">
        <v>1800</v>
      </c>
      <c r="F669" s="10" t="s">
        <v>266</v>
      </c>
      <c r="G669" s="10" t="s">
        <v>226</v>
      </c>
      <c r="H669" s="10" t="s">
        <v>104</v>
      </c>
      <c r="I669" s="10" t="s">
        <v>11</v>
      </c>
      <c r="J669" s="13">
        <v>199.227</v>
      </c>
      <c r="K669" s="14"/>
      <c r="L669" t="e">
        <f>VLOOKUP(A669,Formulas!A:B,2,FALSE)</f>
        <v>#N/A</v>
      </c>
      <c r="M669" s="32"/>
    </row>
    <row r="670" spans="1:13" ht="42.5" customHeight="1">
      <c r="A670" s="10">
        <v>5827</v>
      </c>
      <c r="B670" s="11" t="s">
        <v>732</v>
      </c>
      <c r="C670" s="10" t="s">
        <v>10</v>
      </c>
      <c r="D670" s="12" t="s">
        <v>758</v>
      </c>
      <c r="E670" s="12">
        <v>2100</v>
      </c>
      <c r="F670" s="10" t="s">
        <v>266</v>
      </c>
      <c r="G670" s="10" t="s">
        <v>226</v>
      </c>
      <c r="H670" s="10" t="s">
        <v>841</v>
      </c>
      <c r="I670" s="10" t="s">
        <v>11</v>
      </c>
      <c r="J670" s="13">
        <v>210.357</v>
      </c>
      <c r="K670" s="14"/>
      <c r="L670" t="e">
        <f>VLOOKUP(A670,Formulas!A:B,2,FALSE)</f>
        <v>#N/A</v>
      </c>
      <c r="M670" s="32"/>
    </row>
    <row r="671" spans="1:13" ht="42.5" customHeight="1">
      <c r="A671" s="10">
        <v>5828</v>
      </c>
      <c r="B671" s="11" t="s">
        <v>733</v>
      </c>
      <c r="C671" s="10" t="s">
        <v>10</v>
      </c>
      <c r="D671" s="12" t="s">
        <v>758</v>
      </c>
      <c r="E671" s="10">
        <v>2100</v>
      </c>
      <c r="F671" s="10" t="s">
        <v>266</v>
      </c>
      <c r="G671" s="10" t="s">
        <v>226</v>
      </c>
      <c r="H671" s="10" t="s">
        <v>841</v>
      </c>
      <c r="I671" s="10" t="s">
        <v>11</v>
      </c>
      <c r="J671" s="13">
        <v>210.357</v>
      </c>
      <c r="K671" s="14"/>
      <c r="L671" t="e">
        <f>VLOOKUP(A671,Formulas!A:B,2,FALSE)</f>
        <v>#N/A</v>
      </c>
      <c r="M671" s="32"/>
    </row>
    <row r="672" spans="1:13" ht="42.5" customHeight="1">
      <c r="A672" s="10">
        <v>5829</v>
      </c>
      <c r="B672" s="11" t="s">
        <v>734</v>
      </c>
      <c r="C672" s="10" t="s">
        <v>10</v>
      </c>
      <c r="D672" s="12" t="s">
        <v>758</v>
      </c>
      <c r="E672" s="12">
        <v>2100</v>
      </c>
      <c r="F672" s="10" t="s">
        <v>266</v>
      </c>
      <c r="G672" s="10" t="s">
        <v>226</v>
      </c>
      <c r="H672" s="10" t="s">
        <v>841</v>
      </c>
      <c r="I672" s="10" t="s">
        <v>11</v>
      </c>
      <c r="J672" s="13">
        <v>210.357</v>
      </c>
      <c r="K672" s="14"/>
      <c r="L672" t="e">
        <f>VLOOKUP(A672,Formulas!A:B,2,FALSE)</f>
        <v>#N/A</v>
      </c>
      <c r="M672" s="32"/>
    </row>
    <row r="673" spans="1:13" ht="47.5" customHeight="1">
      <c r="A673" s="10">
        <v>5830</v>
      </c>
      <c r="B673" s="11" t="s">
        <v>735</v>
      </c>
      <c r="C673" s="10" t="s">
        <v>10</v>
      </c>
      <c r="D673" s="12" t="s">
        <v>758</v>
      </c>
      <c r="E673" s="10">
        <v>2100</v>
      </c>
      <c r="F673" s="10" t="s">
        <v>266</v>
      </c>
      <c r="G673" s="10" t="s">
        <v>226</v>
      </c>
      <c r="H673" s="10" t="s">
        <v>841</v>
      </c>
      <c r="I673" s="10" t="s">
        <v>11</v>
      </c>
      <c r="J673" s="13">
        <v>210.357</v>
      </c>
      <c r="K673" s="14"/>
      <c r="L673" t="e">
        <f>VLOOKUP(A673,Formulas!A:B,2,FALSE)</f>
        <v>#N/A</v>
      </c>
      <c r="M673" s="32"/>
    </row>
    <row r="674" spans="1:13" ht="47.5" customHeight="1">
      <c r="A674" s="10">
        <v>5831</v>
      </c>
      <c r="B674" s="11" t="s">
        <v>736</v>
      </c>
      <c r="C674" s="10" t="s">
        <v>10</v>
      </c>
      <c r="D674" s="12" t="s">
        <v>849</v>
      </c>
      <c r="E674" s="12">
        <v>3150</v>
      </c>
      <c r="F674" s="10" t="s">
        <v>266</v>
      </c>
      <c r="G674" s="10" t="s">
        <v>226</v>
      </c>
      <c r="H674" s="10" t="s">
        <v>206</v>
      </c>
      <c r="I674" s="10" t="s">
        <v>11</v>
      </c>
      <c r="J674" s="13">
        <v>245.97300000000001</v>
      </c>
      <c r="K674" s="14"/>
      <c r="L674" t="e">
        <f>VLOOKUP(A674,Formulas!A:B,2,FALSE)</f>
        <v>#N/A</v>
      </c>
      <c r="M674" s="32"/>
    </row>
    <row r="675" spans="1:13" ht="47.5" customHeight="1">
      <c r="A675" s="10">
        <v>5832</v>
      </c>
      <c r="B675" s="11" t="s">
        <v>737</v>
      </c>
      <c r="C675" s="10" t="s">
        <v>10</v>
      </c>
      <c r="D675" s="12" t="s">
        <v>849</v>
      </c>
      <c r="E675" s="10">
        <v>3150</v>
      </c>
      <c r="F675" s="10" t="s">
        <v>266</v>
      </c>
      <c r="G675" s="10" t="s">
        <v>226</v>
      </c>
      <c r="H675" s="10" t="s">
        <v>206</v>
      </c>
      <c r="I675" s="10" t="s">
        <v>11</v>
      </c>
      <c r="J675" s="13">
        <v>245.97300000000001</v>
      </c>
      <c r="K675" s="14"/>
      <c r="L675" t="e">
        <f>VLOOKUP(A675,Formulas!A:B,2,FALSE)</f>
        <v>#N/A</v>
      </c>
      <c r="M675" s="32"/>
    </row>
    <row r="676" spans="1:13" ht="47.5" customHeight="1">
      <c r="A676" s="10">
        <v>5833</v>
      </c>
      <c r="B676" s="11" t="s">
        <v>738</v>
      </c>
      <c r="C676" s="10" t="s">
        <v>10</v>
      </c>
      <c r="D676" s="12" t="s">
        <v>849</v>
      </c>
      <c r="E676" s="12">
        <v>3150</v>
      </c>
      <c r="F676" s="10" t="s">
        <v>266</v>
      </c>
      <c r="G676" s="10" t="s">
        <v>226</v>
      </c>
      <c r="H676" s="10" t="s">
        <v>206</v>
      </c>
      <c r="I676" s="10" t="s">
        <v>11</v>
      </c>
      <c r="J676" s="13">
        <v>245.97300000000001</v>
      </c>
      <c r="K676" s="14"/>
      <c r="L676" t="e">
        <f>VLOOKUP(A676,Formulas!A:B,2,FALSE)</f>
        <v>#N/A</v>
      </c>
      <c r="M676" s="32"/>
    </row>
    <row r="677" spans="1:13" ht="47.5" customHeight="1">
      <c r="A677" s="10">
        <v>5834</v>
      </c>
      <c r="B677" s="11" t="s">
        <v>739</v>
      </c>
      <c r="C677" s="10" t="s">
        <v>10</v>
      </c>
      <c r="D677" s="12" t="s">
        <v>849</v>
      </c>
      <c r="E677" s="10">
        <v>3150</v>
      </c>
      <c r="F677" s="10" t="s">
        <v>266</v>
      </c>
      <c r="G677" s="10" t="s">
        <v>226</v>
      </c>
      <c r="H677" s="10" t="s">
        <v>206</v>
      </c>
      <c r="I677" s="10" t="s">
        <v>11</v>
      </c>
      <c r="J677" s="13">
        <v>245.97300000000001</v>
      </c>
      <c r="K677" s="14"/>
      <c r="L677" t="e">
        <f>VLOOKUP(A677,Formulas!A:B,2,FALSE)</f>
        <v>#N/A</v>
      </c>
      <c r="M677" s="32"/>
    </row>
    <row r="678" spans="1:13" ht="47.5" customHeight="1">
      <c r="A678" s="10">
        <v>5839</v>
      </c>
      <c r="B678" s="11" t="s">
        <v>151</v>
      </c>
      <c r="C678" s="10" t="s">
        <v>10</v>
      </c>
      <c r="D678" s="12" t="s">
        <v>845</v>
      </c>
      <c r="E678" s="12">
        <v>1575</v>
      </c>
      <c r="F678" s="10" t="s">
        <v>266</v>
      </c>
      <c r="G678" s="10" t="s">
        <v>13</v>
      </c>
      <c r="H678" s="10" t="s">
        <v>13</v>
      </c>
      <c r="I678" s="10" t="s">
        <v>11</v>
      </c>
      <c r="J678" s="13">
        <v>221.48699999999999</v>
      </c>
      <c r="K678" s="14" t="s">
        <v>760</v>
      </c>
      <c r="L678" t="e">
        <f>VLOOKUP(A678,Formulas!A:B,2,FALSE)</f>
        <v>#N/A</v>
      </c>
      <c r="M678" s="32"/>
    </row>
    <row r="679" spans="1:13" ht="47.5" hidden="1" customHeight="1">
      <c r="A679" s="10">
        <v>5840</v>
      </c>
      <c r="B679" s="11" t="s">
        <v>152</v>
      </c>
      <c r="C679" s="10" t="s">
        <v>10</v>
      </c>
      <c r="D679" s="12" t="s">
        <v>845</v>
      </c>
      <c r="E679" s="10">
        <v>1575</v>
      </c>
      <c r="F679" s="10" t="s">
        <v>266</v>
      </c>
      <c r="G679" s="10" t="s">
        <v>13</v>
      </c>
      <c r="H679" s="10" t="s">
        <v>13</v>
      </c>
      <c r="I679" s="10" t="s">
        <v>11</v>
      </c>
      <c r="J679" s="13">
        <v>221.48699999999999</v>
      </c>
      <c r="K679" s="14" t="s">
        <v>760</v>
      </c>
      <c r="L679" t="str">
        <f>VLOOKUP(A679,Formulas!A:B,2,FALSE)</f>
        <v>178632</v>
      </c>
      <c r="M679" s="32"/>
    </row>
    <row r="680" spans="1:13" ht="47.5" customHeight="1">
      <c r="A680" s="10">
        <v>5843</v>
      </c>
      <c r="B680" s="11" t="s">
        <v>153</v>
      </c>
      <c r="C680" s="10" t="s">
        <v>10</v>
      </c>
      <c r="D680" s="12" t="s">
        <v>765</v>
      </c>
      <c r="E680" s="12">
        <v>2400</v>
      </c>
      <c r="F680" s="10" t="s">
        <v>266</v>
      </c>
      <c r="G680" s="10" t="s">
        <v>96</v>
      </c>
      <c r="H680" s="10" t="s">
        <v>96</v>
      </c>
      <c r="I680" s="10" t="s">
        <v>11</v>
      </c>
      <c r="J680" s="13">
        <v>324.99600000000004</v>
      </c>
      <c r="K680" s="14" t="s">
        <v>760</v>
      </c>
      <c r="L680" t="e">
        <f>VLOOKUP(A680,Formulas!A:B,2,FALSE)</f>
        <v>#N/A</v>
      </c>
      <c r="M680" s="32"/>
    </row>
    <row r="681" spans="1:13" ht="47.5" hidden="1" customHeight="1">
      <c r="A681" s="10">
        <v>5844</v>
      </c>
      <c r="B681" s="11" t="s">
        <v>154</v>
      </c>
      <c r="C681" s="10" t="s">
        <v>10</v>
      </c>
      <c r="D681" s="12" t="s">
        <v>765</v>
      </c>
      <c r="E681" s="10">
        <v>2400</v>
      </c>
      <c r="F681" s="10" t="s">
        <v>266</v>
      </c>
      <c r="G681" s="10" t="s">
        <v>96</v>
      </c>
      <c r="H681" s="10" t="s">
        <v>96</v>
      </c>
      <c r="I681" s="10" t="s">
        <v>11</v>
      </c>
      <c r="J681" s="13">
        <v>324.99600000000004</v>
      </c>
      <c r="K681" s="14" t="s">
        <v>760</v>
      </c>
      <c r="L681" t="str">
        <f>VLOOKUP(A681,Formulas!A:B,2,FALSE)</f>
        <v>178631</v>
      </c>
      <c r="M681" s="32"/>
    </row>
    <row r="682" spans="1:13" ht="54" customHeight="1">
      <c r="A682" s="10">
        <v>5855</v>
      </c>
      <c r="B682" s="11" t="s">
        <v>781</v>
      </c>
      <c r="C682" s="10" t="s">
        <v>10</v>
      </c>
      <c r="D682" s="12" t="s">
        <v>860</v>
      </c>
      <c r="E682" s="12">
        <v>2080</v>
      </c>
      <c r="F682" s="10" t="s">
        <v>103</v>
      </c>
      <c r="G682" s="10" t="s">
        <v>95</v>
      </c>
      <c r="H682" s="10" t="s">
        <v>95</v>
      </c>
      <c r="I682" s="10" t="s">
        <v>11</v>
      </c>
      <c r="J682" s="13">
        <v>143.577</v>
      </c>
      <c r="K682" s="14" t="s">
        <v>163</v>
      </c>
      <c r="L682" t="e">
        <f>VLOOKUP(A682,Formulas!A:B,2,FALSE)</f>
        <v>#N/A</v>
      </c>
      <c r="M682" s="32"/>
    </row>
    <row r="683" spans="1:13" ht="50.25" customHeight="1">
      <c r="A683" s="10">
        <v>5856</v>
      </c>
      <c r="B683" s="11" t="s">
        <v>782</v>
      </c>
      <c r="C683" s="10" t="s">
        <v>10</v>
      </c>
      <c r="D683" s="12" t="s">
        <v>860</v>
      </c>
      <c r="E683" s="10">
        <v>2080</v>
      </c>
      <c r="F683" s="10" t="s">
        <v>103</v>
      </c>
      <c r="G683" s="10" t="s">
        <v>95</v>
      </c>
      <c r="H683" s="10" t="s">
        <v>95</v>
      </c>
      <c r="I683" s="10" t="s">
        <v>11</v>
      </c>
      <c r="J683" s="13">
        <v>143.577</v>
      </c>
      <c r="K683" s="14" t="s">
        <v>163</v>
      </c>
      <c r="L683" t="e">
        <f>VLOOKUP(A683,Formulas!A:B,2,FALSE)</f>
        <v>#N/A</v>
      </c>
      <c r="M683" s="32"/>
    </row>
    <row r="684" spans="1:13" ht="54" customHeight="1">
      <c r="A684" s="10">
        <v>5857</v>
      </c>
      <c r="B684" s="11" t="s">
        <v>783</v>
      </c>
      <c r="C684" s="10" t="s">
        <v>10</v>
      </c>
      <c r="D684" s="12" t="s">
        <v>860</v>
      </c>
      <c r="E684" s="12">
        <v>2080</v>
      </c>
      <c r="F684" s="10" t="s">
        <v>103</v>
      </c>
      <c r="G684" s="10" t="s">
        <v>95</v>
      </c>
      <c r="H684" s="10" t="s">
        <v>95</v>
      </c>
      <c r="I684" s="10" t="s">
        <v>11</v>
      </c>
      <c r="J684" s="13">
        <v>143.577</v>
      </c>
      <c r="K684" s="14" t="s">
        <v>163</v>
      </c>
      <c r="L684" t="e">
        <f>VLOOKUP(A684,Formulas!A:B,2,FALSE)</f>
        <v>#N/A</v>
      </c>
      <c r="M684" s="32"/>
    </row>
    <row r="685" spans="1:13" ht="57.5" customHeight="1">
      <c r="A685" s="10">
        <v>5874</v>
      </c>
      <c r="B685" s="11" t="s">
        <v>155</v>
      </c>
      <c r="C685" s="10" t="s">
        <v>10</v>
      </c>
      <c r="D685" s="12" t="s">
        <v>846</v>
      </c>
      <c r="E685" s="12">
        <v>1950</v>
      </c>
      <c r="F685" s="10" t="s">
        <v>266</v>
      </c>
      <c r="G685" s="10" t="s">
        <v>13</v>
      </c>
      <c r="H685" s="10" t="s">
        <v>13</v>
      </c>
      <c r="I685" s="10" t="s">
        <v>11</v>
      </c>
      <c r="J685" s="13">
        <v>270.459</v>
      </c>
      <c r="K685" s="14" t="s">
        <v>760</v>
      </c>
      <c r="L685" t="e">
        <f>VLOOKUP(A685,Formulas!A:B,2,FALSE)</f>
        <v>#N/A</v>
      </c>
      <c r="M685" s="32"/>
    </row>
    <row r="686" spans="1:13" ht="57.5" customHeight="1">
      <c r="A686" s="10">
        <v>5875</v>
      </c>
      <c r="B686" s="11" t="s">
        <v>156</v>
      </c>
      <c r="C686" s="10" t="s">
        <v>10</v>
      </c>
      <c r="D686" s="12" t="s">
        <v>846</v>
      </c>
      <c r="E686" s="12">
        <v>1950</v>
      </c>
      <c r="F686" s="10" t="s">
        <v>266</v>
      </c>
      <c r="G686" s="10" t="s">
        <v>13</v>
      </c>
      <c r="H686" s="10" t="s">
        <v>13</v>
      </c>
      <c r="I686" s="10" t="s">
        <v>11</v>
      </c>
      <c r="J686" s="13">
        <v>270.459</v>
      </c>
      <c r="K686" s="14" t="s">
        <v>760</v>
      </c>
      <c r="L686" t="e">
        <f>VLOOKUP(A686,Formulas!A:B,2,FALSE)</f>
        <v>#N/A</v>
      </c>
      <c r="M686" s="32"/>
    </row>
    <row r="687" spans="1:13" ht="57.5" customHeight="1">
      <c r="A687" s="10">
        <v>5878</v>
      </c>
      <c r="B687" s="11" t="s">
        <v>157</v>
      </c>
      <c r="C687" s="10" t="s">
        <v>10</v>
      </c>
      <c r="D687" s="12" t="s">
        <v>869</v>
      </c>
      <c r="E687" s="12">
        <v>3000</v>
      </c>
      <c r="F687" s="10" t="s">
        <v>266</v>
      </c>
      <c r="G687" s="10" t="s">
        <v>96</v>
      </c>
      <c r="H687" s="10" t="s">
        <v>12</v>
      </c>
      <c r="I687" s="10" t="s">
        <v>11</v>
      </c>
      <c r="J687" s="13">
        <v>388.43700000000001</v>
      </c>
      <c r="K687" s="14" t="s">
        <v>760</v>
      </c>
      <c r="L687" t="e">
        <f>VLOOKUP(A687,Formulas!A:B,2,FALSE)</f>
        <v>#N/A</v>
      </c>
      <c r="M687" s="32"/>
    </row>
    <row r="688" spans="1:13" ht="57.5" customHeight="1">
      <c r="A688" s="10">
        <v>5879</v>
      </c>
      <c r="B688" s="11" t="s">
        <v>158</v>
      </c>
      <c r="C688" s="10" t="s">
        <v>10</v>
      </c>
      <c r="D688" s="12" t="s">
        <v>869</v>
      </c>
      <c r="E688" s="10">
        <v>3000</v>
      </c>
      <c r="F688" s="10" t="s">
        <v>266</v>
      </c>
      <c r="G688" s="10" t="s">
        <v>96</v>
      </c>
      <c r="H688" s="10" t="s">
        <v>12</v>
      </c>
      <c r="I688" s="10" t="s">
        <v>11</v>
      </c>
      <c r="J688" s="13">
        <v>388.43700000000001</v>
      </c>
      <c r="K688" s="14" t="s">
        <v>760</v>
      </c>
      <c r="L688" t="e">
        <f>VLOOKUP(A688,Formulas!A:B,2,FALSE)</f>
        <v>#N/A</v>
      </c>
      <c r="M688" s="32"/>
    </row>
    <row r="689" spans="1:13" ht="57.5" customHeight="1">
      <c r="A689" s="10">
        <v>5895</v>
      </c>
      <c r="B689" s="11" t="s">
        <v>159</v>
      </c>
      <c r="C689" s="10" t="s">
        <v>10</v>
      </c>
      <c r="D689" s="12" t="s">
        <v>772</v>
      </c>
      <c r="E689" s="12">
        <v>900</v>
      </c>
      <c r="F689" s="10" t="s">
        <v>347</v>
      </c>
      <c r="G689" s="10" t="s">
        <v>289</v>
      </c>
      <c r="H689" s="10" t="s">
        <v>289</v>
      </c>
      <c r="I689" s="10" t="s">
        <v>91</v>
      </c>
      <c r="J689" s="13">
        <v>165.83699999999999</v>
      </c>
      <c r="K689" s="14"/>
      <c r="L689" t="e">
        <f>VLOOKUP(A689,Formulas!A:B,2,FALSE)</f>
        <v>#N/A</v>
      </c>
      <c r="M689" s="32"/>
    </row>
    <row r="690" spans="1:13" ht="57.5" customHeight="1">
      <c r="A690" s="10">
        <v>5896</v>
      </c>
      <c r="B690" s="11" t="s">
        <v>160</v>
      </c>
      <c r="C690" s="10" t="s">
        <v>10</v>
      </c>
      <c r="D690" s="12" t="s">
        <v>772</v>
      </c>
      <c r="E690" s="10">
        <v>900</v>
      </c>
      <c r="F690" s="10" t="s">
        <v>347</v>
      </c>
      <c r="G690" s="10" t="s">
        <v>289</v>
      </c>
      <c r="H690" s="10" t="s">
        <v>289</v>
      </c>
      <c r="I690" s="10" t="s">
        <v>91</v>
      </c>
      <c r="J690" s="13">
        <v>165.83699999999999</v>
      </c>
      <c r="K690" s="14"/>
      <c r="L690" t="e">
        <f>VLOOKUP(A690,Formulas!A:B,2,FALSE)</f>
        <v>#N/A</v>
      </c>
      <c r="M690" s="32"/>
    </row>
    <row r="691" spans="1:13" ht="57.5" customHeight="1">
      <c r="A691" s="10">
        <v>5897</v>
      </c>
      <c r="B691" s="11" t="s">
        <v>161</v>
      </c>
      <c r="C691" s="10" t="s">
        <v>10</v>
      </c>
      <c r="D691" s="12" t="s">
        <v>772</v>
      </c>
      <c r="E691" s="12">
        <v>900</v>
      </c>
      <c r="F691" s="10" t="s">
        <v>347</v>
      </c>
      <c r="G691" s="10" t="s">
        <v>289</v>
      </c>
      <c r="H691" s="10" t="s">
        <v>289</v>
      </c>
      <c r="I691" s="10" t="s">
        <v>91</v>
      </c>
      <c r="J691" s="13">
        <v>165.83699999999999</v>
      </c>
      <c r="K691" s="14"/>
      <c r="L691" t="e">
        <f>VLOOKUP(A691,Formulas!A:B,2,FALSE)</f>
        <v>#N/A</v>
      </c>
      <c r="M691" s="32"/>
    </row>
    <row r="692" spans="1:13" ht="57.5" customHeight="1">
      <c r="A692" s="10">
        <v>5901</v>
      </c>
      <c r="B692" s="11" t="s">
        <v>162</v>
      </c>
      <c r="C692" s="10" t="s">
        <v>10</v>
      </c>
      <c r="D692" s="12" t="s">
        <v>772</v>
      </c>
      <c r="E692" s="12">
        <v>900</v>
      </c>
      <c r="F692" s="10" t="s">
        <v>347</v>
      </c>
      <c r="G692" s="10" t="s">
        <v>289</v>
      </c>
      <c r="H692" s="10" t="s">
        <v>289</v>
      </c>
      <c r="I692" s="10" t="s">
        <v>91</v>
      </c>
      <c r="J692" s="13">
        <v>165.83699999999999</v>
      </c>
      <c r="K692" s="14"/>
      <c r="L692" t="e">
        <f>VLOOKUP(A692,Formulas!A:B,2,FALSE)</f>
        <v>#N/A</v>
      </c>
      <c r="M692" s="32"/>
    </row>
    <row r="693" spans="1:13" ht="57.5" hidden="1" customHeight="1">
      <c r="A693" s="10">
        <v>5909</v>
      </c>
      <c r="B693" s="11" t="s">
        <v>145</v>
      </c>
      <c r="C693" s="10" t="s">
        <v>10</v>
      </c>
      <c r="D693" s="12" t="s">
        <v>771</v>
      </c>
      <c r="E693" s="12">
        <v>900</v>
      </c>
      <c r="F693" s="10" t="s">
        <v>229</v>
      </c>
      <c r="G693" s="10" t="s">
        <v>270</v>
      </c>
      <c r="H693" s="10" t="s">
        <v>270</v>
      </c>
      <c r="I693" s="10" t="s">
        <v>91</v>
      </c>
      <c r="J693" s="13">
        <v>132.447</v>
      </c>
      <c r="K693" s="14"/>
      <c r="L693" t="str">
        <f>VLOOKUP(A693,Formulas!A:B,2,FALSE)</f>
        <v>177861</v>
      </c>
      <c r="M693" s="32"/>
    </row>
    <row r="694" spans="1:13" ht="57.5" customHeight="1">
      <c r="A694" s="10">
        <v>5910</v>
      </c>
      <c r="B694" s="11" t="s">
        <v>146</v>
      </c>
      <c r="C694" s="10" t="s">
        <v>10</v>
      </c>
      <c r="D694" s="12" t="s">
        <v>771</v>
      </c>
      <c r="E694" s="10">
        <v>900</v>
      </c>
      <c r="F694" s="10" t="s">
        <v>229</v>
      </c>
      <c r="G694" s="10" t="s">
        <v>270</v>
      </c>
      <c r="H694" s="10" t="s">
        <v>270</v>
      </c>
      <c r="I694" s="10" t="s">
        <v>91</v>
      </c>
      <c r="J694" s="13">
        <v>132.447</v>
      </c>
      <c r="K694" s="14"/>
      <c r="L694" t="e">
        <f>VLOOKUP(A694,Formulas!A:B,2,FALSE)</f>
        <v>#N/A</v>
      </c>
      <c r="M694" s="32"/>
    </row>
    <row r="695" spans="1:13" ht="57.5" customHeight="1">
      <c r="A695" s="10">
        <v>5911</v>
      </c>
      <c r="B695" s="11" t="s">
        <v>147</v>
      </c>
      <c r="C695" s="10" t="s">
        <v>10</v>
      </c>
      <c r="D695" s="12" t="s">
        <v>771</v>
      </c>
      <c r="E695" s="12">
        <v>900</v>
      </c>
      <c r="F695" s="10" t="s">
        <v>229</v>
      </c>
      <c r="G695" s="10" t="s">
        <v>270</v>
      </c>
      <c r="H695" s="10" t="s">
        <v>270</v>
      </c>
      <c r="I695" s="10" t="s">
        <v>91</v>
      </c>
      <c r="J695" s="13">
        <v>132.447</v>
      </c>
      <c r="K695" s="14"/>
      <c r="L695" t="e">
        <f>VLOOKUP(A695,Formulas!A:B,2,FALSE)</f>
        <v>#N/A</v>
      </c>
      <c r="M695" s="32"/>
    </row>
    <row r="696" spans="1:13" ht="57.5" customHeight="1">
      <c r="A696" s="10">
        <v>5929</v>
      </c>
      <c r="B696" s="11" t="s">
        <v>148</v>
      </c>
      <c r="C696" s="10" t="s">
        <v>10</v>
      </c>
      <c r="D696" s="12" t="s">
        <v>771</v>
      </c>
      <c r="E696" s="10">
        <v>900</v>
      </c>
      <c r="F696" s="10" t="s">
        <v>415</v>
      </c>
      <c r="G696" s="10" t="s">
        <v>270</v>
      </c>
      <c r="H696" s="10" t="s">
        <v>84</v>
      </c>
      <c r="I696" s="10" t="s">
        <v>1407</v>
      </c>
      <c r="J696" s="13">
        <v>132.447</v>
      </c>
      <c r="K696" s="14"/>
      <c r="L696" t="e">
        <f>VLOOKUP(A696,Formulas!A:B,2,FALSE)</f>
        <v>#N/A</v>
      </c>
      <c r="M696" s="32"/>
    </row>
    <row r="697" spans="1:13" ht="57.5" customHeight="1">
      <c r="A697" s="10">
        <v>5930</v>
      </c>
      <c r="B697" s="11" t="s">
        <v>149</v>
      </c>
      <c r="C697" s="10" t="s">
        <v>10</v>
      </c>
      <c r="D697" s="12" t="s">
        <v>771</v>
      </c>
      <c r="E697" s="12">
        <v>900</v>
      </c>
      <c r="F697" s="10" t="s">
        <v>415</v>
      </c>
      <c r="G697" s="10" t="s">
        <v>270</v>
      </c>
      <c r="H697" s="10" t="s">
        <v>84</v>
      </c>
      <c r="I697" s="10" t="s">
        <v>1407</v>
      </c>
      <c r="J697" s="13">
        <v>132.447</v>
      </c>
      <c r="K697" s="14"/>
      <c r="L697" t="e">
        <f>VLOOKUP(A697,Formulas!A:B,2,FALSE)</f>
        <v>#N/A</v>
      </c>
      <c r="M697" s="32"/>
    </row>
    <row r="698" spans="1:13" ht="57.5" customHeight="1">
      <c r="A698" s="10">
        <v>5931</v>
      </c>
      <c r="B698" s="11" t="s">
        <v>150</v>
      </c>
      <c r="C698" s="10" t="s">
        <v>10</v>
      </c>
      <c r="D698" s="12" t="s">
        <v>771</v>
      </c>
      <c r="E698" s="10">
        <v>900</v>
      </c>
      <c r="F698" s="10" t="s">
        <v>415</v>
      </c>
      <c r="G698" s="10" t="s">
        <v>270</v>
      </c>
      <c r="H698" s="10" t="s">
        <v>84</v>
      </c>
      <c r="I698" s="10" t="s">
        <v>1407</v>
      </c>
      <c r="J698" s="13">
        <v>132.447</v>
      </c>
      <c r="K698" s="14"/>
      <c r="L698" t="e">
        <f>VLOOKUP(A698,Formulas!A:B,2,FALSE)</f>
        <v>#N/A</v>
      </c>
      <c r="M698" s="32"/>
    </row>
    <row r="699" spans="1:13" ht="57.5" customHeight="1">
      <c r="A699" s="10">
        <v>5939</v>
      </c>
      <c r="B699" s="11" t="s">
        <v>170</v>
      </c>
      <c r="C699" s="10" t="s">
        <v>10</v>
      </c>
      <c r="D699" s="12" t="s">
        <v>780</v>
      </c>
      <c r="E699" s="12">
        <v>150</v>
      </c>
      <c r="F699" s="10" t="s">
        <v>270</v>
      </c>
      <c r="G699" s="10" t="s">
        <v>266</v>
      </c>
      <c r="H699" s="10" t="s">
        <v>266</v>
      </c>
      <c r="I699" s="10" t="s">
        <v>91</v>
      </c>
      <c r="J699" s="13">
        <v>110.18700000000001</v>
      </c>
      <c r="K699" s="14"/>
      <c r="L699" t="e">
        <f>VLOOKUP(A699,Formulas!A:B,2,FALSE)</f>
        <v>#N/A</v>
      </c>
      <c r="M699" s="32"/>
    </row>
    <row r="700" spans="1:13" ht="57.5" customHeight="1">
      <c r="A700" s="10">
        <v>5940</v>
      </c>
      <c r="B700" s="11" t="s">
        <v>171</v>
      </c>
      <c r="C700" s="10" t="s">
        <v>10</v>
      </c>
      <c r="D700" s="12" t="s">
        <v>780</v>
      </c>
      <c r="E700" s="10">
        <v>150</v>
      </c>
      <c r="F700" s="10" t="s">
        <v>270</v>
      </c>
      <c r="G700" s="10" t="s">
        <v>266</v>
      </c>
      <c r="H700" s="10" t="s">
        <v>266</v>
      </c>
      <c r="I700" s="10" t="s">
        <v>91</v>
      </c>
      <c r="J700" s="13">
        <v>110.18700000000001</v>
      </c>
      <c r="K700" s="14"/>
      <c r="L700" t="e">
        <f>VLOOKUP(A700,Formulas!A:B,2,FALSE)</f>
        <v>#N/A</v>
      </c>
      <c r="M700" s="32"/>
    </row>
    <row r="701" spans="1:13" ht="57.5" customHeight="1">
      <c r="A701" s="10">
        <v>5941</v>
      </c>
      <c r="B701" s="11" t="s">
        <v>172</v>
      </c>
      <c r="C701" s="10" t="s">
        <v>10</v>
      </c>
      <c r="D701" s="12" t="s">
        <v>780</v>
      </c>
      <c r="E701" s="12">
        <v>150</v>
      </c>
      <c r="F701" s="10" t="s">
        <v>270</v>
      </c>
      <c r="G701" s="10" t="s">
        <v>266</v>
      </c>
      <c r="H701" s="10" t="s">
        <v>266</v>
      </c>
      <c r="I701" s="10" t="s">
        <v>91</v>
      </c>
      <c r="J701" s="13">
        <v>110.18700000000001</v>
      </c>
      <c r="K701" s="14"/>
      <c r="L701" t="e">
        <f>VLOOKUP(A701,Formulas!A:B,2,FALSE)</f>
        <v>#N/A</v>
      </c>
      <c r="M701" s="32"/>
    </row>
    <row r="702" spans="1:13" ht="57.5" customHeight="1">
      <c r="A702" s="10">
        <v>5943</v>
      </c>
      <c r="B702" s="11" t="s">
        <v>173</v>
      </c>
      <c r="C702" s="10" t="s">
        <v>10</v>
      </c>
      <c r="D702" s="12" t="s">
        <v>780</v>
      </c>
      <c r="E702" s="12">
        <v>150</v>
      </c>
      <c r="F702" s="10" t="s">
        <v>96</v>
      </c>
      <c r="G702" s="10" t="s">
        <v>266</v>
      </c>
      <c r="H702" s="10" t="s">
        <v>266</v>
      </c>
      <c r="I702" s="10" t="s">
        <v>91</v>
      </c>
      <c r="J702" s="13">
        <v>121.31700000000001</v>
      </c>
      <c r="K702" s="14"/>
      <c r="L702" t="e">
        <f>VLOOKUP(A702,Formulas!A:B,2,FALSE)</f>
        <v>#N/A</v>
      </c>
      <c r="M702" s="32"/>
    </row>
    <row r="703" spans="1:13" ht="57.5" customHeight="1">
      <c r="A703" s="10">
        <v>5944</v>
      </c>
      <c r="B703" s="11" t="s">
        <v>174</v>
      </c>
      <c r="C703" s="10" t="s">
        <v>10</v>
      </c>
      <c r="D703" s="12" t="s">
        <v>780</v>
      </c>
      <c r="E703" s="10">
        <v>150</v>
      </c>
      <c r="F703" s="10" t="s">
        <v>96</v>
      </c>
      <c r="G703" s="10" t="s">
        <v>266</v>
      </c>
      <c r="H703" s="10" t="s">
        <v>266</v>
      </c>
      <c r="I703" s="10" t="s">
        <v>91</v>
      </c>
      <c r="J703" s="13">
        <v>121.31700000000001</v>
      </c>
      <c r="K703" s="14"/>
      <c r="L703" t="e">
        <f>VLOOKUP(A703,Formulas!A:B,2,FALSE)</f>
        <v>#N/A</v>
      </c>
      <c r="M703" s="32"/>
    </row>
    <row r="704" spans="1:13" ht="57.5" customHeight="1">
      <c r="A704" s="10">
        <v>5945</v>
      </c>
      <c r="B704" s="11" t="s">
        <v>175</v>
      </c>
      <c r="C704" s="10" t="s">
        <v>10</v>
      </c>
      <c r="D704" s="12" t="s">
        <v>780</v>
      </c>
      <c r="E704" s="12">
        <v>150</v>
      </c>
      <c r="F704" s="10" t="s">
        <v>96</v>
      </c>
      <c r="G704" s="10" t="s">
        <v>266</v>
      </c>
      <c r="H704" s="10" t="s">
        <v>266</v>
      </c>
      <c r="I704" s="10" t="s">
        <v>91</v>
      </c>
      <c r="J704" s="13">
        <v>121.31700000000001</v>
      </c>
      <c r="K704" s="14"/>
      <c r="L704" t="e">
        <f>VLOOKUP(A704,Formulas!A:B,2,FALSE)</f>
        <v>#N/A</v>
      </c>
      <c r="M704" s="32"/>
    </row>
    <row r="705" spans="1:13" ht="57.5" customHeight="1">
      <c r="A705" s="10">
        <v>5955</v>
      </c>
      <c r="B705" s="11" t="s">
        <v>176</v>
      </c>
      <c r="C705" s="10" t="s">
        <v>10</v>
      </c>
      <c r="D705" s="12" t="s">
        <v>780</v>
      </c>
      <c r="E705" s="12">
        <v>150</v>
      </c>
      <c r="F705" s="10" t="s">
        <v>301</v>
      </c>
      <c r="G705" s="10" t="s">
        <v>266</v>
      </c>
      <c r="H705" s="10" t="s">
        <v>266</v>
      </c>
      <c r="I705" s="10" t="s">
        <v>11</v>
      </c>
      <c r="J705" s="13">
        <v>110.18700000000001</v>
      </c>
      <c r="K705" s="14"/>
      <c r="L705" t="e">
        <f>VLOOKUP(A705,Formulas!A:B,2,FALSE)</f>
        <v>#N/A</v>
      </c>
      <c r="M705" s="32"/>
    </row>
    <row r="706" spans="1:13" ht="57.5" customHeight="1">
      <c r="A706" s="10">
        <v>5956</v>
      </c>
      <c r="B706" s="11" t="s">
        <v>177</v>
      </c>
      <c r="C706" s="10" t="s">
        <v>10</v>
      </c>
      <c r="D706" s="12" t="s">
        <v>780</v>
      </c>
      <c r="E706" s="10">
        <v>150</v>
      </c>
      <c r="F706" s="10" t="s">
        <v>301</v>
      </c>
      <c r="G706" s="10" t="s">
        <v>266</v>
      </c>
      <c r="H706" s="10" t="s">
        <v>266</v>
      </c>
      <c r="I706" s="10" t="s">
        <v>11</v>
      </c>
      <c r="J706" s="13">
        <v>110.18700000000001</v>
      </c>
      <c r="K706" s="14"/>
      <c r="L706" t="e">
        <f>VLOOKUP(A706,Formulas!A:B,2,FALSE)</f>
        <v>#N/A</v>
      </c>
      <c r="M706" s="32"/>
    </row>
    <row r="707" spans="1:13" ht="57.5" customHeight="1">
      <c r="A707" s="10">
        <v>5957</v>
      </c>
      <c r="B707" s="11" t="s">
        <v>178</v>
      </c>
      <c r="C707" s="10" t="s">
        <v>10</v>
      </c>
      <c r="D707" s="12" t="s">
        <v>780</v>
      </c>
      <c r="E707" s="12">
        <v>150</v>
      </c>
      <c r="F707" s="10" t="s">
        <v>301</v>
      </c>
      <c r="G707" s="10" t="s">
        <v>266</v>
      </c>
      <c r="H707" s="10" t="s">
        <v>266</v>
      </c>
      <c r="I707" s="10" t="s">
        <v>11</v>
      </c>
      <c r="J707" s="13">
        <v>110.18700000000001</v>
      </c>
      <c r="K707" s="14"/>
      <c r="L707" t="e">
        <f>VLOOKUP(A707,Formulas!A:B,2,FALSE)</f>
        <v>#N/A</v>
      </c>
      <c r="M707" s="32"/>
    </row>
    <row r="708" spans="1:13" ht="57.5" customHeight="1">
      <c r="A708" s="10">
        <v>5959</v>
      </c>
      <c r="B708" s="11" t="s">
        <v>179</v>
      </c>
      <c r="C708" s="10" t="s">
        <v>10</v>
      </c>
      <c r="D708" s="12" t="s">
        <v>780</v>
      </c>
      <c r="E708" s="12">
        <v>150</v>
      </c>
      <c r="F708" s="10" t="s">
        <v>270</v>
      </c>
      <c r="G708" s="10" t="s">
        <v>266</v>
      </c>
      <c r="H708" s="10" t="s">
        <v>266</v>
      </c>
      <c r="I708" s="10" t="s">
        <v>11</v>
      </c>
      <c r="J708" s="13">
        <v>121.31700000000001</v>
      </c>
      <c r="K708" s="14"/>
      <c r="L708" t="e">
        <f>VLOOKUP(A708,Formulas!A:B,2,FALSE)</f>
        <v>#N/A</v>
      </c>
      <c r="M708" s="32"/>
    </row>
    <row r="709" spans="1:13" ht="57.5" customHeight="1">
      <c r="A709" s="10">
        <v>5960</v>
      </c>
      <c r="B709" s="11" t="s">
        <v>180</v>
      </c>
      <c r="C709" s="10" t="s">
        <v>10</v>
      </c>
      <c r="D709" s="12" t="s">
        <v>780</v>
      </c>
      <c r="E709" s="10">
        <v>150</v>
      </c>
      <c r="F709" s="10" t="s">
        <v>270</v>
      </c>
      <c r="G709" s="10" t="s">
        <v>266</v>
      </c>
      <c r="H709" s="10" t="s">
        <v>266</v>
      </c>
      <c r="I709" s="10" t="s">
        <v>11</v>
      </c>
      <c r="J709" s="13">
        <v>121.31700000000001</v>
      </c>
      <c r="K709" s="14"/>
      <c r="L709" t="e">
        <f>VLOOKUP(A709,Formulas!A:B,2,FALSE)</f>
        <v>#N/A</v>
      </c>
      <c r="M709" s="32"/>
    </row>
    <row r="710" spans="1:13" ht="57.5" customHeight="1">
      <c r="A710" s="10">
        <v>5961</v>
      </c>
      <c r="B710" s="11" t="s">
        <v>181</v>
      </c>
      <c r="C710" s="10" t="s">
        <v>10</v>
      </c>
      <c r="D710" s="12" t="s">
        <v>780</v>
      </c>
      <c r="E710" s="12">
        <v>150</v>
      </c>
      <c r="F710" s="10" t="s">
        <v>270</v>
      </c>
      <c r="G710" s="10" t="s">
        <v>266</v>
      </c>
      <c r="H710" s="10" t="s">
        <v>266</v>
      </c>
      <c r="I710" s="10" t="s">
        <v>11</v>
      </c>
      <c r="J710" s="13">
        <v>121.31700000000001</v>
      </c>
      <c r="K710" s="14"/>
      <c r="L710" t="e">
        <f>VLOOKUP(A710,Formulas!A:B,2,FALSE)</f>
        <v>#N/A</v>
      </c>
      <c r="M710" s="32"/>
    </row>
    <row r="711" spans="1:13" ht="57.5" customHeight="1">
      <c r="A711" s="10">
        <v>5971</v>
      </c>
      <c r="B711" s="11" t="s">
        <v>854</v>
      </c>
      <c r="C711" s="10" t="s">
        <v>10</v>
      </c>
      <c r="D711" s="12" t="s">
        <v>780</v>
      </c>
      <c r="E711" s="12">
        <v>150</v>
      </c>
      <c r="F711" s="10" t="s">
        <v>222</v>
      </c>
      <c r="G711" s="10" t="s">
        <v>266</v>
      </c>
      <c r="H711" s="10" t="s">
        <v>266</v>
      </c>
      <c r="I711" s="10" t="s">
        <v>11</v>
      </c>
      <c r="J711" s="13">
        <v>110.18700000000001</v>
      </c>
      <c r="K711" s="14"/>
      <c r="L711" t="e">
        <f>VLOOKUP(A711,Formulas!A:B,2,FALSE)</f>
        <v>#N/A</v>
      </c>
      <c r="M711" s="32"/>
    </row>
    <row r="712" spans="1:13" ht="57.5" customHeight="1">
      <c r="A712" s="10">
        <v>5972</v>
      </c>
      <c r="B712" s="11" t="s">
        <v>857</v>
      </c>
      <c r="C712" s="10" t="s">
        <v>10</v>
      </c>
      <c r="D712" s="12" t="s">
        <v>780</v>
      </c>
      <c r="E712" s="10">
        <v>150</v>
      </c>
      <c r="F712" s="10" t="s">
        <v>222</v>
      </c>
      <c r="G712" s="10" t="s">
        <v>266</v>
      </c>
      <c r="H712" s="10" t="s">
        <v>266</v>
      </c>
      <c r="I712" s="10" t="s">
        <v>11</v>
      </c>
      <c r="J712" s="13">
        <v>110.18700000000001</v>
      </c>
      <c r="K712" s="14"/>
      <c r="L712" t="e">
        <f>VLOOKUP(A712,Formulas!A:B,2,FALSE)</f>
        <v>#N/A</v>
      </c>
      <c r="M712" s="32"/>
    </row>
    <row r="713" spans="1:13" ht="57.5" customHeight="1">
      <c r="A713" s="10">
        <v>5973</v>
      </c>
      <c r="B713" s="11" t="s">
        <v>858</v>
      </c>
      <c r="C713" s="10" t="s">
        <v>10</v>
      </c>
      <c r="D713" s="12" t="s">
        <v>780</v>
      </c>
      <c r="E713" s="12">
        <v>150</v>
      </c>
      <c r="F713" s="10" t="s">
        <v>222</v>
      </c>
      <c r="G713" s="10" t="s">
        <v>266</v>
      </c>
      <c r="H713" s="10" t="s">
        <v>266</v>
      </c>
      <c r="I713" s="10" t="s">
        <v>11</v>
      </c>
      <c r="J713" s="13">
        <v>110.18700000000001</v>
      </c>
      <c r="K713" s="14"/>
      <c r="L713" t="e">
        <f>VLOOKUP(A713,Formulas!A:B,2,FALSE)</f>
        <v>#N/A</v>
      </c>
      <c r="M713" s="32"/>
    </row>
    <row r="714" spans="1:13" ht="57.5" customHeight="1">
      <c r="A714" s="15">
        <v>5979</v>
      </c>
      <c r="B714" s="16" t="s">
        <v>802</v>
      </c>
      <c r="C714" s="15" t="s">
        <v>10</v>
      </c>
      <c r="D714" s="17" t="s">
        <v>784</v>
      </c>
      <c r="E714" s="17">
        <v>300</v>
      </c>
      <c r="F714" s="15" t="s">
        <v>270</v>
      </c>
      <c r="G714" s="15" t="s">
        <v>266</v>
      </c>
      <c r="H714" s="15" t="s">
        <v>266</v>
      </c>
      <c r="I714" s="15" t="s">
        <v>11</v>
      </c>
      <c r="J714" s="18">
        <v>121.31700000000001</v>
      </c>
      <c r="K714" s="19"/>
      <c r="L714" t="e">
        <f>VLOOKUP(A714,Formulas!A:B,2,FALSE)</f>
        <v>#N/A</v>
      </c>
      <c r="M714" s="32"/>
    </row>
    <row r="715" spans="1:13" ht="57.5" customHeight="1">
      <c r="A715" s="10">
        <v>5980</v>
      </c>
      <c r="B715" s="11" t="s">
        <v>803</v>
      </c>
      <c r="C715" s="10" t="s">
        <v>10</v>
      </c>
      <c r="D715" s="12" t="s">
        <v>784</v>
      </c>
      <c r="E715" s="10">
        <v>300</v>
      </c>
      <c r="F715" s="10" t="s">
        <v>270</v>
      </c>
      <c r="G715" s="10" t="s">
        <v>266</v>
      </c>
      <c r="H715" s="10" t="s">
        <v>266</v>
      </c>
      <c r="I715" s="10" t="s">
        <v>11</v>
      </c>
      <c r="J715" s="13">
        <v>121.31700000000001</v>
      </c>
      <c r="K715" s="14"/>
      <c r="L715" t="e">
        <f>VLOOKUP(A715,Formulas!A:B,2,FALSE)</f>
        <v>#N/A</v>
      </c>
      <c r="M715" s="32"/>
    </row>
    <row r="716" spans="1:13" ht="57.5" customHeight="1">
      <c r="A716" s="10">
        <v>5981</v>
      </c>
      <c r="B716" s="11" t="s">
        <v>804</v>
      </c>
      <c r="C716" s="10" t="s">
        <v>10</v>
      </c>
      <c r="D716" s="12" t="s">
        <v>784</v>
      </c>
      <c r="E716" s="12">
        <v>300</v>
      </c>
      <c r="F716" s="10" t="s">
        <v>270</v>
      </c>
      <c r="G716" s="10" t="s">
        <v>266</v>
      </c>
      <c r="H716" s="10" t="s">
        <v>266</v>
      </c>
      <c r="I716" s="10" t="s">
        <v>11</v>
      </c>
      <c r="J716" s="13">
        <v>121.31700000000001</v>
      </c>
      <c r="K716" s="14"/>
      <c r="L716" t="e">
        <f>VLOOKUP(A716,Formulas!A:B,2,FALSE)</f>
        <v>#N/A</v>
      </c>
      <c r="M716" s="32"/>
    </row>
    <row r="717" spans="1:13" ht="57.5" customHeight="1">
      <c r="A717" s="15">
        <v>6018</v>
      </c>
      <c r="B717" s="16" t="s">
        <v>165</v>
      </c>
      <c r="C717" s="15" t="s">
        <v>102</v>
      </c>
      <c r="D717" s="17" t="s">
        <v>11</v>
      </c>
      <c r="E717" s="15" t="s">
        <v>11</v>
      </c>
      <c r="F717" s="15" t="s">
        <v>96</v>
      </c>
      <c r="G717" s="15" t="s">
        <v>391</v>
      </c>
      <c r="H717" s="15" t="s">
        <v>391</v>
      </c>
      <c r="I717" s="15" t="s">
        <v>206</v>
      </c>
      <c r="J717" s="18">
        <v>76.797000000000011</v>
      </c>
      <c r="K717" s="19"/>
      <c r="L717" t="e">
        <f>VLOOKUP(A717,Formulas!A:B,2,FALSE)</f>
        <v>#N/A</v>
      </c>
      <c r="M717" s="32"/>
    </row>
    <row r="718" spans="1:13" ht="42.5" customHeight="1">
      <c r="A718" s="10">
        <v>6019</v>
      </c>
      <c r="B718" s="11" t="s">
        <v>166</v>
      </c>
      <c r="C718" s="10" t="s">
        <v>102</v>
      </c>
      <c r="D718" s="12" t="s">
        <v>11</v>
      </c>
      <c r="E718" s="10" t="s">
        <v>11</v>
      </c>
      <c r="F718" s="10" t="s">
        <v>96</v>
      </c>
      <c r="G718" s="10" t="s">
        <v>391</v>
      </c>
      <c r="H718" s="10" t="s">
        <v>391</v>
      </c>
      <c r="I718" s="10" t="s">
        <v>206</v>
      </c>
      <c r="J718" s="13">
        <v>76.797000000000011</v>
      </c>
      <c r="K718" s="14"/>
      <c r="L718" t="e">
        <f>VLOOKUP(A718,Formulas!A:B,2,FALSE)</f>
        <v>#N/A</v>
      </c>
      <c r="M718" s="32"/>
    </row>
    <row r="719" spans="1:13" ht="42.5" customHeight="1">
      <c r="A719" s="10">
        <v>6020</v>
      </c>
      <c r="B719" s="11" t="s">
        <v>167</v>
      </c>
      <c r="C719" s="10" t="s">
        <v>102</v>
      </c>
      <c r="D719" s="12" t="s">
        <v>11</v>
      </c>
      <c r="E719" s="10" t="s">
        <v>11</v>
      </c>
      <c r="F719" s="10" t="s">
        <v>96</v>
      </c>
      <c r="G719" s="10" t="s">
        <v>391</v>
      </c>
      <c r="H719" s="10" t="s">
        <v>391</v>
      </c>
      <c r="I719" s="10" t="s">
        <v>206</v>
      </c>
      <c r="J719" s="13">
        <v>76.797000000000011</v>
      </c>
      <c r="K719" s="14"/>
      <c r="L719" t="e">
        <f>VLOOKUP(A719,Formulas!A:B,2,FALSE)</f>
        <v>#N/A</v>
      </c>
      <c r="M719" s="32"/>
    </row>
    <row r="720" spans="1:13" ht="42.5" customHeight="1">
      <c r="A720" s="10">
        <v>6021</v>
      </c>
      <c r="B720" s="11" t="s">
        <v>168</v>
      </c>
      <c r="C720" s="10" t="s">
        <v>102</v>
      </c>
      <c r="D720" s="12" t="s">
        <v>11</v>
      </c>
      <c r="E720" s="10" t="s">
        <v>11</v>
      </c>
      <c r="F720" s="10" t="s">
        <v>96</v>
      </c>
      <c r="G720" s="10" t="s">
        <v>391</v>
      </c>
      <c r="H720" s="10" t="s">
        <v>391</v>
      </c>
      <c r="I720" s="10" t="s">
        <v>206</v>
      </c>
      <c r="J720" s="13">
        <v>92.379000000000005</v>
      </c>
      <c r="K720" s="14"/>
      <c r="L720" t="e">
        <f>VLOOKUP(A720,Formulas!A:B,2,FALSE)</f>
        <v>#N/A</v>
      </c>
      <c r="M720" s="32"/>
    </row>
    <row r="721" spans="1:13" ht="42.5" customHeight="1">
      <c r="A721" s="10">
        <v>6022</v>
      </c>
      <c r="B721" s="11" t="s">
        <v>892</v>
      </c>
      <c r="C721" s="10" t="s">
        <v>102</v>
      </c>
      <c r="D721" s="12" t="s">
        <v>11</v>
      </c>
      <c r="E721" s="10" t="s">
        <v>11</v>
      </c>
      <c r="F721" s="10" t="s">
        <v>96</v>
      </c>
      <c r="G721" s="10" t="s">
        <v>391</v>
      </c>
      <c r="H721" s="10" t="s">
        <v>391</v>
      </c>
      <c r="I721" s="10" t="s">
        <v>206</v>
      </c>
      <c r="J721" s="13">
        <v>92.379000000000005</v>
      </c>
      <c r="K721" s="14"/>
      <c r="L721" t="e">
        <f>VLOOKUP(A721,Formulas!A:B,2,FALSE)</f>
        <v>#N/A</v>
      </c>
      <c r="M721" s="32"/>
    </row>
    <row r="722" spans="1:13" ht="42.5" customHeight="1">
      <c r="A722" s="10">
        <v>6024</v>
      </c>
      <c r="B722" s="11" t="s">
        <v>811</v>
      </c>
      <c r="C722" s="10" t="s">
        <v>10</v>
      </c>
      <c r="D722" s="12" t="s">
        <v>771</v>
      </c>
      <c r="E722" s="10">
        <v>900</v>
      </c>
      <c r="F722" s="10" t="s">
        <v>229</v>
      </c>
      <c r="G722" s="10" t="s">
        <v>270</v>
      </c>
      <c r="H722" s="10" t="s">
        <v>270</v>
      </c>
      <c r="I722" s="10" t="s">
        <v>91</v>
      </c>
      <c r="J722" s="13">
        <v>132.447</v>
      </c>
      <c r="K722" s="14"/>
      <c r="L722" t="e">
        <f>VLOOKUP(A722,Formulas!A:B,2,FALSE)</f>
        <v>#N/A</v>
      </c>
      <c r="M722" s="32"/>
    </row>
    <row r="723" spans="1:13" ht="42.5" customHeight="1">
      <c r="A723" s="10">
        <v>6025</v>
      </c>
      <c r="B723" s="11" t="s">
        <v>197</v>
      </c>
      <c r="C723" s="10" t="s">
        <v>10</v>
      </c>
      <c r="D723" s="12" t="s">
        <v>771</v>
      </c>
      <c r="E723" s="12">
        <v>900</v>
      </c>
      <c r="F723" s="10" t="s">
        <v>229</v>
      </c>
      <c r="G723" s="10" t="s">
        <v>270</v>
      </c>
      <c r="H723" s="10" t="s">
        <v>270</v>
      </c>
      <c r="I723" s="10" t="s">
        <v>91</v>
      </c>
      <c r="J723" s="13">
        <v>132.447</v>
      </c>
      <c r="K723" s="14"/>
      <c r="L723" t="e">
        <f>VLOOKUP(A723,Formulas!A:B,2,FALSE)</f>
        <v>#N/A</v>
      </c>
      <c r="M723" s="32"/>
    </row>
    <row r="724" spans="1:13" ht="42.5" customHeight="1">
      <c r="A724" s="10">
        <v>6026</v>
      </c>
      <c r="B724" s="11" t="s">
        <v>812</v>
      </c>
      <c r="C724" s="10" t="s">
        <v>10</v>
      </c>
      <c r="D724" s="12" t="s">
        <v>771</v>
      </c>
      <c r="E724" s="10">
        <v>900</v>
      </c>
      <c r="F724" s="10" t="s">
        <v>229</v>
      </c>
      <c r="G724" s="10" t="s">
        <v>270</v>
      </c>
      <c r="H724" s="10" t="s">
        <v>270</v>
      </c>
      <c r="I724" s="10" t="s">
        <v>91</v>
      </c>
      <c r="J724" s="13">
        <v>132.447</v>
      </c>
      <c r="K724" s="14"/>
      <c r="L724" t="e">
        <f>VLOOKUP(A724,Formulas!A:B,2,FALSE)</f>
        <v>#N/A</v>
      </c>
      <c r="M724" s="32"/>
    </row>
    <row r="725" spans="1:13" ht="42.5" customHeight="1">
      <c r="A725" s="10">
        <v>6027</v>
      </c>
      <c r="B725" s="11" t="s">
        <v>813</v>
      </c>
      <c r="C725" s="10" t="s">
        <v>10</v>
      </c>
      <c r="D725" s="12" t="s">
        <v>771</v>
      </c>
      <c r="E725" s="12">
        <v>900</v>
      </c>
      <c r="F725" s="10" t="s">
        <v>229</v>
      </c>
      <c r="G725" s="10" t="s">
        <v>270</v>
      </c>
      <c r="H725" s="10" t="s">
        <v>270</v>
      </c>
      <c r="I725" s="10" t="s">
        <v>91</v>
      </c>
      <c r="J725" s="13">
        <v>132.447</v>
      </c>
      <c r="K725" s="14"/>
      <c r="L725" t="e">
        <f>VLOOKUP(A725,Formulas!A:B,2,FALSE)</f>
        <v>#N/A</v>
      </c>
      <c r="M725" s="32"/>
    </row>
    <row r="726" spans="1:13" ht="42.5" customHeight="1">
      <c r="A726" s="10">
        <v>6032</v>
      </c>
      <c r="B726" s="11" t="s">
        <v>814</v>
      </c>
      <c r="C726" s="10" t="s">
        <v>10</v>
      </c>
      <c r="D726" s="12" t="s">
        <v>771</v>
      </c>
      <c r="E726" s="12">
        <v>900</v>
      </c>
      <c r="F726" s="10" t="s">
        <v>415</v>
      </c>
      <c r="G726" s="10" t="s">
        <v>270</v>
      </c>
      <c r="H726" s="10" t="s">
        <v>84</v>
      </c>
      <c r="I726" s="10" t="s">
        <v>1407</v>
      </c>
      <c r="J726" s="13">
        <v>132.447</v>
      </c>
      <c r="K726" s="14"/>
      <c r="L726" t="e">
        <f>VLOOKUP(A726,Formulas!A:B,2,FALSE)</f>
        <v>#N/A</v>
      </c>
      <c r="M726" s="32"/>
    </row>
    <row r="727" spans="1:13" ht="42.5" customHeight="1">
      <c r="A727" s="10">
        <v>6033</v>
      </c>
      <c r="B727" s="11" t="s">
        <v>183</v>
      </c>
      <c r="C727" s="10" t="s">
        <v>10</v>
      </c>
      <c r="D727" s="12" t="s">
        <v>771</v>
      </c>
      <c r="E727" s="10">
        <v>900</v>
      </c>
      <c r="F727" s="10" t="s">
        <v>415</v>
      </c>
      <c r="G727" s="10" t="s">
        <v>270</v>
      </c>
      <c r="H727" s="10" t="s">
        <v>84</v>
      </c>
      <c r="I727" s="10" t="s">
        <v>1407</v>
      </c>
      <c r="J727" s="13">
        <v>132.447</v>
      </c>
      <c r="K727" s="14"/>
      <c r="L727" t="e">
        <f>VLOOKUP(A727,Formulas!A:B,2,FALSE)</f>
        <v>#N/A</v>
      </c>
      <c r="M727" s="32"/>
    </row>
    <row r="728" spans="1:13" ht="42.5" customHeight="1">
      <c r="A728" s="10">
        <v>6034</v>
      </c>
      <c r="B728" s="11" t="s">
        <v>815</v>
      </c>
      <c r="C728" s="10" t="s">
        <v>10</v>
      </c>
      <c r="D728" s="12" t="s">
        <v>771</v>
      </c>
      <c r="E728" s="12">
        <v>900</v>
      </c>
      <c r="F728" s="10" t="s">
        <v>415</v>
      </c>
      <c r="G728" s="10" t="s">
        <v>270</v>
      </c>
      <c r="H728" s="10" t="s">
        <v>84</v>
      </c>
      <c r="I728" s="10" t="s">
        <v>1407</v>
      </c>
      <c r="J728" s="13">
        <v>132.447</v>
      </c>
      <c r="K728" s="14"/>
      <c r="L728" t="e">
        <f>VLOOKUP(A728,Formulas!A:B,2,FALSE)</f>
        <v>#N/A</v>
      </c>
      <c r="M728" s="32"/>
    </row>
    <row r="729" spans="1:13" ht="42.5" customHeight="1">
      <c r="A729" s="10">
        <v>6035</v>
      </c>
      <c r="B729" s="11" t="s">
        <v>816</v>
      </c>
      <c r="C729" s="10" t="s">
        <v>10</v>
      </c>
      <c r="D729" s="12" t="s">
        <v>772</v>
      </c>
      <c r="E729" s="10">
        <v>900</v>
      </c>
      <c r="F729" s="10" t="s">
        <v>415</v>
      </c>
      <c r="G729" s="10" t="s">
        <v>270</v>
      </c>
      <c r="H729" s="10" t="s">
        <v>84</v>
      </c>
      <c r="I729" s="10" t="s">
        <v>1407</v>
      </c>
      <c r="J729" s="13">
        <v>132.447</v>
      </c>
      <c r="K729" s="14"/>
      <c r="L729" t="e">
        <f>VLOOKUP(A729,Formulas!A:B,2,FALSE)</f>
        <v>#N/A</v>
      </c>
      <c r="M729" s="32"/>
    </row>
    <row r="730" spans="1:13" ht="42.5" customHeight="1">
      <c r="A730" s="10">
        <v>6040</v>
      </c>
      <c r="B730" s="11" t="s">
        <v>808</v>
      </c>
      <c r="C730" s="10" t="s">
        <v>10</v>
      </c>
      <c r="D730" s="12" t="s">
        <v>772</v>
      </c>
      <c r="E730" s="10">
        <v>900</v>
      </c>
      <c r="F730" s="10" t="s">
        <v>347</v>
      </c>
      <c r="G730" s="10" t="s">
        <v>289</v>
      </c>
      <c r="H730" s="10" t="s">
        <v>289</v>
      </c>
      <c r="I730" s="10" t="s">
        <v>91</v>
      </c>
      <c r="J730" s="13">
        <v>165.83699999999999</v>
      </c>
      <c r="K730" s="14"/>
      <c r="L730" t="e">
        <f>VLOOKUP(A730,Formulas!A:B,2,FALSE)</f>
        <v>#N/A</v>
      </c>
      <c r="M730" s="32"/>
    </row>
    <row r="731" spans="1:13" ht="42.5" customHeight="1">
      <c r="A731" s="10">
        <v>6041</v>
      </c>
      <c r="B731" s="11" t="s">
        <v>809</v>
      </c>
      <c r="C731" s="10" t="s">
        <v>10</v>
      </c>
      <c r="D731" s="12" t="s">
        <v>772</v>
      </c>
      <c r="E731" s="12">
        <v>900</v>
      </c>
      <c r="F731" s="10" t="s">
        <v>347</v>
      </c>
      <c r="G731" s="10" t="s">
        <v>289</v>
      </c>
      <c r="H731" s="10" t="s">
        <v>289</v>
      </c>
      <c r="I731" s="10" t="s">
        <v>91</v>
      </c>
      <c r="J731" s="13">
        <v>165.83699999999999</v>
      </c>
      <c r="K731" s="14"/>
      <c r="L731" t="e">
        <f>VLOOKUP(A731,Formulas!A:B,2,FALSE)</f>
        <v>#N/A</v>
      </c>
      <c r="M731" s="32"/>
    </row>
    <row r="732" spans="1:13" ht="42.5" customHeight="1">
      <c r="A732" s="10">
        <v>6042</v>
      </c>
      <c r="B732" s="11" t="s">
        <v>810</v>
      </c>
      <c r="C732" s="10" t="s">
        <v>10</v>
      </c>
      <c r="D732" s="12" t="s">
        <v>772</v>
      </c>
      <c r="E732" s="10">
        <v>900</v>
      </c>
      <c r="F732" s="10" t="s">
        <v>347</v>
      </c>
      <c r="G732" s="10" t="s">
        <v>289</v>
      </c>
      <c r="H732" s="10" t="s">
        <v>289</v>
      </c>
      <c r="I732" s="10" t="s">
        <v>91</v>
      </c>
      <c r="J732" s="13">
        <v>165.83699999999999</v>
      </c>
      <c r="K732" s="14"/>
      <c r="L732" t="e">
        <f>VLOOKUP(A732,Formulas!A:B,2,FALSE)</f>
        <v>#N/A</v>
      </c>
      <c r="M732" s="32"/>
    </row>
    <row r="733" spans="1:13" ht="42.5" hidden="1" customHeight="1">
      <c r="A733" s="10">
        <v>6046</v>
      </c>
      <c r="B733" s="11" t="s">
        <v>818</v>
      </c>
      <c r="C733" s="10" t="s">
        <v>10</v>
      </c>
      <c r="D733" s="12" t="s">
        <v>267</v>
      </c>
      <c r="E733" s="12">
        <v>225</v>
      </c>
      <c r="F733" s="10" t="s">
        <v>414</v>
      </c>
      <c r="G733" s="10" t="s">
        <v>90</v>
      </c>
      <c r="H733" s="10" t="s">
        <v>90</v>
      </c>
      <c r="I733" s="10" t="s">
        <v>91</v>
      </c>
      <c r="J733" s="13">
        <v>110.18700000000001</v>
      </c>
      <c r="K733" s="14"/>
      <c r="L733" t="str">
        <f>VLOOKUP(A733,Formulas!A:B,2,FALSE)</f>
        <v>178557</v>
      </c>
      <c r="M733" s="32"/>
    </row>
    <row r="734" spans="1:13" ht="42.5" hidden="1" customHeight="1">
      <c r="A734" s="10">
        <v>6047</v>
      </c>
      <c r="B734" s="11" t="s">
        <v>819</v>
      </c>
      <c r="C734" s="10" t="s">
        <v>10</v>
      </c>
      <c r="D734" s="12" t="s">
        <v>267</v>
      </c>
      <c r="E734" s="10">
        <v>225</v>
      </c>
      <c r="F734" s="10" t="s">
        <v>414</v>
      </c>
      <c r="G734" s="10" t="s">
        <v>90</v>
      </c>
      <c r="H734" s="10" t="s">
        <v>90</v>
      </c>
      <c r="I734" s="10" t="s">
        <v>91</v>
      </c>
      <c r="J734" s="13">
        <v>110.18700000000001</v>
      </c>
      <c r="K734" s="14"/>
      <c r="L734" t="str">
        <f>VLOOKUP(A734,Formulas!A:B,2,FALSE)</f>
        <v>179408</v>
      </c>
      <c r="M734" s="32"/>
    </row>
    <row r="735" spans="1:13" ht="42.5" customHeight="1">
      <c r="A735" s="10">
        <v>6048</v>
      </c>
      <c r="B735" s="11" t="s">
        <v>820</v>
      </c>
      <c r="C735" s="10" t="s">
        <v>10</v>
      </c>
      <c r="D735" s="12" t="s">
        <v>267</v>
      </c>
      <c r="E735" s="12">
        <v>225</v>
      </c>
      <c r="F735" s="10" t="s">
        <v>414</v>
      </c>
      <c r="G735" s="10" t="s">
        <v>90</v>
      </c>
      <c r="H735" s="10" t="s">
        <v>90</v>
      </c>
      <c r="I735" s="10" t="s">
        <v>91</v>
      </c>
      <c r="J735" s="13">
        <v>110.18700000000001</v>
      </c>
      <c r="K735" s="14"/>
      <c r="L735" t="e">
        <f>VLOOKUP(A735,Formulas!A:B,2,FALSE)</f>
        <v>#N/A</v>
      </c>
      <c r="M735" s="32"/>
    </row>
    <row r="736" spans="1:13" ht="42.5" hidden="1" customHeight="1">
      <c r="A736" s="10">
        <v>6049</v>
      </c>
      <c r="B736" s="11" t="s">
        <v>881</v>
      </c>
      <c r="C736" s="10" t="s">
        <v>10</v>
      </c>
      <c r="D736" s="12" t="s">
        <v>267</v>
      </c>
      <c r="E736" s="10">
        <v>225</v>
      </c>
      <c r="F736" s="10" t="s">
        <v>414</v>
      </c>
      <c r="G736" s="10" t="s">
        <v>90</v>
      </c>
      <c r="H736" s="10" t="s">
        <v>90</v>
      </c>
      <c r="I736" s="10" t="s">
        <v>91</v>
      </c>
      <c r="J736" s="13">
        <v>131.334</v>
      </c>
      <c r="K736" s="14"/>
      <c r="L736" t="str">
        <f>VLOOKUP(A736,Formulas!A:B,2,FALSE)</f>
        <v>177494</v>
      </c>
      <c r="M736" s="32"/>
    </row>
    <row r="737" spans="1:13" ht="42.5" customHeight="1">
      <c r="A737" s="10">
        <v>6050</v>
      </c>
      <c r="B737" s="11" t="s">
        <v>821</v>
      </c>
      <c r="C737" s="10" t="s">
        <v>10</v>
      </c>
      <c r="D737" s="12" t="s">
        <v>267</v>
      </c>
      <c r="E737" s="12">
        <v>225</v>
      </c>
      <c r="F737" s="10" t="s">
        <v>414</v>
      </c>
      <c r="G737" s="10" t="s">
        <v>90</v>
      </c>
      <c r="H737" s="10" t="s">
        <v>90</v>
      </c>
      <c r="I737" s="10" t="s">
        <v>91</v>
      </c>
      <c r="J737" s="13">
        <v>131.334</v>
      </c>
      <c r="K737" s="14"/>
      <c r="L737" t="e">
        <f>VLOOKUP(A737,Formulas!A:B,2,FALSE)</f>
        <v>#N/A</v>
      </c>
      <c r="M737" s="32"/>
    </row>
    <row r="738" spans="1:13" ht="42.5" hidden="1" customHeight="1">
      <c r="A738" s="10">
        <v>6051</v>
      </c>
      <c r="B738" s="11" t="s">
        <v>184</v>
      </c>
      <c r="C738" s="10" t="s">
        <v>10</v>
      </c>
      <c r="D738" s="12" t="s">
        <v>768</v>
      </c>
      <c r="E738" s="12">
        <v>375</v>
      </c>
      <c r="F738" s="10" t="s">
        <v>610</v>
      </c>
      <c r="G738" s="10" t="s">
        <v>222</v>
      </c>
      <c r="H738" s="10" t="s">
        <v>222</v>
      </c>
      <c r="I738" s="10" t="s">
        <v>91</v>
      </c>
      <c r="J738" s="13">
        <v>150.255</v>
      </c>
      <c r="K738" s="14"/>
      <c r="L738" t="str">
        <f>VLOOKUP(A738,Formulas!A:B,2,FALSE)</f>
        <v>177925</v>
      </c>
      <c r="M738" s="32"/>
    </row>
    <row r="739" spans="1:13" ht="42.5" hidden="1" customHeight="1">
      <c r="A739" s="10">
        <v>6052</v>
      </c>
      <c r="B739" s="11" t="s">
        <v>185</v>
      </c>
      <c r="C739" s="10" t="s">
        <v>10</v>
      </c>
      <c r="D739" s="12" t="s">
        <v>768</v>
      </c>
      <c r="E739" s="10">
        <v>375</v>
      </c>
      <c r="F739" s="10" t="s">
        <v>610</v>
      </c>
      <c r="G739" s="10" t="s">
        <v>222</v>
      </c>
      <c r="H739" s="10" t="s">
        <v>222</v>
      </c>
      <c r="I739" s="10" t="s">
        <v>91</v>
      </c>
      <c r="J739" s="13">
        <v>150.255</v>
      </c>
      <c r="K739" s="14"/>
      <c r="L739" t="str">
        <f>VLOOKUP(A739,Formulas!A:B,2,FALSE)</f>
        <v>177859</v>
      </c>
      <c r="M739" s="32"/>
    </row>
    <row r="740" spans="1:13" ht="42.5" customHeight="1">
      <c r="A740" s="10">
        <v>6053</v>
      </c>
      <c r="B740" s="11" t="s">
        <v>186</v>
      </c>
      <c r="C740" s="10" t="s">
        <v>10</v>
      </c>
      <c r="D740" s="12" t="s">
        <v>768</v>
      </c>
      <c r="E740" s="12">
        <v>375</v>
      </c>
      <c r="F740" s="10" t="s">
        <v>610</v>
      </c>
      <c r="G740" s="10" t="s">
        <v>222</v>
      </c>
      <c r="H740" s="10" t="s">
        <v>222</v>
      </c>
      <c r="I740" s="10" t="s">
        <v>91</v>
      </c>
      <c r="J740" s="13">
        <v>150.255</v>
      </c>
      <c r="K740" s="14"/>
      <c r="L740" t="e">
        <f>VLOOKUP(A740,Formulas!A:B,2,FALSE)</f>
        <v>#N/A</v>
      </c>
      <c r="M740" s="32"/>
    </row>
    <row r="741" spans="1:13" ht="42.5" customHeight="1">
      <c r="A741" s="10">
        <v>6057</v>
      </c>
      <c r="B741" s="11" t="s">
        <v>188</v>
      </c>
      <c r="C741" s="10" t="s">
        <v>10</v>
      </c>
      <c r="D741" s="12" t="s">
        <v>851</v>
      </c>
      <c r="E741" s="10">
        <v>2310</v>
      </c>
      <c r="F741" s="10" t="s">
        <v>288</v>
      </c>
      <c r="G741" s="10" t="s">
        <v>289</v>
      </c>
      <c r="H741" s="10" t="s">
        <v>289</v>
      </c>
      <c r="I741" s="10" t="s">
        <v>91</v>
      </c>
      <c r="J741" s="13">
        <v>170.28900000000002</v>
      </c>
      <c r="K741" s="14"/>
      <c r="L741" t="e">
        <f>VLOOKUP(A741,Formulas!A:B,2,FALSE)</f>
        <v>#N/A</v>
      </c>
      <c r="M741" s="32"/>
    </row>
    <row r="742" spans="1:13" ht="42.5" customHeight="1">
      <c r="A742" s="10">
        <v>6058</v>
      </c>
      <c r="B742" s="11" t="s">
        <v>187</v>
      </c>
      <c r="C742" s="10" t="s">
        <v>10</v>
      </c>
      <c r="D742" s="12" t="s">
        <v>851</v>
      </c>
      <c r="E742" s="12">
        <v>2310</v>
      </c>
      <c r="F742" s="10" t="s">
        <v>288</v>
      </c>
      <c r="G742" s="10" t="s">
        <v>289</v>
      </c>
      <c r="H742" s="10" t="s">
        <v>289</v>
      </c>
      <c r="I742" s="10" t="s">
        <v>91</v>
      </c>
      <c r="J742" s="13">
        <v>170.28900000000002</v>
      </c>
      <c r="K742" s="14"/>
      <c r="L742" t="e">
        <f>VLOOKUP(A742,Formulas!A:B,2,FALSE)</f>
        <v>#N/A</v>
      </c>
      <c r="M742" s="32"/>
    </row>
    <row r="743" spans="1:13" ht="42.5" customHeight="1">
      <c r="A743" s="10">
        <v>6059</v>
      </c>
      <c r="B743" s="11" t="s">
        <v>189</v>
      </c>
      <c r="C743" s="10" t="s">
        <v>10</v>
      </c>
      <c r="D743" s="12" t="s">
        <v>851</v>
      </c>
      <c r="E743" s="10">
        <v>2310</v>
      </c>
      <c r="F743" s="10" t="s">
        <v>288</v>
      </c>
      <c r="G743" s="10" t="s">
        <v>289</v>
      </c>
      <c r="H743" s="10" t="s">
        <v>289</v>
      </c>
      <c r="I743" s="10" t="s">
        <v>91</v>
      </c>
      <c r="J743" s="13">
        <v>170.28900000000002</v>
      </c>
      <c r="K743" s="14"/>
      <c r="L743" t="e">
        <f>VLOOKUP(A743,Formulas!A:B,2,FALSE)</f>
        <v>#N/A</v>
      </c>
      <c r="M743" s="32"/>
    </row>
    <row r="744" spans="1:13" ht="42.5" customHeight="1">
      <c r="A744" s="10">
        <v>6060</v>
      </c>
      <c r="B744" s="11" t="s">
        <v>805</v>
      </c>
      <c r="C744" s="10" t="s">
        <v>10</v>
      </c>
      <c r="D744" s="12" t="s">
        <v>851</v>
      </c>
      <c r="E744" s="12">
        <v>2310</v>
      </c>
      <c r="F744" s="10" t="s">
        <v>288</v>
      </c>
      <c r="G744" s="10" t="s">
        <v>289</v>
      </c>
      <c r="H744" s="10" t="s">
        <v>289</v>
      </c>
      <c r="I744" s="10" t="s">
        <v>91</v>
      </c>
      <c r="J744" s="13">
        <v>170.28900000000002</v>
      </c>
      <c r="K744" s="14"/>
      <c r="L744" t="e">
        <f>VLOOKUP(A744,Formulas!A:B,2,FALSE)</f>
        <v>#N/A</v>
      </c>
      <c r="M744" s="32"/>
    </row>
    <row r="745" spans="1:13" ht="42.5" customHeight="1">
      <c r="A745" s="10">
        <v>6061</v>
      </c>
      <c r="B745" s="11" t="s">
        <v>190</v>
      </c>
      <c r="C745" s="10" t="s">
        <v>10</v>
      </c>
      <c r="D745" s="12" t="s">
        <v>851</v>
      </c>
      <c r="E745" s="10">
        <v>2310</v>
      </c>
      <c r="F745" s="10" t="s">
        <v>288</v>
      </c>
      <c r="G745" s="10" t="s">
        <v>13</v>
      </c>
      <c r="H745" s="10" t="s">
        <v>13</v>
      </c>
      <c r="I745" s="10" t="s">
        <v>91</v>
      </c>
      <c r="J745" s="13">
        <v>170.28900000000002</v>
      </c>
      <c r="K745" s="14"/>
      <c r="L745" t="e">
        <f>VLOOKUP(A745,Formulas!A:B,2,FALSE)</f>
        <v>#N/A</v>
      </c>
      <c r="M745" s="32"/>
    </row>
    <row r="746" spans="1:13" ht="42.5" customHeight="1">
      <c r="A746" s="10">
        <v>6062</v>
      </c>
      <c r="B746" s="11" t="s">
        <v>806</v>
      </c>
      <c r="C746" s="10" t="s">
        <v>10</v>
      </c>
      <c r="D746" s="12" t="s">
        <v>851</v>
      </c>
      <c r="E746" s="12">
        <v>2310</v>
      </c>
      <c r="F746" s="10" t="s">
        <v>288</v>
      </c>
      <c r="G746" s="10" t="s">
        <v>13</v>
      </c>
      <c r="H746" s="10" t="s">
        <v>13</v>
      </c>
      <c r="I746" s="10" t="s">
        <v>91</v>
      </c>
      <c r="J746" s="13">
        <v>170.28900000000002</v>
      </c>
      <c r="K746" s="14"/>
      <c r="L746" t="e">
        <f>VLOOKUP(A746,Formulas!A:B,2,FALSE)</f>
        <v>#N/A</v>
      </c>
      <c r="M746" s="32"/>
    </row>
    <row r="747" spans="1:13" ht="42.5" customHeight="1">
      <c r="A747" s="10">
        <v>6063</v>
      </c>
      <c r="B747" s="11" t="s">
        <v>807</v>
      </c>
      <c r="C747" s="10" t="s">
        <v>10</v>
      </c>
      <c r="D747" s="12" t="s">
        <v>851</v>
      </c>
      <c r="E747" s="10">
        <v>2310</v>
      </c>
      <c r="F747" s="10" t="s">
        <v>288</v>
      </c>
      <c r="G747" s="10" t="s">
        <v>13</v>
      </c>
      <c r="H747" s="10" t="s">
        <v>13</v>
      </c>
      <c r="I747" s="10" t="s">
        <v>91</v>
      </c>
      <c r="J747" s="13">
        <v>170.28900000000002</v>
      </c>
      <c r="K747" s="14"/>
      <c r="L747" t="e">
        <f>VLOOKUP(A747,Formulas!A:B,2,FALSE)</f>
        <v>#N/A</v>
      </c>
      <c r="M747" s="32"/>
    </row>
    <row r="748" spans="1:13" ht="42.5" customHeight="1">
      <c r="A748" s="10">
        <v>6071</v>
      </c>
      <c r="B748" s="11" t="s">
        <v>191</v>
      </c>
      <c r="C748" s="10" t="s">
        <v>10</v>
      </c>
      <c r="D748" s="12" t="s">
        <v>768</v>
      </c>
      <c r="E748" s="12">
        <v>375</v>
      </c>
      <c r="F748" s="10" t="s">
        <v>229</v>
      </c>
      <c r="G748" s="10" t="s">
        <v>280</v>
      </c>
      <c r="H748" s="10" t="s">
        <v>280</v>
      </c>
      <c r="I748" s="10" t="s">
        <v>91</v>
      </c>
      <c r="J748" s="13">
        <v>148.02900000000002</v>
      </c>
      <c r="K748" s="14"/>
      <c r="L748" t="e">
        <f>VLOOKUP(A748,Formulas!A:B,2,FALSE)</f>
        <v>#N/A</v>
      </c>
      <c r="M748" s="32"/>
    </row>
    <row r="749" spans="1:13" ht="42.5" customHeight="1">
      <c r="A749" s="10">
        <v>6072</v>
      </c>
      <c r="B749" s="11" t="s">
        <v>192</v>
      </c>
      <c r="C749" s="10" t="s">
        <v>10</v>
      </c>
      <c r="D749" s="12" t="s">
        <v>768</v>
      </c>
      <c r="E749" s="10">
        <v>375</v>
      </c>
      <c r="F749" s="10" t="s">
        <v>229</v>
      </c>
      <c r="G749" s="10" t="s">
        <v>280</v>
      </c>
      <c r="H749" s="10" t="s">
        <v>280</v>
      </c>
      <c r="I749" s="10" t="s">
        <v>91</v>
      </c>
      <c r="J749" s="13">
        <v>148.02900000000002</v>
      </c>
      <c r="K749" s="14"/>
      <c r="L749" t="e">
        <f>VLOOKUP(A749,Formulas!A:B,2,FALSE)</f>
        <v>#N/A</v>
      </c>
      <c r="M749" s="32"/>
    </row>
    <row r="750" spans="1:13" ht="42.5" customHeight="1">
      <c r="A750" s="10">
        <v>6073</v>
      </c>
      <c r="B750" s="11" t="s">
        <v>193</v>
      </c>
      <c r="C750" s="10" t="s">
        <v>10</v>
      </c>
      <c r="D750" s="12" t="s">
        <v>768</v>
      </c>
      <c r="E750" s="12">
        <v>375</v>
      </c>
      <c r="F750" s="10" t="s">
        <v>229</v>
      </c>
      <c r="G750" s="10" t="s">
        <v>280</v>
      </c>
      <c r="H750" s="10" t="s">
        <v>280</v>
      </c>
      <c r="I750" s="10" t="s">
        <v>91</v>
      </c>
      <c r="J750" s="13">
        <v>148.02900000000002</v>
      </c>
      <c r="K750" s="14"/>
      <c r="L750" t="e">
        <f>VLOOKUP(A750,Formulas!A:B,2,FALSE)</f>
        <v>#N/A</v>
      </c>
      <c r="M750" s="32"/>
    </row>
    <row r="751" spans="1:13" ht="42.5" hidden="1" customHeight="1">
      <c r="A751" s="10">
        <v>6074</v>
      </c>
      <c r="B751" s="11" t="s">
        <v>877</v>
      </c>
      <c r="C751" s="10" t="s">
        <v>10</v>
      </c>
      <c r="D751" s="12" t="s">
        <v>768</v>
      </c>
      <c r="E751" s="10">
        <v>375</v>
      </c>
      <c r="F751" s="10" t="s">
        <v>229</v>
      </c>
      <c r="G751" s="10" t="s">
        <v>280</v>
      </c>
      <c r="H751" s="10" t="s">
        <v>280</v>
      </c>
      <c r="I751" s="10" t="s">
        <v>91</v>
      </c>
      <c r="J751" s="13">
        <v>148.02900000000002</v>
      </c>
      <c r="K751" s="14"/>
      <c r="L751" t="str">
        <f>VLOOKUP(A751,Formulas!A:B,2,FALSE)</f>
        <v>177649</v>
      </c>
      <c r="M751" s="32"/>
    </row>
    <row r="752" spans="1:13" ht="42.5" customHeight="1">
      <c r="A752" s="10">
        <v>6075</v>
      </c>
      <c r="B752" s="11" t="s">
        <v>878</v>
      </c>
      <c r="C752" s="10" t="s">
        <v>10</v>
      </c>
      <c r="D752" s="12" t="s">
        <v>768</v>
      </c>
      <c r="E752" s="12">
        <v>375</v>
      </c>
      <c r="F752" s="10" t="s">
        <v>229</v>
      </c>
      <c r="G752" s="10" t="s">
        <v>280</v>
      </c>
      <c r="H752" s="10" t="s">
        <v>280</v>
      </c>
      <c r="I752" s="10" t="s">
        <v>91</v>
      </c>
      <c r="J752" s="13">
        <v>148.02900000000002</v>
      </c>
      <c r="K752" s="14"/>
      <c r="L752" t="e">
        <f>VLOOKUP(A752,Formulas!A:B,2,FALSE)</f>
        <v>#N/A</v>
      </c>
      <c r="M752" s="32"/>
    </row>
    <row r="753" spans="1:13" ht="42.5" customHeight="1">
      <c r="A753" s="10">
        <v>6081</v>
      </c>
      <c r="B753" s="11" t="s">
        <v>194</v>
      </c>
      <c r="C753" s="10" t="s">
        <v>10</v>
      </c>
      <c r="D753" s="12" t="s">
        <v>768</v>
      </c>
      <c r="E753" s="10">
        <v>375</v>
      </c>
      <c r="F753" s="10" t="s">
        <v>229</v>
      </c>
      <c r="G753" s="10" t="s">
        <v>280</v>
      </c>
      <c r="H753" s="10" t="s">
        <v>84</v>
      </c>
      <c r="I753" s="10" t="s">
        <v>11</v>
      </c>
      <c r="J753" s="13">
        <v>161.38500000000002</v>
      </c>
      <c r="K753" s="14"/>
      <c r="L753" t="e">
        <f>VLOOKUP(A753,Formulas!A:B,2,FALSE)</f>
        <v>#N/A</v>
      </c>
      <c r="M753" s="32"/>
    </row>
    <row r="754" spans="1:13" ht="42.5" customHeight="1">
      <c r="A754" s="10">
        <v>6082</v>
      </c>
      <c r="B754" s="11" t="s">
        <v>195</v>
      </c>
      <c r="C754" s="10" t="s">
        <v>10</v>
      </c>
      <c r="D754" s="12" t="s">
        <v>768</v>
      </c>
      <c r="E754" s="12">
        <v>375</v>
      </c>
      <c r="F754" s="10" t="s">
        <v>229</v>
      </c>
      <c r="G754" s="10" t="s">
        <v>280</v>
      </c>
      <c r="H754" s="10" t="s">
        <v>84</v>
      </c>
      <c r="I754" s="10" t="s">
        <v>11</v>
      </c>
      <c r="J754" s="13">
        <v>161.38500000000002</v>
      </c>
      <c r="K754" s="14"/>
      <c r="L754" t="e">
        <f>VLOOKUP(A754,Formulas!A:B,2,FALSE)</f>
        <v>#N/A</v>
      </c>
      <c r="M754" s="32"/>
    </row>
    <row r="755" spans="1:13" ht="42.5" customHeight="1">
      <c r="A755" s="10">
        <v>6083</v>
      </c>
      <c r="B755" s="11" t="s">
        <v>196</v>
      </c>
      <c r="C755" s="10" t="s">
        <v>10</v>
      </c>
      <c r="D755" s="12" t="s">
        <v>768</v>
      </c>
      <c r="E755" s="10">
        <v>375</v>
      </c>
      <c r="F755" s="10" t="s">
        <v>229</v>
      </c>
      <c r="G755" s="10" t="s">
        <v>280</v>
      </c>
      <c r="H755" s="10" t="s">
        <v>84</v>
      </c>
      <c r="I755" s="10" t="s">
        <v>11</v>
      </c>
      <c r="J755" s="13">
        <v>161.38500000000002</v>
      </c>
      <c r="K755" s="14"/>
      <c r="L755" t="e">
        <f>VLOOKUP(A755,Formulas!A:B,2,FALSE)</f>
        <v>#N/A</v>
      </c>
      <c r="M755" s="32"/>
    </row>
    <row r="756" spans="1:13" ht="42.5" customHeight="1">
      <c r="A756" s="10">
        <v>6084</v>
      </c>
      <c r="B756" s="11" t="s">
        <v>879</v>
      </c>
      <c r="C756" s="10" t="s">
        <v>10</v>
      </c>
      <c r="D756" s="12" t="s">
        <v>768</v>
      </c>
      <c r="E756" s="12">
        <v>375</v>
      </c>
      <c r="F756" s="10" t="s">
        <v>229</v>
      </c>
      <c r="G756" s="10" t="s">
        <v>280</v>
      </c>
      <c r="H756" s="10" t="s">
        <v>84</v>
      </c>
      <c r="I756" s="10" t="s">
        <v>11</v>
      </c>
      <c r="J756" s="13">
        <v>161.38500000000002</v>
      </c>
      <c r="K756" s="14"/>
      <c r="L756" t="e">
        <f>VLOOKUP(A756,Formulas!A:B,2,FALSE)</f>
        <v>#N/A</v>
      </c>
      <c r="M756" s="32"/>
    </row>
    <row r="757" spans="1:13" ht="42.5" customHeight="1">
      <c r="A757" s="10">
        <v>6085</v>
      </c>
      <c r="B757" s="11" t="s">
        <v>880</v>
      </c>
      <c r="C757" s="10" t="s">
        <v>10</v>
      </c>
      <c r="D757" s="12" t="s">
        <v>768</v>
      </c>
      <c r="E757" s="10">
        <v>375</v>
      </c>
      <c r="F757" s="10" t="s">
        <v>229</v>
      </c>
      <c r="G757" s="10" t="s">
        <v>92</v>
      </c>
      <c r="H757" s="10" t="s">
        <v>13</v>
      </c>
      <c r="I757" s="10" t="s">
        <v>11</v>
      </c>
      <c r="J757" s="13">
        <v>161.38500000000002</v>
      </c>
      <c r="K757" s="14"/>
      <c r="L757" t="e">
        <f>VLOOKUP(A757,Formulas!A:B,2,FALSE)</f>
        <v>#N/A</v>
      </c>
      <c r="M757" s="32"/>
    </row>
    <row r="758" spans="1:13" ht="42.5" hidden="1" customHeight="1">
      <c r="A758" s="10">
        <v>6091</v>
      </c>
      <c r="B758" s="11" t="s">
        <v>1018</v>
      </c>
      <c r="C758" s="10" t="s">
        <v>182</v>
      </c>
      <c r="D758" s="12" t="s">
        <v>11</v>
      </c>
      <c r="E758" s="12" t="s">
        <v>11</v>
      </c>
      <c r="F758" s="10" t="s">
        <v>15</v>
      </c>
      <c r="G758" s="10" t="s">
        <v>108</v>
      </c>
      <c r="H758" s="10" t="s">
        <v>108</v>
      </c>
      <c r="I758" s="10"/>
      <c r="J758" s="13">
        <v>110.18700000000001</v>
      </c>
      <c r="K758" s="14"/>
      <c r="L758" t="str">
        <f>VLOOKUP(A758,Formulas!A:B,2,FALSE)</f>
        <v>177261</v>
      </c>
      <c r="M758" s="32"/>
    </row>
    <row r="759" spans="1:13" ht="42.5" customHeight="1">
      <c r="A759" s="10">
        <v>6092</v>
      </c>
      <c r="B759" s="11" t="s">
        <v>1019</v>
      </c>
      <c r="C759" s="10" t="s">
        <v>182</v>
      </c>
      <c r="D759" s="12" t="s">
        <v>11</v>
      </c>
      <c r="E759" s="10" t="s">
        <v>11</v>
      </c>
      <c r="F759" s="10" t="s">
        <v>15</v>
      </c>
      <c r="G759" s="10" t="s">
        <v>108</v>
      </c>
      <c r="H759" s="10" t="s">
        <v>108</v>
      </c>
      <c r="I759" s="10" t="s">
        <v>11</v>
      </c>
      <c r="J759" s="13">
        <v>110.18700000000001</v>
      </c>
      <c r="K759" s="14"/>
      <c r="L759" t="e">
        <f>VLOOKUP(A759,Formulas!A:B,2,FALSE)</f>
        <v>#N/A</v>
      </c>
      <c r="M759" s="32"/>
    </row>
    <row r="760" spans="1:13" ht="42.5" customHeight="1">
      <c r="A760" s="10">
        <v>6114</v>
      </c>
      <c r="B760" s="11" t="s">
        <v>199</v>
      </c>
      <c r="C760" s="10" t="s">
        <v>10</v>
      </c>
      <c r="D760" s="12" t="s">
        <v>853</v>
      </c>
      <c r="E760" s="10">
        <v>1050</v>
      </c>
      <c r="F760" s="10" t="s">
        <v>104</v>
      </c>
      <c r="G760" s="10" t="s">
        <v>203</v>
      </c>
      <c r="H760" s="10" t="s">
        <v>90</v>
      </c>
      <c r="I760" s="10" t="s">
        <v>11</v>
      </c>
      <c r="J760" s="13">
        <v>165.83699999999999</v>
      </c>
      <c r="K760" s="14"/>
      <c r="L760" t="e">
        <f>VLOOKUP(A760,Formulas!A:B,2,FALSE)</f>
        <v>#N/A</v>
      </c>
      <c r="M760" s="32"/>
    </row>
    <row r="761" spans="1:13" ht="42.5" hidden="1" customHeight="1">
      <c r="A761" s="10">
        <v>6115</v>
      </c>
      <c r="B761" s="11" t="s">
        <v>200</v>
      </c>
      <c r="C761" s="10" t="s">
        <v>10</v>
      </c>
      <c r="D761" s="12" t="s">
        <v>853</v>
      </c>
      <c r="E761" s="12">
        <v>1050</v>
      </c>
      <c r="F761" s="10" t="s">
        <v>104</v>
      </c>
      <c r="G761" s="10" t="s">
        <v>203</v>
      </c>
      <c r="H761" s="10" t="s">
        <v>90</v>
      </c>
      <c r="I761" s="10" t="s">
        <v>11</v>
      </c>
      <c r="J761" s="13">
        <v>165.83699999999999</v>
      </c>
      <c r="K761" s="14"/>
      <c r="L761" t="str">
        <f>VLOOKUP(A761,Formulas!A:B,2,FALSE)</f>
        <v>177565</v>
      </c>
      <c r="M761" s="32"/>
    </row>
    <row r="762" spans="1:13" ht="42.5" customHeight="1">
      <c r="A762" s="10">
        <v>6116</v>
      </c>
      <c r="B762" s="11" t="s">
        <v>201</v>
      </c>
      <c r="C762" s="10" t="s">
        <v>10</v>
      </c>
      <c r="D762" s="12" t="s">
        <v>853</v>
      </c>
      <c r="E762" s="10">
        <v>1050</v>
      </c>
      <c r="F762" s="10" t="s">
        <v>104</v>
      </c>
      <c r="G762" s="10" t="s">
        <v>203</v>
      </c>
      <c r="H762" s="10" t="s">
        <v>90</v>
      </c>
      <c r="I762" s="10" t="s">
        <v>11</v>
      </c>
      <c r="J762" s="13">
        <v>165.83699999999999</v>
      </c>
      <c r="K762" s="14"/>
      <c r="L762" t="e">
        <f>VLOOKUP(A762,Formulas!A:B,2,FALSE)</f>
        <v>#N/A</v>
      </c>
      <c r="M762" s="32"/>
    </row>
    <row r="763" spans="1:13" ht="42.5" customHeight="1">
      <c r="A763" s="10">
        <v>6126</v>
      </c>
      <c r="B763" s="11" t="s">
        <v>832</v>
      </c>
      <c r="C763" s="10" t="s">
        <v>273</v>
      </c>
      <c r="D763" s="12" t="s">
        <v>11</v>
      </c>
      <c r="E763" s="12" t="s">
        <v>11</v>
      </c>
      <c r="F763" s="10" t="s">
        <v>15</v>
      </c>
      <c r="G763" s="10" t="s">
        <v>221</v>
      </c>
      <c r="H763" s="10" t="s">
        <v>222</v>
      </c>
      <c r="I763" s="10" t="s">
        <v>11</v>
      </c>
      <c r="J763" s="13">
        <v>125.76900000000001</v>
      </c>
      <c r="K763" s="14"/>
      <c r="L763" t="e">
        <f>VLOOKUP(A763,Formulas!A:B,2,FALSE)</f>
        <v>#N/A</v>
      </c>
      <c r="M763" s="32"/>
    </row>
    <row r="764" spans="1:13" ht="42.5" customHeight="1">
      <c r="A764" s="10">
        <v>6127</v>
      </c>
      <c r="B764" s="11" t="s">
        <v>833</v>
      </c>
      <c r="C764" s="10" t="s">
        <v>273</v>
      </c>
      <c r="D764" s="12" t="s">
        <v>11</v>
      </c>
      <c r="E764" s="10" t="s">
        <v>11</v>
      </c>
      <c r="F764" s="10" t="s">
        <v>15</v>
      </c>
      <c r="G764" s="10" t="s">
        <v>221</v>
      </c>
      <c r="H764" s="10" t="s">
        <v>222</v>
      </c>
      <c r="I764" s="10" t="s">
        <v>11</v>
      </c>
      <c r="J764" s="13">
        <v>125.76900000000001</v>
      </c>
      <c r="K764" s="14"/>
      <c r="L764" t="e">
        <f>VLOOKUP(A764,Formulas!A:B,2,FALSE)</f>
        <v>#N/A</v>
      </c>
      <c r="M764" s="32"/>
    </row>
    <row r="765" spans="1:13" ht="42.5" customHeight="1">
      <c r="A765" s="10">
        <v>6128</v>
      </c>
      <c r="B765" s="11" t="s">
        <v>838</v>
      </c>
      <c r="C765" s="10" t="s">
        <v>102</v>
      </c>
      <c r="D765" s="12" t="s">
        <v>11</v>
      </c>
      <c r="E765" s="12" t="s">
        <v>11</v>
      </c>
      <c r="F765" s="10" t="s">
        <v>15</v>
      </c>
      <c r="G765" s="10" t="s">
        <v>92</v>
      </c>
      <c r="H765" s="10" t="s">
        <v>222</v>
      </c>
      <c r="I765" s="10" t="s">
        <v>11</v>
      </c>
      <c r="J765" s="13">
        <v>154.70699999999999</v>
      </c>
      <c r="K765" s="14"/>
      <c r="L765" t="e">
        <f>VLOOKUP(A765,Formulas!A:B,2,FALSE)</f>
        <v>#N/A</v>
      </c>
      <c r="M765" s="32"/>
    </row>
    <row r="766" spans="1:13" ht="42.5" customHeight="1">
      <c r="A766" s="10">
        <v>6129</v>
      </c>
      <c r="B766" s="11" t="s">
        <v>839</v>
      </c>
      <c r="C766" s="10" t="s">
        <v>102</v>
      </c>
      <c r="D766" s="12" t="s">
        <v>11</v>
      </c>
      <c r="E766" s="10" t="s">
        <v>11</v>
      </c>
      <c r="F766" s="10" t="s">
        <v>15</v>
      </c>
      <c r="G766" s="10" t="s">
        <v>92</v>
      </c>
      <c r="H766" s="10" t="s">
        <v>222</v>
      </c>
      <c r="I766" s="10" t="s">
        <v>11</v>
      </c>
      <c r="J766" s="13">
        <v>154.70699999999999</v>
      </c>
      <c r="K766" s="14"/>
      <c r="L766" t="e">
        <f>VLOOKUP(A766,Formulas!A:B,2,FALSE)</f>
        <v>#N/A</v>
      </c>
      <c r="M766" s="32"/>
    </row>
    <row r="767" spans="1:13" ht="42.5" customHeight="1">
      <c r="A767" s="10">
        <v>6130</v>
      </c>
      <c r="B767" s="11" t="s">
        <v>708</v>
      </c>
      <c r="C767" s="10" t="s">
        <v>273</v>
      </c>
      <c r="D767" s="12" t="s">
        <v>11</v>
      </c>
      <c r="E767" s="12" t="s">
        <v>11</v>
      </c>
      <c r="F767" s="10" t="s">
        <v>93</v>
      </c>
      <c r="G767" s="10" t="s">
        <v>222</v>
      </c>
      <c r="H767" s="10" t="s">
        <v>222</v>
      </c>
      <c r="I767" s="10" t="s">
        <v>11</v>
      </c>
      <c r="J767" s="13">
        <v>127.995</v>
      </c>
      <c r="K767" s="14"/>
      <c r="L767" t="e">
        <f>VLOOKUP(A767,Formulas!A:B,2,FALSE)</f>
        <v>#N/A</v>
      </c>
      <c r="M767" s="32"/>
    </row>
    <row r="768" spans="1:13" ht="42.5" customHeight="1">
      <c r="A768" s="10">
        <v>6131</v>
      </c>
      <c r="B768" s="11" t="s">
        <v>709</v>
      </c>
      <c r="C768" s="10" t="s">
        <v>273</v>
      </c>
      <c r="D768" s="12" t="s">
        <v>11</v>
      </c>
      <c r="E768" s="10" t="s">
        <v>11</v>
      </c>
      <c r="F768" s="10" t="s">
        <v>93</v>
      </c>
      <c r="G768" s="10" t="s">
        <v>222</v>
      </c>
      <c r="H768" s="10" t="s">
        <v>222</v>
      </c>
      <c r="I768" s="10" t="s">
        <v>11</v>
      </c>
      <c r="J768" s="13">
        <v>127.995</v>
      </c>
      <c r="K768" s="14"/>
      <c r="L768" t="e">
        <f>VLOOKUP(A768,Formulas!A:B,2,FALSE)</f>
        <v>#N/A</v>
      </c>
      <c r="M768" s="32"/>
    </row>
    <row r="769" spans="1:13" ht="42.5" customHeight="1">
      <c r="A769" s="10">
        <v>6132</v>
      </c>
      <c r="B769" s="11" t="s">
        <v>710</v>
      </c>
      <c r="C769" s="10" t="s">
        <v>273</v>
      </c>
      <c r="D769" s="12" t="s">
        <v>11</v>
      </c>
      <c r="E769" s="12" t="s">
        <v>11</v>
      </c>
      <c r="F769" s="10" t="s">
        <v>93</v>
      </c>
      <c r="G769" s="10" t="s">
        <v>222</v>
      </c>
      <c r="H769" s="10" t="s">
        <v>222</v>
      </c>
      <c r="I769" s="10" t="s">
        <v>11</v>
      </c>
      <c r="J769" s="13">
        <v>127.995</v>
      </c>
      <c r="K769" s="14"/>
      <c r="L769" t="e">
        <f>VLOOKUP(A769,Formulas!A:B,2,FALSE)</f>
        <v>#N/A</v>
      </c>
      <c r="M769" s="32"/>
    </row>
    <row r="770" spans="1:13" ht="42.5" customHeight="1">
      <c r="A770" s="10">
        <v>6133</v>
      </c>
      <c r="B770" s="11" t="s">
        <v>711</v>
      </c>
      <c r="C770" s="10" t="s">
        <v>102</v>
      </c>
      <c r="D770" s="12" t="s">
        <v>11</v>
      </c>
      <c r="E770" s="10" t="s">
        <v>11</v>
      </c>
      <c r="F770" s="10" t="s">
        <v>93</v>
      </c>
      <c r="G770" s="10" t="s">
        <v>222</v>
      </c>
      <c r="H770" s="10" t="s">
        <v>222</v>
      </c>
      <c r="I770" s="10" t="s">
        <v>11</v>
      </c>
      <c r="J770" s="13">
        <v>154.70699999999999</v>
      </c>
      <c r="K770" s="14"/>
      <c r="L770" t="e">
        <f>VLOOKUP(A770,Formulas!A:B,2,FALSE)</f>
        <v>#N/A</v>
      </c>
      <c r="M770" s="32"/>
    </row>
    <row r="771" spans="1:13" ht="42.5" customHeight="1">
      <c r="A771" s="10">
        <v>6134</v>
      </c>
      <c r="B771" s="11" t="s">
        <v>712</v>
      </c>
      <c r="C771" s="10" t="s">
        <v>102</v>
      </c>
      <c r="D771" s="12" t="s">
        <v>11</v>
      </c>
      <c r="E771" s="12" t="s">
        <v>11</v>
      </c>
      <c r="F771" s="10" t="s">
        <v>93</v>
      </c>
      <c r="G771" s="10" t="s">
        <v>222</v>
      </c>
      <c r="H771" s="10" t="s">
        <v>222</v>
      </c>
      <c r="I771" s="10" t="s">
        <v>11</v>
      </c>
      <c r="J771" s="13">
        <v>154.70699999999999</v>
      </c>
      <c r="K771" s="14"/>
      <c r="L771" t="e">
        <f>VLOOKUP(A771,Formulas!A:B,2,FALSE)</f>
        <v>#N/A</v>
      </c>
      <c r="M771" s="32"/>
    </row>
    <row r="772" spans="1:13" ht="42.5" customHeight="1">
      <c r="A772" s="10">
        <v>6135</v>
      </c>
      <c r="B772" s="11" t="s">
        <v>713</v>
      </c>
      <c r="C772" s="10" t="s">
        <v>102</v>
      </c>
      <c r="D772" s="12" t="s">
        <v>11</v>
      </c>
      <c r="E772" s="10" t="s">
        <v>11</v>
      </c>
      <c r="F772" s="10" t="s">
        <v>93</v>
      </c>
      <c r="G772" s="10" t="s">
        <v>222</v>
      </c>
      <c r="H772" s="10" t="s">
        <v>222</v>
      </c>
      <c r="I772" s="10" t="s">
        <v>11</v>
      </c>
      <c r="J772" s="13">
        <v>154.70699999999999</v>
      </c>
      <c r="K772" s="14"/>
      <c r="L772" t="e">
        <f>VLOOKUP(A772,Formulas!A:B,2,FALSE)</f>
        <v>#N/A</v>
      </c>
      <c r="M772" s="32"/>
    </row>
    <row r="773" spans="1:13" ht="42.5" customHeight="1">
      <c r="A773" s="10">
        <v>6136</v>
      </c>
      <c r="B773" s="11" t="s">
        <v>717</v>
      </c>
      <c r="C773" s="10" t="s">
        <v>11</v>
      </c>
      <c r="D773" s="12" t="s">
        <v>11</v>
      </c>
      <c r="E773" s="10" t="s">
        <v>11</v>
      </c>
      <c r="F773" s="10" t="s">
        <v>85</v>
      </c>
      <c r="G773" s="10" t="s">
        <v>103</v>
      </c>
      <c r="H773" s="10" t="s">
        <v>103</v>
      </c>
      <c r="I773" s="10" t="s">
        <v>11</v>
      </c>
      <c r="J773" s="13">
        <v>21.035699999999999</v>
      </c>
      <c r="K773" s="14"/>
      <c r="L773" t="e">
        <f>VLOOKUP(A773,Formulas!A:B,2,FALSE)</f>
        <v>#N/A</v>
      </c>
      <c r="M773" s="32"/>
    </row>
    <row r="774" spans="1:13" ht="42.5" customHeight="1">
      <c r="A774" s="10">
        <v>6137</v>
      </c>
      <c r="B774" s="11" t="s">
        <v>761</v>
      </c>
      <c r="C774" s="10" t="s">
        <v>11</v>
      </c>
      <c r="D774" s="12" t="s">
        <v>11</v>
      </c>
      <c r="E774" s="10" t="s">
        <v>11</v>
      </c>
      <c r="F774" s="10" t="s">
        <v>85</v>
      </c>
      <c r="G774" s="10" t="s">
        <v>92</v>
      </c>
      <c r="H774" s="10" t="s">
        <v>92</v>
      </c>
      <c r="I774" s="10" t="s">
        <v>11</v>
      </c>
      <c r="J774" s="13">
        <v>22.148700000000002</v>
      </c>
      <c r="K774" s="14"/>
      <c r="L774" t="e">
        <f>VLOOKUP(A774,Formulas!A:B,2,FALSE)</f>
        <v>#N/A</v>
      </c>
      <c r="M774" s="32"/>
    </row>
    <row r="775" spans="1:13" ht="42.5" customHeight="1">
      <c r="A775" s="10">
        <v>6139</v>
      </c>
      <c r="B775" s="11" t="s">
        <v>721</v>
      </c>
      <c r="C775" s="10" t="s">
        <v>11</v>
      </c>
      <c r="D775" s="12" t="s">
        <v>11</v>
      </c>
      <c r="E775" s="10" t="s">
        <v>11</v>
      </c>
      <c r="F775" s="10" t="s">
        <v>203</v>
      </c>
      <c r="G775" s="10" t="s">
        <v>208</v>
      </c>
      <c r="H775" s="10" t="s">
        <v>208</v>
      </c>
      <c r="I775" s="10" t="s">
        <v>11</v>
      </c>
      <c r="J775" s="13">
        <v>24.107579999999999</v>
      </c>
      <c r="K775" s="14"/>
      <c r="L775" t="e">
        <f>VLOOKUP(A775,Formulas!A:B,2,FALSE)</f>
        <v>#N/A</v>
      </c>
      <c r="M775" s="32"/>
    </row>
    <row r="776" spans="1:13" ht="42.5" customHeight="1">
      <c r="A776" s="10">
        <v>6140</v>
      </c>
      <c r="B776" s="11" t="s">
        <v>725</v>
      </c>
      <c r="C776" s="10" t="s">
        <v>11</v>
      </c>
      <c r="D776" s="12" t="s">
        <v>11</v>
      </c>
      <c r="E776" s="10" t="s">
        <v>11</v>
      </c>
      <c r="F776" s="10" t="s">
        <v>92</v>
      </c>
      <c r="G776" s="10" t="s">
        <v>208</v>
      </c>
      <c r="H776" s="10" t="s">
        <v>11</v>
      </c>
      <c r="I776" s="10" t="s">
        <v>11</v>
      </c>
      <c r="J776" s="13">
        <v>18.809699999999999</v>
      </c>
      <c r="K776" s="14"/>
      <c r="L776" t="e">
        <f>VLOOKUP(A776,Formulas!A:B,2,FALSE)</f>
        <v>#N/A</v>
      </c>
      <c r="M776" s="32"/>
    </row>
    <row r="777" spans="1:13" ht="42.5" customHeight="1">
      <c r="A777" s="10">
        <v>6141</v>
      </c>
      <c r="B777" s="11" t="s">
        <v>1012</v>
      </c>
      <c r="C777" s="10" t="s">
        <v>10</v>
      </c>
      <c r="D777" s="12" t="s">
        <v>770</v>
      </c>
      <c r="E777" s="12">
        <v>900</v>
      </c>
      <c r="F777" s="10" t="s">
        <v>15</v>
      </c>
      <c r="G777" s="10" t="s">
        <v>301</v>
      </c>
      <c r="H777" s="10" t="s">
        <v>301</v>
      </c>
      <c r="I777" s="10" t="s">
        <v>11</v>
      </c>
      <c r="J777" s="13">
        <v>165.83699999999999</v>
      </c>
      <c r="K777" s="14"/>
      <c r="L777" t="e">
        <f>VLOOKUP(A777,Formulas!A:B,2,FALSE)</f>
        <v>#N/A</v>
      </c>
      <c r="M777" s="32"/>
    </row>
    <row r="778" spans="1:13" ht="51.75" customHeight="1">
      <c r="A778" s="10">
        <v>6142</v>
      </c>
      <c r="B778" s="11" t="s">
        <v>1013</v>
      </c>
      <c r="C778" s="10" t="s">
        <v>10</v>
      </c>
      <c r="D778" s="12" t="s">
        <v>770</v>
      </c>
      <c r="E778" s="10">
        <v>900</v>
      </c>
      <c r="F778" s="10" t="s">
        <v>15</v>
      </c>
      <c r="G778" s="10" t="s">
        <v>301</v>
      </c>
      <c r="H778" s="10" t="s">
        <v>301</v>
      </c>
      <c r="I778" s="10" t="s">
        <v>11</v>
      </c>
      <c r="J778" s="13">
        <v>165.83699999999999</v>
      </c>
      <c r="K778" s="14"/>
      <c r="L778" t="e">
        <f>VLOOKUP(A778,Formulas!A:B,2,FALSE)</f>
        <v>#N/A</v>
      </c>
      <c r="M778" s="32"/>
    </row>
    <row r="779" spans="1:13" ht="51.75" customHeight="1">
      <c r="A779" s="10">
        <v>6181</v>
      </c>
      <c r="B779" s="11" t="s">
        <v>826</v>
      </c>
      <c r="C779" s="10" t="s">
        <v>10</v>
      </c>
      <c r="D779" s="12" t="s">
        <v>134</v>
      </c>
      <c r="E779" s="12">
        <v>225</v>
      </c>
      <c r="F779" s="10" t="s">
        <v>15</v>
      </c>
      <c r="G779" s="10" t="s">
        <v>90</v>
      </c>
      <c r="H779" s="10" t="s">
        <v>90</v>
      </c>
      <c r="I779" s="10" t="s">
        <v>11</v>
      </c>
      <c r="J779" s="13">
        <v>132.447</v>
      </c>
      <c r="K779" s="14"/>
      <c r="L779" t="e">
        <f>VLOOKUP(A779,Formulas!A:B,2,FALSE)</f>
        <v>#N/A</v>
      </c>
      <c r="M779" s="32"/>
    </row>
    <row r="780" spans="1:13" ht="51.75" customHeight="1">
      <c r="A780" s="10">
        <v>6183</v>
      </c>
      <c r="B780" s="11" t="s">
        <v>718</v>
      </c>
      <c r="C780" s="10" t="s">
        <v>11</v>
      </c>
      <c r="D780" s="12" t="s">
        <v>11</v>
      </c>
      <c r="E780" s="10" t="s">
        <v>11</v>
      </c>
      <c r="F780" s="10" t="s">
        <v>85</v>
      </c>
      <c r="G780" s="10" t="s">
        <v>103</v>
      </c>
      <c r="H780" s="10" t="s">
        <v>103</v>
      </c>
      <c r="I780" s="10" t="s">
        <v>11</v>
      </c>
      <c r="J780" s="13">
        <v>21.035699999999999</v>
      </c>
      <c r="K780" s="14"/>
      <c r="L780" t="e">
        <f>VLOOKUP(A780,Formulas!A:B,2,FALSE)</f>
        <v>#N/A</v>
      </c>
      <c r="M780" s="32"/>
    </row>
    <row r="781" spans="1:13" ht="51.75" customHeight="1">
      <c r="A781" s="10">
        <v>6184</v>
      </c>
      <c r="B781" s="11" t="s">
        <v>719</v>
      </c>
      <c r="C781" s="10" t="s">
        <v>11</v>
      </c>
      <c r="D781" s="12" t="s">
        <v>11</v>
      </c>
      <c r="E781" s="10" t="s">
        <v>11</v>
      </c>
      <c r="F781" s="10" t="s">
        <v>85</v>
      </c>
      <c r="G781" s="10" t="s">
        <v>103</v>
      </c>
      <c r="H781" s="10" t="s">
        <v>103</v>
      </c>
      <c r="I781" s="10" t="s">
        <v>11</v>
      </c>
      <c r="J781" s="13">
        <v>21.035699999999999</v>
      </c>
      <c r="K781" s="14"/>
      <c r="L781" t="e">
        <f>VLOOKUP(A781,Formulas!A:B,2,FALSE)</f>
        <v>#N/A</v>
      </c>
      <c r="M781" s="32"/>
    </row>
    <row r="782" spans="1:13" ht="51.75" customHeight="1">
      <c r="A782" s="10">
        <v>6185</v>
      </c>
      <c r="B782" s="11" t="s">
        <v>978</v>
      </c>
      <c r="C782" s="10" t="s">
        <v>11</v>
      </c>
      <c r="D782" s="12" t="s">
        <v>11</v>
      </c>
      <c r="E782" s="10" t="s">
        <v>11</v>
      </c>
      <c r="F782" s="10" t="s">
        <v>85</v>
      </c>
      <c r="G782" s="10" t="s">
        <v>103</v>
      </c>
      <c r="H782" s="10" t="s">
        <v>103</v>
      </c>
      <c r="I782" s="10" t="s">
        <v>11</v>
      </c>
      <c r="J782" s="13">
        <v>25.242840000000001</v>
      </c>
      <c r="K782" s="14"/>
      <c r="L782" t="e">
        <f>VLOOKUP(A782,Formulas!A:B,2,FALSE)</f>
        <v>#N/A</v>
      </c>
      <c r="M782" s="32"/>
    </row>
    <row r="783" spans="1:13" ht="51.75" customHeight="1">
      <c r="A783" s="10">
        <v>6186</v>
      </c>
      <c r="B783" s="11" t="s">
        <v>720</v>
      </c>
      <c r="C783" s="10" t="s">
        <v>11</v>
      </c>
      <c r="D783" s="12" t="s">
        <v>11</v>
      </c>
      <c r="E783" s="10" t="s">
        <v>11</v>
      </c>
      <c r="F783" s="10" t="s">
        <v>85</v>
      </c>
      <c r="G783" s="10" t="s">
        <v>103</v>
      </c>
      <c r="H783" s="10" t="s">
        <v>103</v>
      </c>
      <c r="I783" s="10" t="s">
        <v>11</v>
      </c>
      <c r="J783" s="13">
        <v>25.242840000000001</v>
      </c>
      <c r="K783" s="14"/>
      <c r="L783" t="e">
        <f>VLOOKUP(A783,Formulas!A:B,2,FALSE)</f>
        <v>#N/A</v>
      </c>
      <c r="M783" s="32"/>
    </row>
    <row r="784" spans="1:13" ht="75" customHeight="1">
      <c r="A784" s="10">
        <v>6187</v>
      </c>
      <c r="B784" s="11" t="s">
        <v>762</v>
      </c>
      <c r="C784" s="10" t="s">
        <v>11</v>
      </c>
      <c r="D784" s="12" t="s">
        <v>11</v>
      </c>
      <c r="E784" s="10" t="s">
        <v>11</v>
      </c>
      <c r="F784" s="10" t="s">
        <v>85</v>
      </c>
      <c r="G784" s="10" t="s">
        <v>92</v>
      </c>
      <c r="H784" s="10" t="s">
        <v>92</v>
      </c>
      <c r="I784" s="10" t="s">
        <v>11</v>
      </c>
      <c r="J784" s="13">
        <v>22.148700000000002</v>
      </c>
      <c r="K784" s="14"/>
      <c r="L784" t="e">
        <f>VLOOKUP(A784,Formulas!A:B,2,FALSE)</f>
        <v>#N/A</v>
      </c>
      <c r="M784" s="32"/>
    </row>
    <row r="785" spans="1:13" ht="75" customHeight="1">
      <c r="A785" s="10">
        <v>6188</v>
      </c>
      <c r="B785" s="11" t="s">
        <v>763</v>
      </c>
      <c r="C785" s="10" t="s">
        <v>11</v>
      </c>
      <c r="D785" s="12" t="s">
        <v>11</v>
      </c>
      <c r="E785" s="10" t="s">
        <v>11</v>
      </c>
      <c r="F785" s="10" t="s">
        <v>85</v>
      </c>
      <c r="G785" s="10" t="s">
        <v>92</v>
      </c>
      <c r="H785" s="10" t="s">
        <v>92</v>
      </c>
      <c r="I785" s="10" t="s">
        <v>11</v>
      </c>
      <c r="J785" s="13">
        <v>22.148700000000002</v>
      </c>
      <c r="K785" s="14"/>
      <c r="L785" t="e">
        <f>VLOOKUP(A785,Formulas!A:B,2,FALSE)</f>
        <v>#N/A</v>
      </c>
      <c r="M785" s="32"/>
    </row>
    <row r="786" spans="1:13" ht="41.5" customHeight="1">
      <c r="A786" s="10">
        <v>6189</v>
      </c>
      <c r="B786" s="11" t="s">
        <v>979</v>
      </c>
      <c r="C786" s="10" t="s">
        <v>11</v>
      </c>
      <c r="D786" s="12" t="s">
        <v>11</v>
      </c>
      <c r="E786" s="10" t="s">
        <v>11</v>
      </c>
      <c r="F786" s="10" t="s">
        <v>85</v>
      </c>
      <c r="G786" s="10" t="s">
        <v>92</v>
      </c>
      <c r="H786" s="10" t="s">
        <v>92</v>
      </c>
      <c r="I786" s="10" t="s">
        <v>11</v>
      </c>
      <c r="J786" s="13">
        <v>26.578440000000001</v>
      </c>
      <c r="K786" s="14"/>
      <c r="L786" t="e">
        <f>VLOOKUP(A786,Formulas!A:B,2,FALSE)</f>
        <v>#N/A</v>
      </c>
      <c r="M786" s="32"/>
    </row>
    <row r="787" spans="1:13" ht="41.5" customHeight="1">
      <c r="A787" s="10">
        <v>6190</v>
      </c>
      <c r="B787" s="11" t="s">
        <v>764</v>
      </c>
      <c r="C787" s="10" t="s">
        <v>11</v>
      </c>
      <c r="D787" s="12" t="s">
        <v>11</v>
      </c>
      <c r="E787" s="10" t="s">
        <v>11</v>
      </c>
      <c r="F787" s="10" t="s">
        <v>85</v>
      </c>
      <c r="G787" s="10" t="s">
        <v>92</v>
      </c>
      <c r="H787" s="10" t="s">
        <v>92</v>
      </c>
      <c r="I787" s="10" t="s">
        <v>11</v>
      </c>
      <c r="J787" s="13">
        <v>26.578440000000001</v>
      </c>
      <c r="K787" s="14"/>
      <c r="L787" t="e">
        <f>VLOOKUP(A787,Formulas!A:B,2,FALSE)</f>
        <v>#N/A</v>
      </c>
      <c r="M787" s="32"/>
    </row>
    <row r="788" spans="1:13" ht="41.5" customHeight="1">
      <c r="A788" s="10">
        <v>6191</v>
      </c>
      <c r="B788" s="11" t="s">
        <v>722</v>
      </c>
      <c r="C788" s="10" t="s">
        <v>11</v>
      </c>
      <c r="D788" s="12" t="s">
        <v>11</v>
      </c>
      <c r="E788" s="10" t="s">
        <v>11</v>
      </c>
      <c r="F788" s="10" t="s">
        <v>203</v>
      </c>
      <c r="G788" s="10" t="s">
        <v>208</v>
      </c>
      <c r="H788" s="10" t="s">
        <v>208</v>
      </c>
      <c r="I788" s="10" t="s">
        <v>11</v>
      </c>
      <c r="J788" s="13">
        <v>24.107579999999999</v>
      </c>
      <c r="K788" s="14"/>
      <c r="L788" t="e">
        <f>VLOOKUP(A788,Formulas!A:B,2,FALSE)</f>
        <v>#N/A</v>
      </c>
      <c r="M788" s="32"/>
    </row>
    <row r="789" spans="1:13" ht="41.5" customHeight="1">
      <c r="A789" s="10">
        <v>6192</v>
      </c>
      <c r="B789" s="11" t="s">
        <v>723</v>
      </c>
      <c r="C789" s="10" t="s">
        <v>11</v>
      </c>
      <c r="D789" s="12" t="s">
        <v>11</v>
      </c>
      <c r="E789" s="10" t="s">
        <v>11</v>
      </c>
      <c r="F789" s="10" t="s">
        <v>203</v>
      </c>
      <c r="G789" s="10" t="s">
        <v>208</v>
      </c>
      <c r="H789" s="10" t="s">
        <v>208</v>
      </c>
      <c r="I789" s="10" t="s">
        <v>11</v>
      </c>
      <c r="J789" s="13">
        <v>24.107579999999999</v>
      </c>
      <c r="K789" s="14"/>
      <c r="L789" t="e">
        <f>VLOOKUP(A789,Formulas!A:B,2,FALSE)</f>
        <v>#N/A</v>
      </c>
      <c r="M789" s="32"/>
    </row>
    <row r="790" spans="1:13" ht="41.5" customHeight="1">
      <c r="A790" s="10">
        <v>6193</v>
      </c>
      <c r="B790" s="11" t="s">
        <v>980</v>
      </c>
      <c r="C790" s="10" t="s">
        <v>11</v>
      </c>
      <c r="D790" s="12" t="s">
        <v>11</v>
      </c>
      <c r="E790" s="10" t="s">
        <v>11</v>
      </c>
      <c r="F790" s="10" t="s">
        <v>203</v>
      </c>
      <c r="G790" s="10" t="s">
        <v>208</v>
      </c>
      <c r="H790" s="10" t="s">
        <v>208</v>
      </c>
      <c r="I790" s="10" t="s">
        <v>11</v>
      </c>
      <c r="J790" s="13">
        <v>28.926869999999997</v>
      </c>
      <c r="K790" s="14"/>
      <c r="L790" t="e">
        <f>VLOOKUP(A790,Formulas!A:B,2,FALSE)</f>
        <v>#N/A</v>
      </c>
      <c r="M790" s="32"/>
    </row>
    <row r="791" spans="1:13" ht="41.5" customHeight="1">
      <c r="A791" s="10">
        <v>6194</v>
      </c>
      <c r="B791" s="11" t="s">
        <v>724</v>
      </c>
      <c r="C791" s="10" t="s">
        <v>11</v>
      </c>
      <c r="D791" s="12" t="s">
        <v>11</v>
      </c>
      <c r="E791" s="10" t="s">
        <v>11</v>
      </c>
      <c r="F791" s="10" t="s">
        <v>203</v>
      </c>
      <c r="G791" s="10" t="s">
        <v>208</v>
      </c>
      <c r="H791" s="10" t="s">
        <v>208</v>
      </c>
      <c r="I791" s="10" t="s">
        <v>11</v>
      </c>
      <c r="J791" s="13">
        <v>28.926869999999997</v>
      </c>
      <c r="K791" s="14"/>
      <c r="L791" t="e">
        <f>VLOOKUP(A791,Formulas!A:B,2,FALSE)</f>
        <v>#N/A</v>
      </c>
      <c r="M791" s="32"/>
    </row>
    <row r="792" spans="1:13" ht="41.5" customHeight="1">
      <c r="A792" s="10">
        <v>6195</v>
      </c>
      <c r="B792" s="11" t="s">
        <v>726</v>
      </c>
      <c r="C792" s="10" t="s">
        <v>11</v>
      </c>
      <c r="D792" s="12" t="s">
        <v>11</v>
      </c>
      <c r="E792" s="10" t="s">
        <v>11</v>
      </c>
      <c r="F792" s="10" t="s">
        <v>92</v>
      </c>
      <c r="G792" s="10" t="s">
        <v>208</v>
      </c>
      <c r="H792" s="10" t="s">
        <v>11</v>
      </c>
      <c r="I792" s="10" t="s">
        <v>11</v>
      </c>
      <c r="J792" s="13">
        <v>18.809699999999999</v>
      </c>
      <c r="K792" s="14"/>
      <c r="L792" t="e">
        <f>VLOOKUP(A792,Formulas!A:B,2,FALSE)</f>
        <v>#N/A</v>
      </c>
      <c r="M792" s="32"/>
    </row>
    <row r="793" spans="1:13" ht="41.5" customHeight="1">
      <c r="A793" s="10">
        <v>6196</v>
      </c>
      <c r="B793" s="11" t="s">
        <v>727</v>
      </c>
      <c r="C793" s="10" t="s">
        <v>11</v>
      </c>
      <c r="D793" s="12" t="s">
        <v>11</v>
      </c>
      <c r="E793" s="10" t="s">
        <v>11</v>
      </c>
      <c r="F793" s="10" t="s">
        <v>92</v>
      </c>
      <c r="G793" s="10" t="s">
        <v>208</v>
      </c>
      <c r="H793" s="10" t="s">
        <v>11</v>
      </c>
      <c r="I793" s="10" t="s">
        <v>11</v>
      </c>
      <c r="J793" s="13">
        <v>18.809699999999999</v>
      </c>
      <c r="K793" s="14"/>
      <c r="L793" t="e">
        <f>VLOOKUP(A793,Formulas!A:B,2,FALSE)</f>
        <v>#N/A</v>
      </c>
      <c r="M793" s="32"/>
    </row>
    <row r="794" spans="1:13" ht="41.5" customHeight="1">
      <c r="A794" s="10">
        <v>6202</v>
      </c>
      <c r="B794" s="11" t="s">
        <v>1500</v>
      </c>
      <c r="C794" s="10" t="s">
        <v>10</v>
      </c>
      <c r="D794" s="12" t="s">
        <v>772</v>
      </c>
      <c r="E794" s="12">
        <v>900</v>
      </c>
      <c r="F794" s="10" t="s">
        <v>281</v>
      </c>
      <c r="G794" s="10" t="s">
        <v>270</v>
      </c>
      <c r="H794" s="10" t="s">
        <v>270</v>
      </c>
      <c r="I794" s="10" t="s">
        <v>11</v>
      </c>
      <c r="J794" s="13">
        <v>147.2764</v>
      </c>
      <c r="K794" s="14"/>
      <c r="L794" t="e">
        <f>VLOOKUP(A794,Formulas!A:B,2,FALSE)</f>
        <v>#N/A</v>
      </c>
      <c r="M794" s="32"/>
    </row>
    <row r="795" spans="1:13" ht="41.5" customHeight="1">
      <c r="A795" s="10">
        <v>6203</v>
      </c>
      <c r="B795" s="11" t="s">
        <v>1504</v>
      </c>
      <c r="C795" s="10" t="s">
        <v>10</v>
      </c>
      <c r="D795" s="12" t="s">
        <v>772</v>
      </c>
      <c r="E795" s="10">
        <v>900</v>
      </c>
      <c r="F795" s="10" t="s">
        <v>281</v>
      </c>
      <c r="G795" s="10" t="s">
        <v>270</v>
      </c>
      <c r="H795" s="10" t="s">
        <v>270</v>
      </c>
      <c r="I795" s="10" t="s">
        <v>11</v>
      </c>
      <c r="J795" s="13">
        <v>147.2764</v>
      </c>
      <c r="K795" s="14"/>
      <c r="L795" t="e">
        <f>VLOOKUP(A795,Formulas!A:B,2,FALSE)</f>
        <v>#N/A</v>
      </c>
      <c r="M795" s="32"/>
    </row>
    <row r="796" spans="1:13" ht="41.5" customHeight="1">
      <c r="A796" s="10">
        <v>6204</v>
      </c>
      <c r="B796" s="11" t="s">
        <v>1505</v>
      </c>
      <c r="C796" s="10" t="s">
        <v>10</v>
      </c>
      <c r="D796" s="12" t="s">
        <v>772</v>
      </c>
      <c r="E796" s="12">
        <v>900</v>
      </c>
      <c r="F796" s="10" t="s">
        <v>281</v>
      </c>
      <c r="G796" s="10" t="s">
        <v>270</v>
      </c>
      <c r="H796" s="10" t="s">
        <v>270</v>
      </c>
      <c r="I796" s="10" t="s">
        <v>11</v>
      </c>
      <c r="J796" s="13">
        <v>147.2764</v>
      </c>
      <c r="K796" s="14"/>
      <c r="L796" t="e">
        <f>VLOOKUP(A796,Formulas!A:B,2,FALSE)</f>
        <v>#N/A</v>
      </c>
      <c r="M796" s="32"/>
    </row>
    <row r="797" spans="1:13" ht="41.5" customHeight="1">
      <c r="A797" s="10">
        <v>6208</v>
      </c>
      <c r="B797" s="11" t="s">
        <v>1506</v>
      </c>
      <c r="C797" s="10" t="s">
        <v>10</v>
      </c>
      <c r="D797" s="12" t="s">
        <v>772</v>
      </c>
      <c r="E797" s="12">
        <v>900</v>
      </c>
      <c r="F797" s="10" t="s">
        <v>281</v>
      </c>
      <c r="G797" s="10" t="s">
        <v>270</v>
      </c>
      <c r="H797" s="10" t="s">
        <v>270</v>
      </c>
      <c r="I797" s="10" t="s">
        <v>11</v>
      </c>
      <c r="J797" s="13">
        <v>147.2764</v>
      </c>
      <c r="K797" s="14"/>
      <c r="L797" t="e">
        <f>VLOOKUP(A797,Formulas!A:B,2,FALSE)</f>
        <v>#N/A</v>
      </c>
      <c r="M797" s="32"/>
    </row>
    <row r="798" spans="1:13" ht="41.5" customHeight="1">
      <c r="A798" s="10">
        <v>6209</v>
      </c>
      <c r="B798" s="11" t="s">
        <v>1507</v>
      </c>
      <c r="C798" s="10" t="s">
        <v>10</v>
      </c>
      <c r="D798" s="12" t="s">
        <v>772</v>
      </c>
      <c r="E798" s="10">
        <v>900</v>
      </c>
      <c r="F798" s="10" t="s">
        <v>281</v>
      </c>
      <c r="G798" s="10" t="s">
        <v>270</v>
      </c>
      <c r="H798" s="10" t="s">
        <v>270</v>
      </c>
      <c r="I798" s="10" t="s">
        <v>11</v>
      </c>
      <c r="J798" s="13">
        <v>147.2764</v>
      </c>
      <c r="K798" s="14"/>
      <c r="L798" t="e">
        <f>VLOOKUP(A798,Formulas!A:B,2,FALSE)</f>
        <v>#N/A</v>
      </c>
      <c r="M798" s="32"/>
    </row>
    <row r="799" spans="1:13" ht="41.5" customHeight="1">
      <c r="A799" s="10">
        <v>6210</v>
      </c>
      <c r="B799" s="11" t="s">
        <v>1508</v>
      </c>
      <c r="C799" s="10" t="s">
        <v>10</v>
      </c>
      <c r="D799" s="12" t="s">
        <v>772</v>
      </c>
      <c r="E799" s="12">
        <v>900</v>
      </c>
      <c r="F799" s="10" t="s">
        <v>281</v>
      </c>
      <c r="G799" s="10" t="s">
        <v>270</v>
      </c>
      <c r="H799" s="10" t="s">
        <v>270</v>
      </c>
      <c r="I799" s="10" t="s">
        <v>11</v>
      </c>
      <c r="J799" s="13">
        <v>147.2764</v>
      </c>
      <c r="K799" s="14"/>
      <c r="L799" t="e">
        <f>VLOOKUP(A799,Formulas!A:B,2,FALSE)</f>
        <v>#N/A</v>
      </c>
      <c r="M799" s="32"/>
    </row>
    <row r="800" spans="1:13" ht="41.5" customHeight="1">
      <c r="A800" s="10">
        <v>6211</v>
      </c>
      <c r="B800" s="11" t="s">
        <v>1509</v>
      </c>
      <c r="C800" s="10" t="s">
        <v>10</v>
      </c>
      <c r="D800" s="12" t="s">
        <v>772</v>
      </c>
      <c r="E800" s="10">
        <v>900</v>
      </c>
      <c r="F800" s="10" t="s">
        <v>281</v>
      </c>
      <c r="G800" s="10" t="s">
        <v>270</v>
      </c>
      <c r="H800" s="10" t="s">
        <v>270</v>
      </c>
      <c r="I800" s="10" t="s">
        <v>11</v>
      </c>
      <c r="J800" s="13">
        <v>147.2764</v>
      </c>
      <c r="K800" s="14"/>
      <c r="L800" t="e">
        <f>VLOOKUP(A800,Formulas!A:B,2,FALSE)</f>
        <v>#N/A</v>
      </c>
      <c r="M800" s="32"/>
    </row>
    <row r="801" spans="1:13" ht="41.5" customHeight="1">
      <c r="A801" s="10">
        <v>6212</v>
      </c>
      <c r="B801" s="11" t="s">
        <v>1502</v>
      </c>
      <c r="C801" s="10" t="s">
        <v>10</v>
      </c>
      <c r="D801" s="12" t="s">
        <v>772</v>
      </c>
      <c r="E801" s="12">
        <v>900</v>
      </c>
      <c r="F801" s="10" t="s">
        <v>281</v>
      </c>
      <c r="G801" s="10" t="s">
        <v>270</v>
      </c>
      <c r="H801" s="10" t="s">
        <v>270</v>
      </c>
      <c r="I801" s="10" t="s">
        <v>11</v>
      </c>
      <c r="J801" s="13">
        <v>132.447</v>
      </c>
      <c r="K801" s="14"/>
      <c r="L801" t="e">
        <f>VLOOKUP(A801,Formulas!A:B,2,FALSE)</f>
        <v>#N/A</v>
      </c>
      <c r="M801" s="32"/>
    </row>
    <row r="802" spans="1:13" ht="41.5" customHeight="1">
      <c r="A802" s="10">
        <v>6213</v>
      </c>
      <c r="B802" s="11" t="s">
        <v>1516</v>
      </c>
      <c r="C802" s="10" t="s">
        <v>10</v>
      </c>
      <c r="D802" s="12" t="s">
        <v>772</v>
      </c>
      <c r="E802" s="10">
        <v>900</v>
      </c>
      <c r="F802" s="10" t="s">
        <v>281</v>
      </c>
      <c r="G802" s="10" t="s">
        <v>270</v>
      </c>
      <c r="H802" s="10" t="s">
        <v>270</v>
      </c>
      <c r="I802" s="10" t="s">
        <v>11</v>
      </c>
      <c r="J802" s="13">
        <v>132.447</v>
      </c>
      <c r="K802" s="14"/>
      <c r="L802" t="e">
        <f>VLOOKUP(A802,Formulas!A:B,2,FALSE)</f>
        <v>#N/A</v>
      </c>
      <c r="M802" s="32"/>
    </row>
    <row r="803" spans="1:13" ht="41.5" customHeight="1">
      <c r="A803" s="10">
        <v>6214</v>
      </c>
      <c r="B803" s="11" t="s">
        <v>1517</v>
      </c>
      <c r="C803" s="10" t="s">
        <v>10</v>
      </c>
      <c r="D803" s="12" t="s">
        <v>772</v>
      </c>
      <c r="E803" s="12">
        <v>900</v>
      </c>
      <c r="F803" s="10" t="s">
        <v>281</v>
      </c>
      <c r="G803" s="10" t="s">
        <v>270</v>
      </c>
      <c r="H803" s="10" t="s">
        <v>270</v>
      </c>
      <c r="I803" s="10" t="s">
        <v>11</v>
      </c>
      <c r="J803" s="13">
        <v>132.447</v>
      </c>
      <c r="K803" s="14"/>
      <c r="L803" t="e">
        <f>VLOOKUP(A803,Formulas!A:B,2,FALSE)</f>
        <v>#N/A</v>
      </c>
      <c r="M803" s="32"/>
    </row>
    <row r="804" spans="1:13" ht="41.5" customHeight="1">
      <c r="A804" s="10">
        <v>6218</v>
      </c>
      <c r="B804" s="11" t="s">
        <v>1518</v>
      </c>
      <c r="C804" s="10" t="s">
        <v>10</v>
      </c>
      <c r="D804" s="12" t="s">
        <v>772</v>
      </c>
      <c r="E804" s="12">
        <v>900</v>
      </c>
      <c r="F804" s="10" t="s">
        <v>281</v>
      </c>
      <c r="G804" s="10" t="s">
        <v>270</v>
      </c>
      <c r="H804" s="10" t="s">
        <v>270</v>
      </c>
      <c r="I804" s="10" t="s">
        <v>11</v>
      </c>
      <c r="J804" s="13">
        <v>132.447</v>
      </c>
      <c r="K804" s="14"/>
      <c r="L804" t="e">
        <f>VLOOKUP(A804,Formulas!A:B,2,FALSE)</f>
        <v>#N/A</v>
      </c>
      <c r="M804" s="32"/>
    </row>
    <row r="805" spans="1:13" ht="41.5" customHeight="1">
      <c r="A805" s="10">
        <v>6219</v>
      </c>
      <c r="B805" s="11" t="s">
        <v>1519</v>
      </c>
      <c r="C805" s="10" t="s">
        <v>10</v>
      </c>
      <c r="D805" s="12" t="s">
        <v>772</v>
      </c>
      <c r="E805" s="10">
        <v>900</v>
      </c>
      <c r="F805" s="10" t="s">
        <v>281</v>
      </c>
      <c r="G805" s="10" t="s">
        <v>270</v>
      </c>
      <c r="H805" s="10" t="s">
        <v>270</v>
      </c>
      <c r="I805" s="10" t="s">
        <v>11</v>
      </c>
      <c r="J805" s="13">
        <v>132.447</v>
      </c>
      <c r="K805" s="14"/>
      <c r="L805" t="e">
        <f>VLOOKUP(A805,Formulas!A:B,2,FALSE)</f>
        <v>#N/A</v>
      </c>
      <c r="M805" s="32"/>
    </row>
    <row r="806" spans="1:13" ht="41.5" customHeight="1">
      <c r="A806" s="10">
        <v>6220</v>
      </c>
      <c r="B806" s="11" t="s">
        <v>1520</v>
      </c>
      <c r="C806" s="10" t="s">
        <v>10</v>
      </c>
      <c r="D806" s="12" t="s">
        <v>772</v>
      </c>
      <c r="E806" s="12">
        <v>900</v>
      </c>
      <c r="F806" s="10" t="s">
        <v>281</v>
      </c>
      <c r="G806" s="10" t="s">
        <v>270</v>
      </c>
      <c r="H806" s="10" t="s">
        <v>270</v>
      </c>
      <c r="I806" s="10" t="s">
        <v>11</v>
      </c>
      <c r="J806" s="13">
        <v>132.447</v>
      </c>
      <c r="K806" s="14"/>
      <c r="L806" t="e">
        <f>VLOOKUP(A806,Formulas!A:B,2,FALSE)</f>
        <v>#N/A</v>
      </c>
      <c r="M806" s="32"/>
    </row>
    <row r="807" spans="1:13" ht="41.5" customHeight="1">
      <c r="A807" s="10">
        <v>6221</v>
      </c>
      <c r="B807" s="11" t="s">
        <v>1521</v>
      </c>
      <c r="C807" s="10" t="s">
        <v>10</v>
      </c>
      <c r="D807" s="12" t="s">
        <v>772</v>
      </c>
      <c r="E807" s="10">
        <v>900</v>
      </c>
      <c r="F807" s="10" t="s">
        <v>281</v>
      </c>
      <c r="G807" s="10" t="s">
        <v>270</v>
      </c>
      <c r="H807" s="10" t="s">
        <v>270</v>
      </c>
      <c r="I807" s="10" t="s">
        <v>11</v>
      </c>
      <c r="J807" s="13">
        <v>132.447</v>
      </c>
      <c r="K807" s="14"/>
      <c r="L807" t="e">
        <f>VLOOKUP(A807,Formulas!A:B,2,FALSE)</f>
        <v>#N/A</v>
      </c>
      <c r="M807" s="32"/>
    </row>
    <row r="808" spans="1:13" ht="41.5" customHeight="1">
      <c r="A808" s="10">
        <v>6222</v>
      </c>
      <c r="B808" s="11" t="s">
        <v>794</v>
      </c>
      <c r="C808" s="10" t="s">
        <v>10</v>
      </c>
      <c r="D808" s="12" t="s">
        <v>772</v>
      </c>
      <c r="E808" s="12">
        <v>900</v>
      </c>
      <c r="F808" s="10" t="s">
        <v>843</v>
      </c>
      <c r="G808" s="10" t="s">
        <v>289</v>
      </c>
      <c r="H808" s="10" t="s">
        <v>289</v>
      </c>
      <c r="I808" s="10" t="s">
        <v>11</v>
      </c>
      <c r="J808" s="13">
        <v>266.00700000000001</v>
      </c>
      <c r="K808" s="14"/>
      <c r="L808" t="e">
        <f>VLOOKUP(A808,Formulas!A:B,2,FALSE)</f>
        <v>#N/A</v>
      </c>
      <c r="M808" s="32"/>
    </row>
    <row r="809" spans="1:13" ht="41.5" customHeight="1">
      <c r="A809" s="10">
        <v>6223</v>
      </c>
      <c r="B809" s="11" t="s">
        <v>795</v>
      </c>
      <c r="C809" s="10" t="s">
        <v>10</v>
      </c>
      <c r="D809" s="12" t="s">
        <v>772</v>
      </c>
      <c r="E809" s="10">
        <v>900</v>
      </c>
      <c r="F809" s="10" t="s">
        <v>843</v>
      </c>
      <c r="G809" s="10" t="s">
        <v>289</v>
      </c>
      <c r="H809" s="10" t="s">
        <v>289</v>
      </c>
      <c r="I809" s="10" t="s">
        <v>11</v>
      </c>
      <c r="J809" s="13">
        <v>266.00700000000001</v>
      </c>
      <c r="K809" s="14"/>
      <c r="L809" t="e">
        <f>VLOOKUP(A809,Formulas!A:B,2,FALSE)</f>
        <v>#N/A</v>
      </c>
      <c r="M809" s="32"/>
    </row>
    <row r="810" spans="1:13" ht="41.5" customHeight="1">
      <c r="A810" s="10">
        <v>6224</v>
      </c>
      <c r="B810" s="11" t="s">
        <v>796</v>
      </c>
      <c r="C810" s="10" t="s">
        <v>10</v>
      </c>
      <c r="D810" s="12" t="s">
        <v>772</v>
      </c>
      <c r="E810" s="12">
        <v>900</v>
      </c>
      <c r="F810" s="10" t="s">
        <v>843</v>
      </c>
      <c r="G810" s="10" t="s">
        <v>289</v>
      </c>
      <c r="H810" s="10" t="s">
        <v>289</v>
      </c>
      <c r="I810" s="10" t="s">
        <v>11</v>
      </c>
      <c r="J810" s="13">
        <v>266.00700000000001</v>
      </c>
      <c r="K810" s="14"/>
      <c r="L810" t="e">
        <f>VLOOKUP(A810,Formulas!A:B,2,FALSE)</f>
        <v>#N/A</v>
      </c>
      <c r="M810" s="32"/>
    </row>
    <row r="811" spans="1:13" ht="41.5" customHeight="1">
      <c r="A811" s="10">
        <v>6228</v>
      </c>
      <c r="B811" s="11" t="s">
        <v>797</v>
      </c>
      <c r="C811" s="10" t="s">
        <v>10</v>
      </c>
      <c r="D811" s="12" t="s">
        <v>772</v>
      </c>
      <c r="E811" s="12">
        <v>900</v>
      </c>
      <c r="F811" s="10" t="s">
        <v>843</v>
      </c>
      <c r="G811" s="10" t="s">
        <v>289</v>
      </c>
      <c r="H811" s="10" t="s">
        <v>289</v>
      </c>
      <c r="I811" s="10" t="s">
        <v>11</v>
      </c>
      <c r="J811" s="13">
        <v>266.00700000000001</v>
      </c>
      <c r="K811" s="14"/>
      <c r="L811" t="e">
        <f>VLOOKUP(A811,Formulas!A:B,2,FALSE)</f>
        <v>#N/A</v>
      </c>
      <c r="M811" s="32"/>
    </row>
    <row r="812" spans="1:13" ht="41.5" customHeight="1">
      <c r="A812" s="10">
        <v>6229</v>
      </c>
      <c r="B812" s="11" t="s">
        <v>799</v>
      </c>
      <c r="C812" s="10" t="s">
        <v>10</v>
      </c>
      <c r="D812" s="12" t="s">
        <v>772</v>
      </c>
      <c r="E812" s="10">
        <v>900</v>
      </c>
      <c r="F812" s="10" t="s">
        <v>843</v>
      </c>
      <c r="G812" s="10" t="s">
        <v>289</v>
      </c>
      <c r="H812" s="10" t="s">
        <v>289</v>
      </c>
      <c r="I812" s="10" t="s">
        <v>11</v>
      </c>
      <c r="J812" s="13">
        <v>266.00700000000001</v>
      </c>
      <c r="K812" s="14"/>
      <c r="L812" t="e">
        <f>VLOOKUP(A812,Formulas!A:B,2,FALSE)</f>
        <v>#N/A</v>
      </c>
      <c r="M812" s="32"/>
    </row>
    <row r="813" spans="1:13" ht="41.5" customHeight="1">
      <c r="A813" s="10">
        <v>6230</v>
      </c>
      <c r="B813" s="11" t="s">
        <v>800</v>
      </c>
      <c r="C813" s="10" t="s">
        <v>10</v>
      </c>
      <c r="D813" s="12" t="s">
        <v>772</v>
      </c>
      <c r="E813" s="12">
        <v>900</v>
      </c>
      <c r="F813" s="10" t="s">
        <v>843</v>
      </c>
      <c r="G813" s="10" t="s">
        <v>289</v>
      </c>
      <c r="H813" s="10" t="s">
        <v>289</v>
      </c>
      <c r="I813" s="10" t="s">
        <v>11</v>
      </c>
      <c r="J813" s="13">
        <v>266.00700000000001</v>
      </c>
      <c r="K813" s="14"/>
      <c r="L813" t="e">
        <f>VLOOKUP(A813,Formulas!A:B,2,FALSE)</f>
        <v>#N/A</v>
      </c>
      <c r="M813" s="32"/>
    </row>
    <row r="814" spans="1:13" ht="41.5" customHeight="1">
      <c r="A814" s="10">
        <v>6231</v>
      </c>
      <c r="B814" s="11" t="s">
        <v>801</v>
      </c>
      <c r="C814" s="10" t="s">
        <v>10</v>
      </c>
      <c r="D814" s="12" t="s">
        <v>772</v>
      </c>
      <c r="E814" s="10">
        <v>900</v>
      </c>
      <c r="F814" s="10" t="s">
        <v>843</v>
      </c>
      <c r="G814" s="10" t="s">
        <v>289</v>
      </c>
      <c r="H814" s="10" t="s">
        <v>289</v>
      </c>
      <c r="I814" s="10" t="s">
        <v>11</v>
      </c>
      <c r="J814" s="13">
        <v>266.00700000000001</v>
      </c>
      <c r="K814" s="14"/>
      <c r="L814" t="e">
        <f>VLOOKUP(A814,Formulas!A:B,2,FALSE)</f>
        <v>#N/A</v>
      </c>
      <c r="M814" s="32"/>
    </row>
    <row r="815" spans="1:13" ht="41.5" customHeight="1">
      <c r="A815" s="10">
        <v>6272</v>
      </c>
      <c r="B815" s="11" t="s">
        <v>827</v>
      </c>
      <c r="C815" s="10" t="s">
        <v>10</v>
      </c>
      <c r="D815" s="12" t="s">
        <v>134</v>
      </c>
      <c r="E815" s="12">
        <v>225</v>
      </c>
      <c r="F815" s="10" t="s">
        <v>15</v>
      </c>
      <c r="G815" s="10" t="s">
        <v>90</v>
      </c>
      <c r="H815" s="10" t="s">
        <v>90</v>
      </c>
      <c r="I815" s="10" t="s">
        <v>11</v>
      </c>
      <c r="J815" s="13">
        <v>132.447</v>
      </c>
      <c r="K815" s="14"/>
      <c r="L815" t="e">
        <f>VLOOKUP(A815,Formulas!A:B,2,FALSE)</f>
        <v>#N/A</v>
      </c>
      <c r="M815" s="32"/>
    </row>
    <row r="816" spans="1:13" ht="66" customHeight="1">
      <c r="A816" s="10">
        <v>6382</v>
      </c>
      <c r="B816" s="11" t="s">
        <v>822</v>
      </c>
      <c r="C816" s="10" t="s">
        <v>10</v>
      </c>
      <c r="D816" s="12" t="s">
        <v>134</v>
      </c>
      <c r="E816" s="12">
        <v>225</v>
      </c>
      <c r="F816" s="10" t="s">
        <v>93</v>
      </c>
      <c r="G816" s="10" t="s">
        <v>90</v>
      </c>
      <c r="H816" s="10" t="s">
        <v>90</v>
      </c>
      <c r="I816" s="10" t="s">
        <v>11</v>
      </c>
      <c r="J816" s="13">
        <v>121.31700000000001</v>
      </c>
      <c r="K816" s="14"/>
      <c r="L816" t="e">
        <f>VLOOKUP(A816,Formulas!A:B,2,FALSE)</f>
        <v>#N/A</v>
      </c>
      <c r="M816" s="32"/>
    </row>
    <row r="817" spans="1:13" ht="66" customHeight="1">
      <c r="A817" s="10">
        <v>6384</v>
      </c>
      <c r="B817" s="11" t="s">
        <v>824</v>
      </c>
      <c r="C817" s="10" t="s">
        <v>10</v>
      </c>
      <c r="D817" s="12" t="s">
        <v>134</v>
      </c>
      <c r="E817" s="12">
        <v>225</v>
      </c>
      <c r="F817" s="10" t="s">
        <v>96</v>
      </c>
      <c r="G817" s="10" t="s">
        <v>90</v>
      </c>
      <c r="H817" s="10" t="s">
        <v>90</v>
      </c>
      <c r="I817" s="10" t="s">
        <v>11</v>
      </c>
      <c r="J817" s="13">
        <v>127.995</v>
      </c>
      <c r="K817" s="14"/>
      <c r="L817" t="e">
        <f>VLOOKUP(A817,Formulas!A:B,2,FALSE)</f>
        <v>#N/A</v>
      </c>
      <c r="M817" s="32"/>
    </row>
    <row r="818" spans="1:13" ht="66" customHeight="1">
      <c r="A818" s="10">
        <v>6386</v>
      </c>
      <c r="B818" s="11" t="s">
        <v>823</v>
      </c>
      <c r="C818" s="10" t="s">
        <v>10</v>
      </c>
      <c r="D818" s="12" t="s">
        <v>134</v>
      </c>
      <c r="E818" s="12">
        <v>225</v>
      </c>
      <c r="F818" s="10" t="s">
        <v>93</v>
      </c>
      <c r="G818" s="10" t="s">
        <v>90</v>
      </c>
      <c r="H818" s="10" t="s">
        <v>90</v>
      </c>
      <c r="I818" s="10" t="s">
        <v>11</v>
      </c>
      <c r="J818" s="13">
        <v>121.31700000000001</v>
      </c>
      <c r="K818" s="14"/>
      <c r="L818" t="e">
        <f>VLOOKUP(A818,Formulas!A:B,2,FALSE)</f>
        <v>#N/A</v>
      </c>
      <c r="M818" s="32"/>
    </row>
    <row r="819" spans="1:13" ht="41.5" customHeight="1">
      <c r="A819" s="10">
        <v>6388</v>
      </c>
      <c r="B819" s="11" t="s">
        <v>825</v>
      </c>
      <c r="C819" s="10" t="s">
        <v>10</v>
      </c>
      <c r="D819" s="12" t="s">
        <v>134</v>
      </c>
      <c r="E819" s="12">
        <v>225</v>
      </c>
      <c r="F819" s="10" t="s">
        <v>96</v>
      </c>
      <c r="G819" s="10" t="s">
        <v>90</v>
      </c>
      <c r="H819" s="10" t="s">
        <v>90</v>
      </c>
      <c r="I819" s="10" t="s">
        <v>11</v>
      </c>
      <c r="J819" s="13">
        <v>127.995</v>
      </c>
      <c r="K819" s="14"/>
      <c r="L819" t="e">
        <f>VLOOKUP(A819,Formulas!A:B,2,FALSE)</f>
        <v>#N/A</v>
      </c>
      <c r="M819" s="32"/>
    </row>
    <row r="820" spans="1:13" ht="41.5" customHeight="1">
      <c r="A820" s="10">
        <v>6390</v>
      </c>
      <c r="B820" s="11" t="s">
        <v>1008</v>
      </c>
      <c r="C820" s="10" t="s">
        <v>10</v>
      </c>
      <c r="D820" s="12" t="s">
        <v>770</v>
      </c>
      <c r="E820" s="12">
        <v>900</v>
      </c>
      <c r="F820" s="10" t="s">
        <v>93</v>
      </c>
      <c r="G820" s="10" t="s">
        <v>301</v>
      </c>
      <c r="H820" s="10" t="s">
        <v>301</v>
      </c>
      <c r="I820" s="10" t="s">
        <v>11</v>
      </c>
      <c r="J820" s="13">
        <v>154.70699999999999</v>
      </c>
      <c r="K820" s="14"/>
      <c r="L820" t="e">
        <f>VLOOKUP(A820,Formulas!A:B,2,FALSE)</f>
        <v>#N/A</v>
      </c>
      <c r="M820" s="32"/>
    </row>
    <row r="821" spans="1:13" ht="41.5" customHeight="1">
      <c r="A821" s="10">
        <v>6392</v>
      </c>
      <c r="B821" s="11" t="s">
        <v>1010</v>
      </c>
      <c r="C821" s="10" t="s">
        <v>10</v>
      </c>
      <c r="D821" s="12" t="s">
        <v>770</v>
      </c>
      <c r="E821" s="12">
        <v>900</v>
      </c>
      <c r="F821" s="10" t="s">
        <v>96</v>
      </c>
      <c r="G821" s="10" t="s">
        <v>301</v>
      </c>
      <c r="H821" s="10" t="s">
        <v>301</v>
      </c>
      <c r="I821" s="10" t="s">
        <v>11</v>
      </c>
      <c r="J821" s="13">
        <v>161.38500000000002</v>
      </c>
      <c r="K821" s="14"/>
      <c r="L821" t="e">
        <f>VLOOKUP(A821,Formulas!A:B,2,FALSE)</f>
        <v>#N/A</v>
      </c>
      <c r="M821" s="32"/>
    </row>
    <row r="822" spans="1:13" ht="41.5" customHeight="1">
      <c r="A822" s="10">
        <v>6396</v>
      </c>
      <c r="B822" s="11" t="s">
        <v>1009</v>
      </c>
      <c r="C822" s="10" t="s">
        <v>10</v>
      </c>
      <c r="D822" s="12" t="s">
        <v>770</v>
      </c>
      <c r="E822" s="10">
        <v>900</v>
      </c>
      <c r="F822" s="10" t="s">
        <v>93</v>
      </c>
      <c r="G822" s="10" t="s">
        <v>301</v>
      </c>
      <c r="H822" s="10" t="s">
        <v>301</v>
      </c>
      <c r="I822" s="10" t="s">
        <v>11</v>
      </c>
      <c r="J822" s="13">
        <v>154.70699999999999</v>
      </c>
      <c r="K822" s="14"/>
      <c r="L822" t="e">
        <f>VLOOKUP(A822,Formulas!A:B,2,FALSE)</f>
        <v>#N/A</v>
      </c>
      <c r="M822" s="32"/>
    </row>
    <row r="823" spans="1:13" ht="41.5" customHeight="1">
      <c r="A823" s="10">
        <v>6398</v>
      </c>
      <c r="B823" s="11" t="s">
        <v>1011</v>
      </c>
      <c r="C823" s="10" t="s">
        <v>10</v>
      </c>
      <c r="D823" s="12" t="s">
        <v>770</v>
      </c>
      <c r="E823" s="10">
        <v>900</v>
      </c>
      <c r="F823" s="10" t="s">
        <v>96</v>
      </c>
      <c r="G823" s="10" t="s">
        <v>301</v>
      </c>
      <c r="H823" s="10" t="s">
        <v>301</v>
      </c>
      <c r="I823" s="10" t="s">
        <v>11</v>
      </c>
      <c r="J823" s="13">
        <v>161.38500000000002</v>
      </c>
      <c r="K823" s="14"/>
      <c r="L823" t="e">
        <f>VLOOKUP(A823,Formulas!A:B,2,FALSE)</f>
        <v>#N/A</v>
      </c>
      <c r="M823" s="32"/>
    </row>
    <row r="824" spans="1:13" ht="41.5" customHeight="1">
      <c r="A824" s="10">
        <v>6399</v>
      </c>
      <c r="B824" s="11" t="s">
        <v>1014</v>
      </c>
      <c r="C824" s="10" t="s">
        <v>182</v>
      </c>
      <c r="D824" s="12" t="s">
        <v>11</v>
      </c>
      <c r="E824" s="12" t="s">
        <v>11</v>
      </c>
      <c r="F824" s="10" t="s">
        <v>93</v>
      </c>
      <c r="G824" s="10" t="s">
        <v>108</v>
      </c>
      <c r="H824" s="10" t="s">
        <v>108</v>
      </c>
      <c r="I824" s="10"/>
      <c r="J824" s="13">
        <v>99.057000000000002</v>
      </c>
      <c r="K824" s="14"/>
      <c r="L824" t="e">
        <f>VLOOKUP(A824,Formulas!A:B,2,FALSE)</f>
        <v>#N/A</v>
      </c>
      <c r="M824" s="32"/>
    </row>
    <row r="825" spans="1:13" ht="64.5" customHeight="1">
      <c r="A825" s="10">
        <v>6400</v>
      </c>
      <c r="B825" s="11" t="s">
        <v>1016</v>
      </c>
      <c r="C825" s="10" t="s">
        <v>182</v>
      </c>
      <c r="D825" s="12" t="s">
        <v>11</v>
      </c>
      <c r="E825" s="12" t="s">
        <v>11</v>
      </c>
      <c r="F825" s="10" t="s">
        <v>96</v>
      </c>
      <c r="G825" s="10" t="s">
        <v>108</v>
      </c>
      <c r="H825" s="10" t="s">
        <v>108</v>
      </c>
      <c r="I825" s="10"/>
      <c r="J825" s="13">
        <v>105.735</v>
      </c>
      <c r="K825" s="14"/>
      <c r="L825" t="e">
        <f>VLOOKUP(A825,Formulas!A:B,2,FALSE)</f>
        <v>#N/A</v>
      </c>
      <c r="M825" s="32"/>
    </row>
    <row r="826" spans="1:13" ht="64.5" customHeight="1">
      <c r="A826" s="10">
        <v>6401</v>
      </c>
      <c r="B826" s="11" t="s">
        <v>1015</v>
      </c>
      <c r="C826" s="10" t="s">
        <v>182</v>
      </c>
      <c r="D826" s="12" t="s">
        <v>11</v>
      </c>
      <c r="E826" s="10" t="s">
        <v>11</v>
      </c>
      <c r="F826" s="10" t="s">
        <v>93</v>
      </c>
      <c r="G826" s="10" t="s">
        <v>108</v>
      </c>
      <c r="H826" s="10" t="s">
        <v>108</v>
      </c>
      <c r="I826" s="10" t="s">
        <v>11</v>
      </c>
      <c r="J826" s="13">
        <v>99.057000000000002</v>
      </c>
      <c r="K826" s="14"/>
      <c r="L826" t="e">
        <f>VLOOKUP(A826,Formulas!A:B,2,FALSE)</f>
        <v>#N/A</v>
      </c>
      <c r="M826" s="32"/>
    </row>
    <row r="827" spans="1:13" ht="64.5" customHeight="1">
      <c r="A827" s="10">
        <v>6402</v>
      </c>
      <c r="B827" s="11" t="s">
        <v>1017</v>
      </c>
      <c r="C827" s="10" t="s">
        <v>182</v>
      </c>
      <c r="D827" s="12" t="s">
        <v>11</v>
      </c>
      <c r="E827" s="10" t="s">
        <v>11</v>
      </c>
      <c r="F827" s="10" t="s">
        <v>96</v>
      </c>
      <c r="G827" s="10" t="s">
        <v>108</v>
      </c>
      <c r="H827" s="10" t="s">
        <v>108</v>
      </c>
      <c r="I827" s="10" t="s">
        <v>11</v>
      </c>
      <c r="J827" s="13">
        <v>105.735</v>
      </c>
      <c r="K827" s="14"/>
      <c r="L827" t="e">
        <f>VLOOKUP(A827,Formulas!A:B,2,FALSE)</f>
        <v>#N/A</v>
      </c>
      <c r="M827" s="32"/>
    </row>
    <row r="828" spans="1:13" ht="42.5" customHeight="1">
      <c r="A828" s="10">
        <v>6403</v>
      </c>
      <c r="B828" s="11" t="s">
        <v>828</v>
      </c>
      <c r="C828" s="10" t="s">
        <v>273</v>
      </c>
      <c r="D828" s="12" t="s">
        <v>11</v>
      </c>
      <c r="E828" s="12" t="s">
        <v>11</v>
      </c>
      <c r="F828" s="10" t="s">
        <v>93</v>
      </c>
      <c r="G828" s="10" t="s">
        <v>221</v>
      </c>
      <c r="H828" s="10" t="s">
        <v>222</v>
      </c>
      <c r="I828" s="10" t="s">
        <v>11</v>
      </c>
      <c r="J828" s="13">
        <v>116.86500000000001</v>
      </c>
      <c r="K828" s="14"/>
      <c r="L828" t="e">
        <f>VLOOKUP(A828,Formulas!A:B,2,FALSE)</f>
        <v>#N/A</v>
      </c>
      <c r="M828" s="32"/>
    </row>
    <row r="829" spans="1:13" ht="42.5" customHeight="1">
      <c r="A829" s="10">
        <v>6404</v>
      </c>
      <c r="B829" s="11" t="s">
        <v>830</v>
      </c>
      <c r="C829" s="10" t="s">
        <v>273</v>
      </c>
      <c r="D829" s="12" t="s">
        <v>11</v>
      </c>
      <c r="E829" s="12" t="s">
        <v>11</v>
      </c>
      <c r="F829" s="10" t="s">
        <v>96</v>
      </c>
      <c r="G829" s="10" t="s">
        <v>221</v>
      </c>
      <c r="H829" s="10" t="s">
        <v>222</v>
      </c>
      <c r="I829" s="10" t="s">
        <v>11</v>
      </c>
      <c r="J829" s="13">
        <v>121.31700000000001</v>
      </c>
      <c r="K829" s="14"/>
      <c r="L829" t="e">
        <f>VLOOKUP(A829,Formulas!A:B,2,FALSE)</f>
        <v>#N/A</v>
      </c>
      <c r="M829" s="32"/>
    </row>
    <row r="830" spans="1:13" ht="42.5" customHeight="1">
      <c r="A830" s="10">
        <v>6405</v>
      </c>
      <c r="B830" s="11" t="s">
        <v>829</v>
      </c>
      <c r="C830" s="10" t="s">
        <v>273</v>
      </c>
      <c r="D830" s="12" t="s">
        <v>11</v>
      </c>
      <c r="E830" s="10" t="s">
        <v>11</v>
      </c>
      <c r="F830" s="10" t="s">
        <v>93</v>
      </c>
      <c r="G830" s="10" t="s">
        <v>221</v>
      </c>
      <c r="H830" s="10" t="s">
        <v>222</v>
      </c>
      <c r="I830" s="10" t="s">
        <v>11</v>
      </c>
      <c r="J830" s="13">
        <v>116.86500000000001</v>
      </c>
      <c r="K830" s="14"/>
      <c r="L830" t="e">
        <f>VLOOKUP(A830,Formulas!A:B,2,FALSE)</f>
        <v>#N/A</v>
      </c>
      <c r="M830" s="32"/>
    </row>
    <row r="831" spans="1:13" ht="42.5" customHeight="1">
      <c r="A831" s="10">
        <v>6407</v>
      </c>
      <c r="B831" s="11" t="s">
        <v>831</v>
      </c>
      <c r="C831" s="10" t="s">
        <v>273</v>
      </c>
      <c r="D831" s="12" t="s">
        <v>11</v>
      </c>
      <c r="E831" s="10" t="s">
        <v>11</v>
      </c>
      <c r="F831" s="10" t="s">
        <v>96</v>
      </c>
      <c r="G831" s="10" t="s">
        <v>221</v>
      </c>
      <c r="H831" s="10" t="s">
        <v>222</v>
      </c>
      <c r="I831" s="10" t="s">
        <v>11</v>
      </c>
      <c r="J831" s="13">
        <v>121.31700000000001</v>
      </c>
      <c r="K831" s="14"/>
      <c r="L831" t="e">
        <f>VLOOKUP(A831,Formulas!A:B,2,FALSE)</f>
        <v>#N/A</v>
      </c>
      <c r="M831" s="32"/>
    </row>
    <row r="832" spans="1:13" ht="42.5" customHeight="1">
      <c r="A832" s="10">
        <v>6408</v>
      </c>
      <c r="B832" s="11" t="s">
        <v>834</v>
      </c>
      <c r="C832" s="10" t="s">
        <v>102</v>
      </c>
      <c r="D832" s="12" t="s">
        <v>11</v>
      </c>
      <c r="E832" s="12" t="s">
        <v>11</v>
      </c>
      <c r="F832" s="10" t="s">
        <v>93</v>
      </c>
      <c r="G832" s="10" t="s">
        <v>92</v>
      </c>
      <c r="H832" s="10" t="s">
        <v>222</v>
      </c>
      <c r="I832" s="10" t="s">
        <v>11</v>
      </c>
      <c r="J832" s="13">
        <v>143.577</v>
      </c>
      <c r="K832" s="39"/>
      <c r="L832" t="e">
        <f>VLOOKUP(A832,Formulas!A:B,2,FALSE)</f>
        <v>#N/A</v>
      </c>
      <c r="M832" s="32"/>
    </row>
    <row r="833" spans="1:13" ht="47.5" customHeight="1">
      <c r="A833" s="20">
        <v>6409</v>
      </c>
      <c r="B833" s="11" t="s">
        <v>836</v>
      </c>
      <c r="C833" s="10" t="s">
        <v>102</v>
      </c>
      <c r="D833" s="12" t="s">
        <v>11</v>
      </c>
      <c r="E833" s="12" t="s">
        <v>11</v>
      </c>
      <c r="F833" s="10" t="s">
        <v>96</v>
      </c>
      <c r="G833" s="10" t="s">
        <v>92</v>
      </c>
      <c r="H833" s="10" t="s">
        <v>222</v>
      </c>
      <c r="I833" s="10" t="s">
        <v>11</v>
      </c>
      <c r="J833" s="13">
        <v>150.255</v>
      </c>
      <c r="K833" s="14"/>
      <c r="L833" t="e">
        <f>VLOOKUP(A833,Formulas!A:B,2,FALSE)</f>
        <v>#N/A</v>
      </c>
      <c r="M833" s="32"/>
    </row>
    <row r="834" spans="1:13" ht="47.5" customHeight="1">
      <c r="A834" s="20">
        <v>6410</v>
      </c>
      <c r="B834" s="11" t="s">
        <v>835</v>
      </c>
      <c r="C834" s="10" t="s">
        <v>102</v>
      </c>
      <c r="D834" s="12" t="s">
        <v>11</v>
      </c>
      <c r="E834" s="10" t="s">
        <v>11</v>
      </c>
      <c r="F834" s="10" t="s">
        <v>93</v>
      </c>
      <c r="G834" s="10" t="s">
        <v>92</v>
      </c>
      <c r="H834" s="10" t="s">
        <v>222</v>
      </c>
      <c r="I834" s="10" t="s">
        <v>11</v>
      </c>
      <c r="J834" s="13">
        <v>143.577</v>
      </c>
      <c r="K834" s="14"/>
      <c r="L834" t="e">
        <f>VLOOKUP(A834,Formulas!A:B,2,FALSE)</f>
        <v>#N/A</v>
      </c>
      <c r="M834" s="32"/>
    </row>
    <row r="835" spans="1:13" ht="47.5" customHeight="1">
      <c r="A835" s="20">
        <v>6411</v>
      </c>
      <c r="B835" s="11" t="s">
        <v>837</v>
      </c>
      <c r="C835" s="10" t="s">
        <v>102</v>
      </c>
      <c r="D835" s="12" t="s">
        <v>11</v>
      </c>
      <c r="E835" s="10" t="s">
        <v>11</v>
      </c>
      <c r="F835" s="10" t="s">
        <v>96</v>
      </c>
      <c r="G835" s="10" t="s">
        <v>92</v>
      </c>
      <c r="H835" s="10" t="s">
        <v>222</v>
      </c>
      <c r="I835" s="10" t="s">
        <v>11</v>
      </c>
      <c r="J835" s="13">
        <v>150.255</v>
      </c>
      <c r="K835" s="14"/>
      <c r="L835" t="e">
        <f>VLOOKUP(A835,Formulas!A:B,2,FALSE)</f>
        <v>#N/A</v>
      </c>
      <c r="M835" s="32"/>
    </row>
    <row r="836" spans="1:13" ht="47.5" hidden="1" customHeight="1">
      <c r="A836" s="20">
        <v>6439</v>
      </c>
      <c r="B836" s="11" t="s">
        <v>1534</v>
      </c>
      <c r="C836" s="10" t="s">
        <v>11</v>
      </c>
      <c r="D836" s="12" t="s">
        <v>11</v>
      </c>
      <c r="E836" s="12" t="s">
        <v>11</v>
      </c>
      <c r="F836" s="10" t="s">
        <v>1007</v>
      </c>
      <c r="G836" s="10" t="s">
        <v>1006</v>
      </c>
      <c r="H836" s="10" t="s">
        <v>91</v>
      </c>
      <c r="I836" s="10" t="s">
        <v>11</v>
      </c>
      <c r="J836" s="13">
        <v>100.7</v>
      </c>
      <c r="K836" s="21" t="s">
        <v>1020</v>
      </c>
      <c r="L836" t="str">
        <f>VLOOKUP(A836,Formulas!A:B,2,FALSE)</f>
        <v>177686</v>
      </c>
      <c r="M836" s="32"/>
    </row>
    <row r="837" spans="1:13" ht="47.5" hidden="1" customHeight="1">
      <c r="A837" s="20">
        <v>6440</v>
      </c>
      <c r="B837" s="11" t="s">
        <v>1000</v>
      </c>
      <c r="C837" s="10" t="s">
        <v>11</v>
      </c>
      <c r="D837" s="12" t="s">
        <v>11</v>
      </c>
      <c r="E837" s="12" t="s">
        <v>11</v>
      </c>
      <c r="F837" s="10" t="s">
        <v>1007</v>
      </c>
      <c r="G837" s="10" t="s">
        <v>1006</v>
      </c>
      <c r="H837" s="10" t="s">
        <v>208</v>
      </c>
      <c r="I837" s="10" t="s">
        <v>11</v>
      </c>
      <c r="J837" s="13">
        <v>43.407000000000004</v>
      </c>
      <c r="K837" s="21" t="s">
        <v>1020</v>
      </c>
      <c r="L837" t="str">
        <f>VLOOKUP(A837,Formulas!A:B,2,FALSE)</f>
        <v>177689</v>
      </c>
      <c r="M837" s="32"/>
    </row>
    <row r="838" spans="1:13" ht="42.5" hidden="1" customHeight="1">
      <c r="A838" s="10">
        <v>6441</v>
      </c>
      <c r="B838" s="11" t="s">
        <v>1001</v>
      </c>
      <c r="C838" s="10" t="s">
        <v>11</v>
      </c>
      <c r="D838" s="12" t="s">
        <v>11</v>
      </c>
      <c r="E838" s="12" t="s">
        <v>11</v>
      </c>
      <c r="F838" s="10" t="s">
        <v>1007</v>
      </c>
      <c r="G838" s="10" t="s">
        <v>1006</v>
      </c>
      <c r="H838" s="10" t="s">
        <v>208</v>
      </c>
      <c r="I838" s="10" t="s">
        <v>11</v>
      </c>
      <c r="J838" s="13">
        <v>43.407000000000004</v>
      </c>
      <c r="K838" s="21" t="s">
        <v>1020</v>
      </c>
      <c r="L838" t="str">
        <f>VLOOKUP(A838,Formulas!A:B,2,FALSE)</f>
        <v>177690</v>
      </c>
      <c r="M838" s="32"/>
    </row>
    <row r="839" spans="1:13" ht="42.5" hidden="1" customHeight="1">
      <c r="A839" s="10">
        <v>6442</v>
      </c>
      <c r="B839" s="11" t="s">
        <v>999</v>
      </c>
      <c r="C839" s="10" t="s">
        <v>11</v>
      </c>
      <c r="D839" s="12" t="s">
        <v>11</v>
      </c>
      <c r="E839" s="12" t="s">
        <v>11</v>
      </c>
      <c r="F839" s="10" t="s">
        <v>1007</v>
      </c>
      <c r="G839" s="10" t="s">
        <v>1006</v>
      </c>
      <c r="H839" s="10" t="s">
        <v>208</v>
      </c>
      <c r="I839" s="10" t="s">
        <v>11</v>
      </c>
      <c r="J839" s="13">
        <v>43.407000000000004</v>
      </c>
      <c r="K839" s="21" t="s">
        <v>1020</v>
      </c>
      <c r="L839" t="str">
        <f>VLOOKUP(A839,Formulas!A:B,2,FALSE)</f>
        <v>177688</v>
      </c>
      <c r="M839" s="32"/>
    </row>
    <row r="840" spans="1:13" ht="42.5" hidden="1" customHeight="1">
      <c r="A840" s="10">
        <v>6443</v>
      </c>
      <c r="B840" s="11" t="s">
        <v>998</v>
      </c>
      <c r="C840" s="10" t="s">
        <v>11</v>
      </c>
      <c r="D840" s="12" t="s">
        <v>11</v>
      </c>
      <c r="E840" s="12" t="s">
        <v>11</v>
      </c>
      <c r="F840" s="10" t="s">
        <v>1007</v>
      </c>
      <c r="G840" s="10" t="s">
        <v>1006</v>
      </c>
      <c r="H840" s="10" t="s">
        <v>208</v>
      </c>
      <c r="I840" s="10" t="s">
        <v>11</v>
      </c>
      <c r="J840" s="13">
        <v>43.407000000000004</v>
      </c>
      <c r="K840" s="21" t="s">
        <v>1020</v>
      </c>
      <c r="L840" t="str">
        <f>VLOOKUP(A840,Formulas!A:B,2,FALSE)</f>
        <v>177687</v>
      </c>
      <c r="M840" s="32"/>
    </row>
    <row r="841" spans="1:13" ht="42.5" hidden="1" customHeight="1">
      <c r="A841" s="10">
        <v>6445</v>
      </c>
      <c r="B841" s="11" t="s">
        <v>1532</v>
      </c>
      <c r="C841" s="10" t="s">
        <v>11</v>
      </c>
      <c r="D841" s="12" t="s">
        <v>11</v>
      </c>
      <c r="E841" s="12" t="s">
        <v>11</v>
      </c>
      <c r="F841" s="10" t="s">
        <v>85</v>
      </c>
      <c r="G841" s="10" t="s">
        <v>1005</v>
      </c>
      <c r="H841" s="10" t="s">
        <v>91</v>
      </c>
      <c r="I841" s="10" t="s">
        <v>11</v>
      </c>
      <c r="J841" s="13">
        <v>127.4332</v>
      </c>
      <c r="K841" s="21" t="s">
        <v>1020</v>
      </c>
      <c r="L841" t="str">
        <f>VLOOKUP(A841,Formulas!A:B,2,FALSE)</f>
        <v>177692</v>
      </c>
      <c r="M841" s="32"/>
    </row>
    <row r="842" spans="1:13" ht="42.5" hidden="1" customHeight="1">
      <c r="A842" s="10">
        <v>6446</v>
      </c>
      <c r="B842" s="11" t="s">
        <v>1002</v>
      </c>
      <c r="C842" s="10" t="s">
        <v>11</v>
      </c>
      <c r="D842" s="12" t="s">
        <v>11</v>
      </c>
      <c r="E842" s="12" t="s">
        <v>11</v>
      </c>
      <c r="F842" s="10" t="s">
        <v>85</v>
      </c>
      <c r="G842" s="10" t="s">
        <v>1005</v>
      </c>
      <c r="H842" s="10" t="s">
        <v>414</v>
      </c>
      <c r="I842" s="10" t="s">
        <v>11</v>
      </c>
      <c r="J842" s="13">
        <v>56.762999999999998</v>
      </c>
      <c r="K842" s="21" t="s">
        <v>1020</v>
      </c>
      <c r="L842" t="str">
        <f>VLOOKUP(A842,Formulas!A:B,2,FALSE)</f>
        <v>177693</v>
      </c>
      <c r="M842" s="32"/>
    </row>
    <row r="843" spans="1:13" ht="42.5" hidden="1" customHeight="1">
      <c r="A843" s="10">
        <v>6447</v>
      </c>
      <c r="B843" s="11" t="s">
        <v>1003</v>
      </c>
      <c r="C843" s="10" t="s">
        <v>11</v>
      </c>
      <c r="D843" s="12" t="s">
        <v>11</v>
      </c>
      <c r="E843" s="12" t="s">
        <v>11</v>
      </c>
      <c r="F843" s="10" t="s">
        <v>85</v>
      </c>
      <c r="G843" s="10" t="s">
        <v>1005</v>
      </c>
      <c r="H843" s="10" t="s">
        <v>414</v>
      </c>
      <c r="I843" s="10" t="s">
        <v>11</v>
      </c>
      <c r="J843" s="13">
        <v>50.085000000000001</v>
      </c>
      <c r="K843" s="21" t="s">
        <v>1020</v>
      </c>
      <c r="L843" t="str">
        <f>VLOOKUP(A843,Formulas!A:B,2,FALSE)</f>
        <v>177694</v>
      </c>
      <c r="M843" s="32"/>
    </row>
    <row r="844" spans="1:13" ht="42.5" hidden="1" customHeight="1">
      <c r="A844" s="10">
        <v>6448</v>
      </c>
      <c r="B844" s="11" t="s">
        <v>1004</v>
      </c>
      <c r="C844" s="10" t="s">
        <v>11</v>
      </c>
      <c r="D844" s="12" t="s">
        <v>11</v>
      </c>
      <c r="E844" s="12" t="s">
        <v>11</v>
      </c>
      <c r="F844" s="10" t="s">
        <v>85</v>
      </c>
      <c r="G844" s="10" t="s">
        <v>1005</v>
      </c>
      <c r="H844" s="10" t="s">
        <v>414</v>
      </c>
      <c r="I844" s="10" t="s">
        <v>11</v>
      </c>
      <c r="J844" s="13">
        <v>50.085000000000001</v>
      </c>
      <c r="K844" s="21" t="s">
        <v>1020</v>
      </c>
      <c r="L844" t="str">
        <f>VLOOKUP(A844,Formulas!A:B,2,FALSE)</f>
        <v>177695</v>
      </c>
      <c r="M844" s="32"/>
    </row>
    <row r="845" spans="1:13" ht="42.5" customHeight="1">
      <c r="A845" s="10">
        <v>6726</v>
      </c>
      <c r="B845" s="11" t="s">
        <v>991</v>
      </c>
      <c r="C845" s="10" t="s">
        <v>10</v>
      </c>
      <c r="D845" s="12" t="s">
        <v>990</v>
      </c>
      <c r="E845" s="12">
        <v>1425</v>
      </c>
      <c r="F845" s="10" t="s">
        <v>347</v>
      </c>
      <c r="G845" s="10" t="s">
        <v>440</v>
      </c>
      <c r="H845" s="10" t="s">
        <v>440</v>
      </c>
      <c r="I845" s="10" t="s">
        <v>91</v>
      </c>
      <c r="J845" s="13">
        <v>244.86</v>
      </c>
      <c r="K845" s="14"/>
      <c r="L845" t="e">
        <f>VLOOKUP(A845,Formulas!A:B,2,FALSE)</f>
        <v>#N/A</v>
      </c>
      <c r="M845" s="32"/>
    </row>
    <row r="846" spans="1:13" ht="42.5" customHeight="1">
      <c r="A846" s="10">
        <v>6727</v>
      </c>
      <c r="B846" s="11" t="s">
        <v>992</v>
      </c>
      <c r="C846" s="10" t="s">
        <v>10</v>
      </c>
      <c r="D846" s="12" t="s">
        <v>990</v>
      </c>
      <c r="E846" s="10">
        <v>1425</v>
      </c>
      <c r="F846" s="10" t="s">
        <v>347</v>
      </c>
      <c r="G846" s="10" t="s">
        <v>440</v>
      </c>
      <c r="H846" s="10" t="s">
        <v>440</v>
      </c>
      <c r="I846" s="10" t="s">
        <v>91</v>
      </c>
      <c r="J846" s="13">
        <v>244.86</v>
      </c>
      <c r="K846" s="14"/>
      <c r="L846" t="e">
        <f>VLOOKUP(A846,Formulas!A:B,2,FALSE)</f>
        <v>#N/A</v>
      </c>
      <c r="M846" s="32"/>
    </row>
    <row r="847" spans="1:13" ht="42.5" customHeight="1">
      <c r="A847" s="10">
        <v>6728</v>
      </c>
      <c r="B847" s="11" t="s">
        <v>993</v>
      </c>
      <c r="C847" s="10" t="s">
        <v>10</v>
      </c>
      <c r="D847" s="12" t="s">
        <v>990</v>
      </c>
      <c r="E847" s="12">
        <v>1425</v>
      </c>
      <c r="F847" s="10" t="s">
        <v>347</v>
      </c>
      <c r="G847" s="10" t="s">
        <v>440</v>
      </c>
      <c r="H847" s="10" t="s">
        <v>440</v>
      </c>
      <c r="I847" s="10" t="s">
        <v>91</v>
      </c>
      <c r="J847" s="13">
        <v>244.86</v>
      </c>
      <c r="K847" s="14"/>
      <c r="L847" t="e">
        <f>VLOOKUP(A847,Formulas!A:B,2,FALSE)</f>
        <v>#N/A</v>
      </c>
      <c r="M847" s="32"/>
    </row>
    <row r="848" spans="1:13" ht="42.5" customHeight="1">
      <c r="A848" s="10">
        <v>6732</v>
      </c>
      <c r="B848" s="11" t="s">
        <v>994</v>
      </c>
      <c r="C848" s="10" t="s">
        <v>10</v>
      </c>
      <c r="D848" s="12" t="s">
        <v>990</v>
      </c>
      <c r="E848" s="12">
        <v>1425</v>
      </c>
      <c r="F848" s="10" t="s">
        <v>347</v>
      </c>
      <c r="G848" s="10" t="s">
        <v>440</v>
      </c>
      <c r="H848" s="10" t="s">
        <v>440</v>
      </c>
      <c r="I848" s="10" t="s">
        <v>91</v>
      </c>
      <c r="J848" s="13">
        <v>244.86</v>
      </c>
      <c r="K848" s="14"/>
      <c r="L848" t="e">
        <f>VLOOKUP(A848,Formulas!A:B,2,FALSE)</f>
        <v>#N/A</v>
      </c>
      <c r="M848" s="32"/>
    </row>
    <row r="849" spans="1:13" ht="42.5" customHeight="1">
      <c r="A849" s="10">
        <v>6733</v>
      </c>
      <c r="B849" s="11" t="s">
        <v>995</v>
      </c>
      <c r="C849" s="10" t="s">
        <v>10</v>
      </c>
      <c r="D849" s="12" t="s">
        <v>990</v>
      </c>
      <c r="E849" s="10">
        <v>1425</v>
      </c>
      <c r="F849" s="10" t="s">
        <v>347</v>
      </c>
      <c r="G849" s="10" t="s">
        <v>440</v>
      </c>
      <c r="H849" s="10" t="s">
        <v>440</v>
      </c>
      <c r="I849" s="10" t="s">
        <v>91</v>
      </c>
      <c r="J849" s="13">
        <v>244.86</v>
      </c>
      <c r="K849" s="14"/>
      <c r="L849" t="e">
        <f>VLOOKUP(A849,Formulas!A:B,2,FALSE)</f>
        <v>#N/A</v>
      </c>
      <c r="M849" s="32"/>
    </row>
    <row r="850" spans="1:13" ht="42.5" customHeight="1">
      <c r="A850" s="10">
        <v>6734</v>
      </c>
      <c r="B850" s="11" t="s">
        <v>996</v>
      </c>
      <c r="C850" s="10" t="s">
        <v>10</v>
      </c>
      <c r="D850" s="12" t="s">
        <v>990</v>
      </c>
      <c r="E850" s="12">
        <v>1425</v>
      </c>
      <c r="F850" s="10" t="s">
        <v>347</v>
      </c>
      <c r="G850" s="10" t="s">
        <v>440</v>
      </c>
      <c r="H850" s="10" t="s">
        <v>440</v>
      </c>
      <c r="I850" s="10" t="s">
        <v>91</v>
      </c>
      <c r="J850" s="13">
        <v>244.86</v>
      </c>
      <c r="K850" s="14"/>
      <c r="L850" t="e">
        <f>VLOOKUP(A850,Formulas!A:B,2,FALSE)</f>
        <v>#N/A</v>
      </c>
      <c r="M850" s="32"/>
    </row>
    <row r="851" spans="1:13" ht="69.75" customHeight="1">
      <c r="A851" s="10">
        <v>6735</v>
      </c>
      <c r="B851" s="11" t="s">
        <v>997</v>
      </c>
      <c r="C851" s="10" t="s">
        <v>10</v>
      </c>
      <c r="D851" s="12" t="s">
        <v>990</v>
      </c>
      <c r="E851" s="10">
        <v>1425</v>
      </c>
      <c r="F851" s="10" t="s">
        <v>347</v>
      </c>
      <c r="G851" s="10" t="s">
        <v>440</v>
      </c>
      <c r="H851" s="10" t="s">
        <v>440</v>
      </c>
      <c r="I851" s="10" t="s">
        <v>91</v>
      </c>
      <c r="J851" s="13">
        <v>244.86</v>
      </c>
      <c r="K851" s="14"/>
      <c r="L851" t="e">
        <f>VLOOKUP(A851,Formulas!A:B,2,FALSE)</f>
        <v>#N/A</v>
      </c>
      <c r="M851" s="32"/>
    </row>
    <row r="852" spans="1:13" ht="69.75" customHeight="1">
      <c r="A852" s="10">
        <v>6736</v>
      </c>
      <c r="B852" s="11" t="s">
        <v>982</v>
      </c>
      <c r="C852" s="10" t="s">
        <v>10</v>
      </c>
      <c r="D852" s="12" t="s">
        <v>988</v>
      </c>
      <c r="E852" s="12">
        <v>713</v>
      </c>
      <c r="F852" s="10" t="s">
        <v>14</v>
      </c>
      <c r="G852" s="10" t="s">
        <v>86</v>
      </c>
      <c r="H852" s="10" t="s">
        <v>85</v>
      </c>
      <c r="I852" s="10" t="s">
        <v>11</v>
      </c>
      <c r="J852" s="13">
        <v>165.83699999999999</v>
      </c>
      <c r="K852" s="14"/>
      <c r="L852" t="e">
        <f>VLOOKUP(A852,Formulas!A:B,2,FALSE)</f>
        <v>#N/A</v>
      </c>
      <c r="M852" s="32"/>
    </row>
    <row r="853" spans="1:13" ht="69.75" customHeight="1">
      <c r="A853" s="10">
        <v>6737</v>
      </c>
      <c r="B853" s="11" t="s">
        <v>983</v>
      </c>
      <c r="C853" s="10" t="s">
        <v>10</v>
      </c>
      <c r="D853" s="12" t="s">
        <v>988</v>
      </c>
      <c r="E853" s="10">
        <v>713</v>
      </c>
      <c r="F853" s="10" t="s">
        <v>14</v>
      </c>
      <c r="G853" s="10" t="s">
        <v>86</v>
      </c>
      <c r="H853" s="10" t="s">
        <v>85</v>
      </c>
      <c r="I853" s="10" t="s">
        <v>11</v>
      </c>
      <c r="J853" s="13">
        <v>165.83699999999999</v>
      </c>
      <c r="K853" s="14"/>
      <c r="L853" t="e">
        <f>VLOOKUP(A853,Formulas!A:B,2,FALSE)</f>
        <v>#N/A</v>
      </c>
      <c r="M853" s="32"/>
    </row>
    <row r="854" spans="1:13" ht="69.75" customHeight="1">
      <c r="A854" s="10">
        <v>6738</v>
      </c>
      <c r="B854" s="11" t="s">
        <v>984</v>
      </c>
      <c r="C854" s="10" t="s">
        <v>10</v>
      </c>
      <c r="D854" s="12" t="s">
        <v>988</v>
      </c>
      <c r="E854" s="12">
        <v>713</v>
      </c>
      <c r="F854" s="10" t="s">
        <v>14</v>
      </c>
      <c r="G854" s="10" t="s">
        <v>86</v>
      </c>
      <c r="H854" s="10" t="s">
        <v>85</v>
      </c>
      <c r="I854" s="10" t="s">
        <v>11</v>
      </c>
      <c r="J854" s="13">
        <v>165.83699999999999</v>
      </c>
      <c r="K854" s="14"/>
      <c r="L854" t="e">
        <f>VLOOKUP(A854,Formulas!A:B,2,FALSE)</f>
        <v>#N/A</v>
      </c>
      <c r="M854" s="32"/>
    </row>
    <row r="855" spans="1:13" ht="42.5" customHeight="1">
      <c r="A855" s="10">
        <v>6744</v>
      </c>
      <c r="B855" s="11" t="s">
        <v>985</v>
      </c>
      <c r="C855" s="10" t="s">
        <v>10</v>
      </c>
      <c r="D855" s="12" t="s">
        <v>989</v>
      </c>
      <c r="E855" s="12">
        <v>938</v>
      </c>
      <c r="F855" s="10" t="s">
        <v>14</v>
      </c>
      <c r="G855" s="10" t="s">
        <v>86</v>
      </c>
      <c r="H855" s="10" t="s">
        <v>85</v>
      </c>
      <c r="I855" s="10" t="s">
        <v>11</v>
      </c>
      <c r="J855" s="13">
        <v>254.87700000000001</v>
      </c>
      <c r="K855" s="14"/>
      <c r="L855" t="e">
        <f>VLOOKUP(A855,Formulas!A:B,2,FALSE)</f>
        <v>#N/A</v>
      </c>
      <c r="M855" s="32"/>
    </row>
    <row r="856" spans="1:13" ht="42.5" customHeight="1">
      <c r="A856" s="10">
        <v>6745</v>
      </c>
      <c r="B856" s="11" t="s">
        <v>986</v>
      </c>
      <c r="C856" s="10" t="s">
        <v>10</v>
      </c>
      <c r="D856" s="12" t="s">
        <v>989</v>
      </c>
      <c r="E856" s="10">
        <v>938</v>
      </c>
      <c r="F856" s="10" t="s">
        <v>14</v>
      </c>
      <c r="G856" s="10" t="s">
        <v>86</v>
      </c>
      <c r="H856" s="10" t="s">
        <v>85</v>
      </c>
      <c r="I856" s="10" t="s">
        <v>11</v>
      </c>
      <c r="J856" s="13">
        <v>254.87700000000001</v>
      </c>
      <c r="K856" s="14"/>
      <c r="L856" t="e">
        <f>VLOOKUP(A856,Formulas!A:B,2,FALSE)</f>
        <v>#N/A</v>
      </c>
      <c r="M856" s="32"/>
    </row>
    <row r="857" spans="1:13" ht="42.5" customHeight="1">
      <c r="A857" s="10">
        <v>6746</v>
      </c>
      <c r="B857" s="11" t="s">
        <v>987</v>
      </c>
      <c r="C857" s="10" t="s">
        <v>10</v>
      </c>
      <c r="D857" s="12" t="s">
        <v>989</v>
      </c>
      <c r="E857" s="12">
        <v>938</v>
      </c>
      <c r="F857" s="10" t="s">
        <v>14</v>
      </c>
      <c r="G857" s="10" t="s">
        <v>86</v>
      </c>
      <c r="H857" s="10" t="s">
        <v>85</v>
      </c>
      <c r="I857" s="10" t="s">
        <v>11</v>
      </c>
      <c r="J857" s="13">
        <v>254.87700000000001</v>
      </c>
      <c r="K857" s="14"/>
      <c r="L857" t="e">
        <f>VLOOKUP(A857,Formulas!A:B,2,FALSE)</f>
        <v>#N/A</v>
      </c>
      <c r="M857" s="32"/>
    </row>
    <row r="858" spans="1:13" ht="42.5" customHeight="1">
      <c r="A858" s="10">
        <v>7426</v>
      </c>
      <c r="B858" s="11" t="s">
        <v>1535</v>
      </c>
      <c r="C858" s="10" t="s">
        <v>11</v>
      </c>
      <c r="D858" s="12" t="s">
        <v>11</v>
      </c>
      <c r="E858" s="12" t="s">
        <v>11</v>
      </c>
      <c r="F858" s="10" t="s">
        <v>1007</v>
      </c>
      <c r="G858" s="10" t="s">
        <v>1006</v>
      </c>
      <c r="H858" s="10" t="s">
        <v>91</v>
      </c>
      <c r="I858" s="10" t="s">
        <v>11</v>
      </c>
      <c r="J858" s="13">
        <v>127.3802</v>
      </c>
      <c r="K858" s="21" t="s">
        <v>1020</v>
      </c>
      <c r="L858" t="e">
        <f>VLOOKUP(A858,Formulas!A:B,2,FALSE)</f>
        <v>#N/A</v>
      </c>
      <c r="M858" s="32"/>
    </row>
    <row r="859" spans="1:13" ht="42.5" customHeight="1">
      <c r="A859" s="10">
        <v>7427</v>
      </c>
      <c r="B859" s="11" t="s">
        <v>1533</v>
      </c>
      <c r="C859" s="10" t="s">
        <v>11</v>
      </c>
      <c r="D859" s="12" t="s">
        <v>11</v>
      </c>
      <c r="E859" s="10" t="s">
        <v>11</v>
      </c>
      <c r="F859" s="10" t="s">
        <v>85</v>
      </c>
      <c r="G859" s="10" t="s">
        <v>1005</v>
      </c>
      <c r="H859" s="10" t="s">
        <v>1045</v>
      </c>
      <c r="I859" s="10" t="s">
        <v>11</v>
      </c>
      <c r="J859" s="13">
        <v>172.5574</v>
      </c>
      <c r="K859" s="21" t="s">
        <v>1020</v>
      </c>
      <c r="L859" t="e">
        <f>VLOOKUP(A859,Formulas!A:B,2,FALSE)</f>
        <v>#N/A</v>
      </c>
      <c r="M859" s="32"/>
    </row>
    <row r="860" spans="1:13" ht="42.5" customHeight="1">
      <c r="A860" s="10">
        <v>7471</v>
      </c>
      <c r="B860" s="11" t="s">
        <v>1035</v>
      </c>
      <c r="C860" s="10" t="s">
        <v>102</v>
      </c>
      <c r="D860" s="12" t="s">
        <v>11</v>
      </c>
      <c r="E860" s="10" t="s">
        <v>11</v>
      </c>
      <c r="F860" s="10" t="s">
        <v>1051</v>
      </c>
      <c r="G860" s="10" t="s">
        <v>1052</v>
      </c>
      <c r="H860" s="10" t="s">
        <v>1052</v>
      </c>
      <c r="I860" s="10" t="s">
        <v>11</v>
      </c>
      <c r="J860" s="13">
        <v>31.8</v>
      </c>
      <c r="K860" s="21" t="s">
        <v>1020</v>
      </c>
      <c r="L860" t="e">
        <f>VLOOKUP(A860,Formulas!A:B,2,FALSE)</f>
        <v>#N/A</v>
      </c>
      <c r="M860" s="32"/>
    </row>
    <row r="861" spans="1:13" ht="42.5" customHeight="1">
      <c r="A861" s="10">
        <v>7472</v>
      </c>
      <c r="B861" s="11" t="s">
        <v>1036</v>
      </c>
      <c r="C861" s="10" t="s">
        <v>102</v>
      </c>
      <c r="D861" s="12" t="s">
        <v>11</v>
      </c>
      <c r="E861" s="10" t="s">
        <v>11</v>
      </c>
      <c r="F861" s="10" t="s">
        <v>1051</v>
      </c>
      <c r="G861" s="10" t="s">
        <v>1052</v>
      </c>
      <c r="H861" s="10" t="s">
        <v>1052</v>
      </c>
      <c r="I861" s="10" t="s">
        <v>11</v>
      </c>
      <c r="J861" s="13">
        <v>31.8</v>
      </c>
      <c r="K861" s="21" t="s">
        <v>1020</v>
      </c>
      <c r="L861" t="e">
        <f>VLOOKUP(A861,Formulas!A:B,2,FALSE)</f>
        <v>#N/A</v>
      </c>
      <c r="M861" s="32"/>
    </row>
    <row r="862" spans="1:13" ht="42.5" customHeight="1">
      <c r="A862" s="10">
        <v>7473</v>
      </c>
      <c r="B862" s="11" t="s">
        <v>1080</v>
      </c>
      <c r="C862" s="10" t="s">
        <v>102</v>
      </c>
      <c r="D862" s="12" t="s">
        <v>11</v>
      </c>
      <c r="E862" s="12" t="s">
        <v>11</v>
      </c>
      <c r="F862" s="10" t="s">
        <v>1051</v>
      </c>
      <c r="G862" s="10" t="s">
        <v>1052</v>
      </c>
      <c r="H862" s="10" t="s">
        <v>1052</v>
      </c>
      <c r="I862" s="10" t="s">
        <v>11</v>
      </c>
      <c r="J862" s="13">
        <v>38.160000000000004</v>
      </c>
      <c r="K862" s="21" t="s">
        <v>1020</v>
      </c>
      <c r="L862" t="e">
        <f>VLOOKUP(A862,Formulas!A:B,2,FALSE)</f>
        <v>#N/A</v>
      </c>
      <c r="M862" s="32"/>
    </row>
    <row r="863" spans="1:13" ht="42.5" customHeight="1">
      <c r="A863" s="10">
        <v>7474</v>
      </c>
      <c r="B863" s="11" t="s">
        <v>1037</v>
      </c>
      <c r="C863" s="10" t="s">
        <v>511</v>
      </c>
      <c r="D863" s="12" t="s">
        <v>11</v>
      </c>
      <c r="E863" s="10" t="s">
        <v>11</v>
      </c>
      <c r="F863" s="10" t="s">
        <v>1051</v>
      </c>
      <c r="G863" s="10" t="s">
        <v>281</v>
      </c>
      <c r="H863" s="10" t="s">
        <v>281</v>
      </c>
      <c r="I863" s="10" t="s">
        <v>11</v>
      </c>
      <c r="J863" s="13">
        <v>33.92</v>
      </c>
      <c r="K863" s="21" t="s">
        <v>1020</v>
      </c>
      <c r="L863" t="e">
        <f>VLOOKUP(A863,Formulas!A:B,2,FALSE)</f>
        <v>#N/A</v>
      </c>
      <c r="M863" s="32"/>
    </row>
    <row r="864" spans="1:13" ht="42.5" customHeight="1">
      <c r="A864" s="10">
        <v>7475</v>
      </c>
      <c r="B864" s="11" t="s">
        <v>1038</v>
      </c>
      <c r="C864" s="10" t="s">
        <v>511</v>
      </c>
      <c r="D864" s="12" t="s">
        <v>11</v>
      </c>
      <c r="E864" s="12" t="s">
        <v>11</v>
      </c>
      <c r="F864" s="10" t="s">
        <v>1051</v>
      </c>
      <c r="G864" s="10" t="s">
        <v>281</v>
      </c>
      <c r="H864" s="10" t="s">
        <v>281</v>
      </c>
      <c r="I864" s="10" t="s">
        <v>11</v>
      </c>
      <c r="J864" s="13">
        <v>33.92</v>
      </c>
      <c r="K864" s="21" t="s">
        <v>1020</v>
      </c>
      <c r="L864" t="e">
        <f>VLOOKUP(A864,Formulas!A:B,2,FALSE)</f>
        <v>#N/A</v>
      </c>
      <c r="M864" s="32"/>
    </row>
    <row r="865" spans="1:13" ht="42.5" customHeight="1">
      <c r="A865" s="10">
        <v>7476</v>
      </c>
      <c r="B865" s="11" t="s">
        <v>1079</v>
      </c>
      <c r="C865" s="10" t="s">
        <v>511</v>
      </c>
      <c r="D865" s="12" t="s">
        <v>11</v>
      </c>
      <c r="E865" s="10" t="s">
        <v>11</v>
      </c>
      <c r="F865" s="10" t="s">
        <v>1051</v>
      </c>
      <c r="G865" s="10" t="s">
        <v>281</v>
      </c>
      <c r="H865" s="10" t="s">
        <v>281</v>
      </c>
      <c r="I865" s="10" t="s">
        <v>11</v>
      </c>
      <c r="J865" s="13">
        <v>40.704000000000001</v>
      </c>
      <c r="K865" s="21" t="s">
        <v>1020</v>
      </c>
      <c r="L865" t="e">
        <f>VLOOKUP(A865,Formulas!A:B,2,FALSE)</f>
        <v>#N/A</v>
      </c>
      <c r="M865" s="32"/>
    </row>
    <row r="866" spans="1:13" ht="51.75" customHeight="1">
      <c r="A866" s="10">
        <v>7477</v>
      </c>
      <c r="B866" s="11" t="s">
        <v>1039</v>
      </c>
      <c r="C866" s="10" t="s">
        <v>511</v>
      </c>
      <c r="D866" s="12" t="s">
        <v>11</v>
      </c>
      <c r="E866" s="12" t="s">
        <v>11</v>
      </c>
      <c r="F866" s="10" t="s">
        <v>226</v>
      </c>
      <c r="G866" s="10" t="s">
        <v>403</v>
      </c>
      <c r="H866" s="10" t="s">
        <v>403</v>
      </c>
      <c r="I866" s="10" t="s">
        <v>11</v>
      </c>
      <c r="J866" s="13">
        <v>37.1</v>
      </c>
      <c r="K866" s="21" t="s">
        <v>1020</v>
      </c>
      <c r="L866" t="e">
        <f>VLOOKUP(A866,Formulas!A:B,2,FALSE)</f>
        <v>#N/A</v>
      </c>
      <c r="M866" s="32"/>
    </row>
    <row r="867" spans="1:13" ht="51.75" customHeight="1">
      <c r="A867" s="10">
        <v>7478</v>
      </c>
      <c r="B867" s="11" t="s">
        <v>1040</v>
      </c>
      <c r="C867" s="10" t="s">
        <v>511</v>
      </c>
      <c r="D867" s="12" t="s">
        <v>11</v>
      </c>
      <c r="E867" s="10" t="s">
        <v>11</v>
      </c>
      <c r="F867" s="10" t="s">
        <v>1055</v>
      </c>
      <c r="G867" s="10" t="s">
        <v>348</v>
      </c>
      <c r="H867" s="10" t="s">
        <v>348</v>
      </c>
      <c r="I867" s="10" t="s">
        <v>11</v>
      </c>
      <c r="J867" s="13">
        <v>37.1</v>
      </c>
      <c r="K867" s="21" t="s">
        <v>1020</v>
      </c>
      <c r="L867" t="e">
        <f>VLOOKUP(A867,Formulas!A:B,2,FALSE)</f>
        <v>#N/A</v>
      </c>
      <c r="M867" s="32"/>
    </row>
    <row r="868" spans="1:13" ht="51.75" customHeight="1">
      <c r="A868" s="10">
        <v>7479</v>
      </c>
      <c r="B868" s="11" t="s">
        <v>1041</v>
      </c>
      <c r="C868" s="10" t="s">
        <v>1053</v>
      </c>
      <c r="D868" s="12" t="s">
        <v>11</v>
      </c>
      <c r="E868" s="12" t="s">
        <v>11</v>
      </c>
      <c r="F868" s="10" t="s">
        <v>226</v>
      </c>
      <c r="G868" s="10" t="s">
        <v>403</v>
      </c>
      <c r="H868" s="10" t="s">
        <v>403</v>
      </c>
      <c r="I868" s="10" t="s">
        <v>11</v>
      </c>
      <c r="J868" s="13">
        <v>32.86</v>
      </c>
      <c r="K868" s="21" t="s">
        <v>1020</v>
      </c>
      <c r="L868" t="e">
        <f>VLOOKUP(A868,Formulas!A:B,2,FALSE)</f>
        <v>#N/A</v>
      </c>
      <c r="M868" s="32"/>
    </row>
    <row r="869" spans="1:13" ht="51.75" customHeight="1">
      <c r="A869" s="10">
        <v>7480</v>
      </c>
      <c r="B869" s="11" t="s">
        <v>1042</v>
      </c>
      <c r="C869" s="10" t="s">
        <v>1053</v>
      </c>
      <c r="D869" s="12" t="s">
        <v>11</v>
      </c>
      <c r="E869" s="10" t="s">
        <v>11</v>
      </c>
      <c r="F869" s="10" t="s">
        <v>1055</v>
      </c>
      <c r="G869" s="10" t="s">
        <v>348</v>
      </c>
      <c r="H869" s="10" t="s">
        <v>348</v>
      </c>
      <c r="I869" s="10" t="s">
        <v>11</v>
      </c>
      <c r="J869" s="13">
        <v>32.86</v>
      </c>
      <c r="K869" s="21" t="s">
        <v>1020</v>
      </c>
      <c r="L869" t="e">
        <f>VLOOKUP(A869,Formulas!A:B,2,FALSE)</f>
        <v>#N/A</v>
      </c>
      <c r="M869" s="32"/>
    </row>
    <row r="870" spans="1:13" ht="42.5" customHeight="1">
      <c r="A870" s="10">
        <v>7481</v>
      </c>
      <c r="B870" s="11" t="s">
        <v>1043</v>
      </c>
      <c r="C870" s="10" t="s">
        <v>1054</v>
      </c>
      <c r="D870" s="12" t="s">
        <v>11</v>
      </c>
      <c r="E870" s="12" t="s">
        <v>11</v>
      </c>
      <c r="F870" s="10" t="s">
        <v>226</v>
      </c>
      <c r="G870" s="10" t="s">
        <v>403</v>
      </c>
      <c r="H870" s="10" t="s">
        <v>403</v>
      </c>
      <c r="I870" s="10" t="s">
        <v>11</v>
      </c>
      <c r="J870" s="13">
        <v>33.92</v>
      </c>
      <c r="K870" s="21" t="s">
        <v>1020</v>
      </c>
      <c r="L870" t="e">
        <f>VLOOKUP(A870,Formulas!A:B,2,FALSE)</f>
        <v>#N/A</v>
      </c>
      <c r="M870" s="32"/>
    </row>
    <row r="871" spans="1:13" ht="42.5" customHeight="1">
      <c r="A871" s="10">
        <v>7482</v>
      </c>
      <c r="B871" s="11" t="s">
        <v>1044</v>
      </c>
      <c r="C871" s="10" t="s">
        <v>1054</v>
      </c>
      <c r="D871" s="12" t="s">
        <v>11</v>
      </c>
      <c r="E871" s="10" t="s">
        <v>11</v>
      </c>
      <c r="F871" s="10" t="s">
        <v>1055</v>
      </c>
      <c r="G871" s="10" t="s">
        <v>348</v>
      </c>
      <c r="H871" s="10" t="s">
        <v>348</v>
      </c>
      <c r="I871" s="10" t="s">
        <v>11</v>
      </c>
      <c r="J871" s="13">
        <v>33.92</v>
      </c>
      <c r="K871" s="21" t="s">
        <v>1020</v>
      </c>
      <c r="L871" t="e">
        <f>VLOOKUP(A871,Formulas!A:B,2,FALSE)</f>
        <v>#N/A</v>
      </c>
      <c r="M871" s="32"/>
    </row>
    <row r="872" spans="1:13" ht="42.5" customHeight="1">
      <c r="A872" s="10">
        <v>7504</v>
      </c>
      <c r="B872" s="11" t="s">
        <v>1021</v>
      </c>
      <c r="C872" s="10" t="s">
        <v>11</v>
      </c>
      <c r="D872" s="10" t="s">
        <v>11</v>
      </c>
      <c r="E872" s="10" t="s">
        <v>11</v>
      </c>
      <c r="F872" s="10" t="s">
        <v>1046</v>
      </c>
      <c r="G872" s="10" t="s">
        <v>1047</v>
      </c>
      <c r="H872" s="10" t="s">
        <v>91</v>
      </c>
      <c r="I872" s="10" t="s">
        <v>11</v>
      </c>
      <c r="J872" s="13">
        <v>51.993000000000002</v>
      </c>
      <c r="K872" s="21" t="s">
        <v>1020</v>
      </c>
      <c r="L872" t="e">
        <f>VLOOKUP(A872,Formulas!A:B,2,FALSE)</f>
        <v>#N/A</v>
      </c>
      <c r="M872" s="32"/>
    </row>
    <row r="873" spans="1:13" ht="42.5" hidden="1" customHeight="1">
      <c r="A873" s="10">
        <v>7505</v>
      </c>
      <c r="B873" s="11" t="s">
        <v>1022</v>
      </c>
      <c r="C873" s="10" t="s">
        <v>11</v>
      </c>
      <c r="D873" s="12" t="s">
        <v>11</v>
      </c>
      <c r="E873" s="10" t="s">
        <v>11</v>
      </c>
      <c r="F873" s="10" t="s">
        <v>1046</v>
      </c>
      <c r="G873" s="10" t="s">
        <v>1047</v>
      </c>
      <c r="H873" s="10" t="s">
        <v>91</v>
      </c>
      <c r="I873" s="10" t="s">
        <v>11</v>
      </c>
      <c r="J873" s="13">
        <v>51.993000000000002</v>
      </c>
      <c r="K873" s="21" t="s">
        <v>1020</v>
      </c>
      <c r="L873" t="str">
        <f>VLOOKUP(A873,Formulas!A:B,2,FALSE)</f>
        <v>177558</v>
      </c>
      <c r="M873" s="32"/>
    </row>
    <row r="874" spans="1:13" ht="42.5" customHeight="1">
      <c r="A874" s="10">
        <v>7506</v>
      </c>
      <c r="B874" s="11" t="s">
        <v>1023</v>
      </c>
      <c r="C874" s="10" t="s">
        <v>11</v>
      </c>
      <c r="D874" s="12" t="s">
        <v>11</v>
      </c>
      <c r="E874" s="12" t="s">
        <v>11</v>
      </c>
      <c r="F874" s="10" t="s">
        <v>1046</v>
      </c>
      <c r="G874" s="10" t="s">
        <v>1047</v>
      </c>
      <c r="H874" s="10" t="s">
        <v>1045</v>
      </c>
      <c r="I874" s="10" t="s">
        <v>11</v>
      </c>
      <c r="J874" s="13">
        <v>75.535600000000002</v>
      </c>
      <c r="K874" s="21" t="s">
        <v>1020</v>
      </c>
      <c r="L874" t="e">
        <f>VLOOKUP(A874,Formulas!A:B,2,FALSE)</f>
        <v>#N/A</v>
      </c>
      <c r="M874" s="32"/>
    </row>
    <row r="875" spans="1:13" ht="42.5" customHeight="1">
      <c r="A875" s="10">
        <v>7507</v>
      </c>
      <c r="B875" s="11" t="s">
        <v>1024</v>
      </c>
      <c r="C875" s="10" t="s">
        <v>11</v>
      </c>
      <c r="D875" s="12" t="s">
        <v>11</v>
      </c>
      <c r="E875" s="10" t="s">
        <v>11</v>
      </c>
      <c r="F875" s="10" t="s">
        <v>1046</v>
      </c>
      <c r="G875" s="10" t="s">
        <v>1047</v>
      </c>
      <c r="H875" s="10" t="s">
        <v>1045</v>
      </c>
      <c r="I875" s="10" t="s">
        <v>11</v>
      </c>
      <c r="J875" s="13">
        <v>75.535600000000002</v>
      </c>
      <c r="K875" s="21" t="s">
        <v>1020</v>
      </c>
      <c r="L875" t="e">
        <f>VLOOKUP(A875,Formulas!A:B,2,FALSE)</f>
        <v>#N/A</v>
      </c>
      <c r="M875" s="32"/>
    </row>
    <row r="876" spans="1:13" ht="42.5" customHeight="1">
      <c r="A876" s="10">
        <v>7508</v>
      </c>
      <c r="B876" s="11" t="s">
        <v>1056</v>
      </c>
      <c r="C876" s="10" t="s">
        <v>11</v>
      </c>
      <c r="D876" s="12" t="s">
        <v>11</v>
      </c>
      <c r="E876" s="10" t="s">
        <v>11</v>
      </c>
      <c r="F876" s="10" t="s">
        <v>1046</v>
      </c>
      <c r="G876" s="10" t="s">
        <v>1047</v>
      </c>
      <c r="H876" s="10" t="s">
        <v>91</v>
      </c>
      <c r="I876" s="10" t="s">
        <v>11</v>
      </c>
      <c r="J876" s="13">
        <v>80.56</v>
      </c>
      <c r="K876" s="21" t="s">
        <v>1020</v>
      </c>
      <c r="L876" t="e">
        <f>VLOOKUP(A876,Formulas!A:B,2,FALSE)</f>
        <v>#N/A</v>
      </c>
      <c r="M876" s="32"/>
    </row>
    <row r="877" spans="1:13" ht="42.5" hidden="1" customHeight="1">
      <c r="A877" s="10">
        <v>7509</v>
      </c>
      <c r="B877" s="11" t="s">
        <v>1057</v>
      </c>
      <c r="C877" s="10" t="s">
        <v>11</v>
      </c>
      <c r="D877" s="12" t="s">
        <v>11</v>
      </c>
      <c r="E877" s="10" t="s">
        <v>11</v>
      </c>
      <c r="F877" s="10" t="s">
        <v>1046</v>
      </c>
      <c r="G877" s="10" t="s">
        <v>1047</v>
      </c>
      <c r="H877" s="10" t="s">
        <v>91</v>
      </c>
      <c r="I877" s="10" t="s">
        <v>11</v>
      </c>
      <c r="J877" s="13">
        <v>80.56</v>
      </c>
      <c r="K877" s="21" t="s">
        <v>1020</v>
      </c>
      <c r="L877" t="str">
        <f>VLOOKUP(A877,Formulas!A:B,2,FALSE)</f>
        <v>177564</v>
      </c>
      <c r="M877" s="32"/>
    </row>
    <row r="878" spans="1:13" ht="42.5" customHeight="1">
      <c r="A878" s="10">
        <v>7510</v>
      </c>
      <c r="B878" s="11" t="s">
        <v>1058</v>
      </c>
      <c r="C878" s="10" t="s">
        <v>11</v>
      </c>
      <c r="D878" s="12" t="s">
        <v>11</v>
      </c>
      <c r="E878" s="12" t="s">
        <v>11</v>
      </c>
      <c r="F878" s="10" t="s">
        <v>1046</v>
      </c>
      <c r="G878" s="10" t="s">
        <v>1047</v>
      </c>
      <c r="H878" s="10" t="s">
        <v>1045</v>
      </c>
      <c r="I878" s="10" t="s">
        <v>11</v>
      </c>
      <c r="J878" s="13">
        <v>118.74226</v>
      </c>
      <c r="K878" s="21" t="s">
        <v>1020</v>
      </c>
      <c r="L878" t="e">
        <f>VLOOKUP(A878,Formulas!A:B,2,FALSE)</f>
        <v>#N/A</v>
      </c>
      <c r="M878" s="32"/>
    </row>
    <row r="879" spans="1:13" ht="42.5" customHeight="1">
      <c r="A879" s="10">
        <v>7511</v>
      </c>
      <c r="B879" s="11" t="s">
        <v>1059</v>
      </c>
      <c r="C879" s="10" t="s">
        <v>11</v>
      </c>
      <c r="D879" s="12" t="s">
        <v>11</v>
      </c>
      <c r="E879" s="10" t="s">
        <v>11</v>
      </c>
      <c r="F879" s="10" t="s">
        <v>1046</v>
      </c>
      <c r="G879" s="10" t="s">
        <v>1047</v>
      </c>
      <c r="H879" s="10" t="s">
        <v>1045</v>
      </c>
      <c r="I879" s="10" t="s">
        <v>11</v>
      </c>
      <c r="J879" s="13">
        <v>118.74120000000001</v>
      </c>
      <c r="K879" s="21" t="s">
        <v>1020</v>
      </c>
      <c r="L879" t="e">
        <f>VLOOKUP(A879,Formulas!A:B,2,FALSE)</f>
        <v>#N/A</v>
      </c>
      <c r="M879" s="32"/>
    </row>
    <row r="880" spans="1:13" ht="42.5" customHeight="1">
      <c r="A880" s="10">
        <v>7512</v>
      </c>
      <c r="B880" s="11" t="s">
        <v>1025</v>
      </c>
      <c r="C880" s="10" t="s">
        <v>11</v>
      </c>
      <c r="D880" s="12" t="s">
        <v>11</v>
      </c>
      <c r="E880" s="12" t="s">
        <v>11</v>
      </c>
      <c r="F880" s="10" t="s">
        <v>90</v>
      </c>
      <c r="G880" s="10" t="s">
        <v>1048</v>
      </c>
      <c r="H880" s="10" t="s">
        <v>91</v>
      </c>
      <c r="I880" s="10" t="s">
        <v>11</v>
      </c>
      <c r="J880" s="13">
        <v>99.576400000000007</v>
      </c>
      <c r="K880" s="21" t="s">
        <v>1020</v>
      </c>
      <c r="L880" t="e">
        <f>VLOOKUP(A880,Formulas!A:B,2,FALSE)</f>
        <v>#N/A</v>
      </c>
      <c r="M880" s="32"/>
    </row>
    <row r="881" spans="1:13" ht="42.5" hidden="1" customHeight="1">
      <c r="A881" s="10">
        <v>7513</v>
      </c>
      <c r="B881" s="11" t="s">
        <v>1026</v>
      </c>
      <c r="C881" s="10" t="s">
        <v>11</v>
      </c>
      <c r="D881" s="12" t="s">
        <v>11</v>
      </c>
      <c r="E881" s="10" t="s">
        <v>11</v>
      </c>
      <c r="F881" s="10" t="s">
        <v>90</v>
      </c>
      <c r="G881" s="10" t="s">
        <v>1048</v>
      </c>
      <c r="H881" s="10" t="s">
        <v>91</v>
      </c>
      <c r="I881" s="10" t="s">
        <v>11</v>
      </c>
      <c r="J881" s="13">
        <v>99.576400000000007</v>
      </c>
      <c r="K881" s="21" t="s">
        <v>1020</v>
      </c>
      <c r="L881" t="str">
        <f>VLOOKUP(A881,Formulas!A:B,2,FALSE)</f>
        <v>177561</v>
      </c>
      <c r="M881" s="32"/>
    </row>
    <row r="882" spans="1:13" ht="42.5" customHeight="1">
      <c r="A882" s="10">
        <v>7514</v>
      </c>
      <c r="B882" s="11" t="s">
        <v>1027</v>
      </c>
      <c r="C882" s="10" t="s">
        <v>11</v>
      </c>
      <c r="D882" s="12" t="s">
        <v>11</v>
      </c>
      <c r="E882" s="12" t="s">
        <v>11</v>
      </c>
      <c r="F882" s="10" t="s">
        <v>90</v>
      </c>
      <c r="G882" s="10" t="s">
        <v>1048</v>
      </c>
      <c r="H882" s="10" t="s">
        <v>1045</v>
      </c>
      <c r="I882" s="10" t="s">
        <v>11</v>
      </c>
      <c r="J882" s="13">
        <v>133.68720000000002</v>
      </c>
      <c r="K882" s="21" t="s">
        <v>1020</v>
      </c>
      <c r="L882" t="e">
        <f>VLOOKUP(A882,Formulas!A:B,2,FALSE)</f>
        <v>#N/A</v>
      </c>
      <c r="M882" s="32"/>
    </row>
    <row r="883" spans="1:13" ht="42.5" customHeight="1">
      <c r="A883" s="10">
        <v>7515</v>
      </c>
      <c r="B883" s="11" t="s">
        <v>1028</v>
      </c>
      <c r="C883" s="10" t="s">
        <v>11</v>
      </c>
      <c r="D883" s="12" t="s">
        <v>11</v>
      </c>
      <c r="E883" s="10" t="s">
        <v>11</v>
      </c>
      <c r="F883" s="10" t="s">
        <v>90</v>
      </c>
      <c r="G883" s="10" t="s">
        <v>1048</v>
      </c>
      <c r="H883" s="10" t="s">
        <v>1045</v>
      </c>
      <c r="I883" s="10" t="s">
        <v>11</v>
      </c>
      <c r="J883" s="13">
        <v>133.68720000000002</v>
      </c>
      <c r="K883" s="21" t="s">
        <v>1020</v>
      </c>
      <c r="L883" t="e">
        <f>VLOOKUP(A883,Formulas!A:B,2,FALSE)</f>
        <v>#N/A</v>
      </c>
      <c r="M883" s="32"/>
    </row>
    <row r="884" spans="1:13" ht="42.5" hidden="1" customHeight="1">
      <c r="A884" s="10">
        <v>7516</v>
      </c>
      <c r="B884" s="11" t="s">
        <v>1060</v>
      </c>
      <c r="C884" s="10" t="s">
        <v>11</v>
      </c>
      <c r="D884" s="12" t="s">
        <v>11</v>
      </c>
      <c r="E884" s="12" t="s">
        <v>11</v>
      </c>
      <c r="F884" s="10" t="s">
        <v>90</v>
      </c>
      <c r="G884" s="10" t="s">
        <v>1048</v>
      </c>
      <c r="H884" s="10" t="s">
        <v>91</v>
      </c>
      <c r="I884" s="10" t="s">
        <v>11</v>
      </c>
      <c r="J884" s="13">
        <v>79.5</v>
      </c>
      <c r="K884" s="21" t="s">
        <v>1020</v>
      </c>
      <c r="L884" t="str">
        <f>VLOOKUP(A884,Formulas!A:B,2,FALSE)</f>
        <v>177533</v>
      </c>
      <c r="M884" s="32"/>
    </row>
    <row r="885" spans="1:13" ht="42.5" hidden="1" customHeight="1">
      <c r="A885" s="10">
        <v>7517</v>
      </c>
      <c r="B885" s="11" t="s">
        <v>1061</v>
      </c>
      <c r="C885" s="10" t="s">
        <v>11</v>
      </c>
      <c r="D885" s="12" t="s">
        <v>11</v>
      </c>
      <c r="E885" s="10" t="s">
        <v>11</v>
      </c>
      <c r="F885" s="10" t="s">
        <v>90</v>
      </c>
      <c r="G885" s="10" t="s">
        <v>1048</v>
      </c>
      <c r="H885" s="10" t="s">
        <v>91</v>
      </c>
      <c r="I885" s="10" t="s">
        <v>11</v>
      </c>
      <c r="J885" s="13">
        <v>79.5</v>
      </c>
      <c r="K885" s="21" t="s">
        <v>1020</v>
      </c>
      <c r="L885" t="str">
        <f>VLOOKUP(A885,Formulas!A:B,2,FALSE)</f>
        <v>177534</v>
      </c>
      <c r="M885" s="32"/>
    </row>
    <row r="886" spans="1:13" ht="42.5" hidden="1" customHeight="1">
      <c r="A886" s="10">
        <v>7518</v>
      </c>
      <c r="B886" s="11" t="s">
        <v>1062</v>
      </c>
      <c r="C886" s="10" t="s">
        <v>11</v>
      </c>
      <c r="D886" s="12" t="s">
        <v>11</v>
      </c>
      <c r="E886" s="12" t="s">
        <v>11</v>
      </c>
      <c r="F886" s="10" t="s">
        <v>90</v>
      </c>
      <c r="G886" s="10" t="s">
        <v>1048</v>
      </c>
      <c r="H886" s="10" t="s">
        <v>1045</v>
      </c>
      <c r="I886" s="10" t="s">
        <v>11</v>
      </c>
      <c r="J886" s="13">
        <v>108.12</v>
      </c>
      <c r="K886" s="21" t="s">
        <v>1020</v>
      </c>
      <c r="L886" t="str">
        <f>VLOOKUP(A886,Formulas!A:B,2,FALSE)</f>
        <v>177536</v>
      </c>
      <c r="M886" s="32"/>
    </row>
    <row r="887" spans="1:13" ht="42.5" hidden="1" customHeight="1">
      <c r="A887" s="10">
        <v>7519</v>
      </c>
      <c r="B887" s="11" t="s">
        <v>1063</v>
      </c>
      <c r="C887" s="10" t="s">
        <v>11</v>
      </c>
      <c r="D887" s="12" t="s">
        <v>11</v>
      </c>
      <c r="E887" s="10" t="s">
        <v>11</v>
      </c>
      <c r="F887" s="10" t="s">
        <v>90</v>
      </c>
      <c r="G887" s="10" t="s">
        <v>1048</v>
      </c>
      <c r="H887" s="10" t="s">
        <v>1045</v>
      </c>
      <c r="I887" s="10" t="s">
        <v>11</v>
      </c>
      <c r="J887" s="13">
        <v>108.12</v>
      </c>
      <c r="K887" s="21" t="s">
        <v>1020</v>
      </c>
      <c r="L887" t="str">
        <f>VLOOKUP(A887,Formulas!A:B,2,FALSE)</f>
        <v>177537</v>
      </c>
      <c r="M887" s="32"/>
    </row>
    <row r="888" spans="1:13" ht="42.5" hidden="1" customHeight="1">
      <c r="A888" s="10">
        <v>7520</v>
      </c>
      <c r="B888" s="11" t="s">
        <v>1029</v>
      </c>
      <c r="C888" s="10" t="s">
        <v>10</v>
      </c>
      <c r="D888" s="12" t="s">
        <v>780</v>
      </c>
      <c r="E888" s="12">
        <v>140</v>
      </c>
      <c r="F888" s="10" t="s">
        <v>1490</v>
      </c>
      <c r="G888" s="10" t="s">
        <v>1491</v>
      </c>
      <c r="H888" s="10" t="s">
        <v>1491</v>
      </c>
      <c r="I888" s="10" t="s">
        <v>11</v>
      </c>
      <c r="J888" s="13">
        <v>94.34</v>
      </c>
      <c r="K888" s="21" t="s">
        <v>1020</v>
      </c>
      <c r="L888" t="str">
        <f>VLOOKUP(A888,Formulas!A:B,2,FALSE)</f>
        <v>177538</v>
      </c>
      <c r="M888" s="32"/>
    </row>
    <row r="889" spans="1:13" ht="42.5" hidden="1" customHeight="1">
      <c r="A889" s="10">
        <v>7521</v>
      </c>
      <c r="B889" s="11" t="s">
        <v>1030</v>
      </c>
      <c r="C889" s="10" t="s">
        <v>10</v>
      </c>
      <c r="D889" s="12" t="s">
        <v>780</v>
      </c>
      <c r="E889" s="10">
        <v>140</v>
      </c>
      <c r="F889" s="10" t="s">
        <v>1490</v>
      </c>
      <c r="G889" s="10" t="s">
        <v>1491</v>
      </c>
      <c r="H889" s="10" t="s">
        <v>1491</v>
      </c>
      <c r="I889" s="10" t="s">
        <v>11</v>
      </c>
      <c r="J889" s="13">
        <v>94.34</v>
      </c>
      <c r="K889" s="21" t="s">
        <v>1020</v>
      </c>
      <c r="L889" t="str">
        <f>VLOOKUP(A889,Formulas!A:B,2,FALSE)</f>
        <v>177539</v>
      </c>
      <c r="M889" s="32"/>
    </row>
    <row r="890" spans="1:13" ht="42.5" hidden="1" customHeight="1">
      <c r="A890" s="10">
        <v>7522</v>
      </c>
      <c r="B890" s="11" t="s">
        <v>1065</v>
      </c>
      <c r="C890" s="10" t="s">
        <v>10</v>
      </c>
      <c r="D890" s="12" t="s">
        <v>770</v>
      </c>
      <c r="E890" s="12">
        <v>1080</v>
      </c>
      <c r="F890" s="10" t="s">
        <v>1050</v>
      </c>
      <c r="G890" s="10" t="s">
        <v>1048</v>
      </c>
      <c r="H890" s="10" t="s">
        <v>395</v>
      </c>
      <c r="I890" s="10" t="s">
        <v>11</v>
      </c>
      <c r="J890" s="13">
        <v>126.14</v>
      </c>
      <c r="K890" s="21" t="s">
        <v>1020</v>
      </c>
      <c r="L890" t="str">
        <f>VLOOKUP(A890,Formulas!A:B,2,FALSE)</f>
        <v>177559</v>
      </c>
      <c r="M890" s="32"/>
    </row>
    <row r="891" spans="1:13" ht="42.5" hidden="1" customHeight="1">
      <c r="A891" s="10">
        <v>7524</v>
      </c>
      <c r="B891" s="11" t="s">
        <v>1066</v>
      </c>
      <c r="C891" s="10" t="s">
        <v>10</v>
      </c>
      <c r="D891" s="12" t="s">
        <v>1049</v>
      </c>
      <c r="E891" s="10">
        <v>2160</v>
      </c>
      <c r="F891" s="10" t="s">
        <v>1050</v>
      </c>
      <c r="G891" s="10" t="s">
        <v>1048</v>
      </c>
      <c r="H891" s="10" t="s">
        <v>1064</v>
      </c>
      <c r="I891" s="10" t="s">
        <v>11</v>
      </c>
      <c r="J891" s="13">
        <v>147.34</v>
      </c>
      <c r="K891" s="21" t="s">
        <v>1020</v>
      </c>
      <c r="L891" t="str">
        <f>VLOOKUP(A891,Formulas!A:B,2,FALSE)</f>
        <v>177560</v>
      </c>
      <c r="M891" s="32"/>
    </row>
    <row r="892" spans="1:13" ht="42.5" customHeight="1">
      <c r="A892" s="10">
        <v>7526</v>
      </c>
      <c r="B892" s="11" t="s">
        <v>1561</v>
      </c>
      <c r="C892" s="10" t="s">
        <v>10</v>
      </c>
      <c r="D892" s="12" t="s">
        <v>780</v>
      </c>
      <c r="E892" s="10">
        <v>150</v>
      </c>
      <c r="F892" s="10" t="s">
        <v>13</v>
      </c>
      <c r="G892" s="10" t="s">
        <v>226</v>
      </c>
      <c r="H892" s="10" t="s">
        <v>226</v>
      </c>
      <c r="I892" s="10" t="s">
        <v>91</v>
      </c>
      <c r="J892" s="13">
        <v>118.18364000000001</v>
      </c>
      <c r="K892" s="21"/>
      <c r="L892" t="e">
        <f>VLOOKUP(A892,Formulas!A:B,2,FALSE)</f>
        <v>#N/A</v>
      </c>
      <c r="M892" s="32"/>
    </row>
    <row r="893" spans="1:13" ht="42.5" customHeight="1">
      <c r="A893" s="10">
        <v>7527</v>
      </c>
      <c r="B893" s="11" t="s">
        <v>1562</v>
      </c>
      <c r="C893" s="10" t="s">
        <v>10</v>
      </c>
      <c r="D893" s="12" t="s">
        <v>780</v>
      </c>
      <c r="E893" s="10">
        <v>150</v>
      </c>
      <c r="F893" s="10" t="s">
        <v>13</v>
      </c>
      <c r="G893" s="10" t="s">
        <v>226</v>
      </c>
      <c r="H893" s="10" t="s">
        <v>226</v>
      </c>
      <c r="I893" s="10" t="s">
        <v>91</v>
      </c>
      <c r="J893" s="13">
        <v>118.18364000000001</v>
      </c>
      <c r="K893" s="21"/>
      <c r="L893" t="e">
        <f>VLOOKUP(A893,Formulas!A:B,2,FALSE)</f>
        <v>#N/A</v>
      </c>
      <c r="M893" s="32"/>
    </row>
    <row r="894" spans="1:13" ht="42.5" customHeight="1">
      <c r="A894" s="10">
        <v>7532</v>
      </c>
      <c r="B894" s="11" t="s">
        <v>1031</v>
      </c>
      <c r="C894" s="10" t="s">
        <v>11</v>
      </c>
      <c r="D894" s="12" t="s">
        <v>11</v>
      </c>
      <c r="E894" s="12" t="s">
        <v>11</v>
      </c>
      <c r="F894" s="10" t="s">
        <v>1050</v>
      </c>
      <c r="G894" s="10" t="s">
        <v>1048</v>
      </c>
      <c r="H894" s="10" t="s">
        <v>91</v>
      </c>
      <c r="I894" s="10" t="s">
        <v>11</v>
      </c>
      <c r="J894" s="13">
        <v>30.740000000000002</v>
      </c>
      <c r="K894" s="21" t="s">
        <v>1020</v>
      </c>
      <c r="L894" t="e">
        <f>VLOOKUP(A894,Formulas!A:B,2,FALSE)</f>
        <v>#N/A</v>
      </c>
      <c r="M894" s="32"/>
    </row>
    <row r="895" spans="1:13" ht="42.5" customHeight="1">
      <c r="A895" s="10">
        <v>7533</v>
      </c>
      <c r="B895" s="11" t="s">
        <v>1032</v>
      </c>
      <c r="C895" s="10" t="s">
        <v>11</v>
      </c>
      <c r="D895" s="12" t="s">
        <v>11</v>
      </c>
      <c r="E895" s="10" t="s">
        <v>11</v>
      </c>
      <c r="F895" s="10" t="s">
        <v>1050</v>
      </c>
      <c r="G895" s="10" t="s">
        <v>1048</v>
      </c>
      <c r="H895" s="10" t="s">
        <v>91</v>
      </c>
      <c r="I895" s="10" t="s">
        <v>11</v>
      </c>
      <c r="J895" s="13">
        <v>30.740000000000002</v>
      </c>
      <c r="K895" s="21" t="s">
        <v>1020</v>
      </c>
      <c r="L895" t="e">
        <f>VLOOKUP(A895,Formulas!A:B,2,FALSE)</f>
        <v>#N/A</v>
      </c>
      <c r="M895" s="32"/>
    </row>
    <row r="896" spans="1:13" ht="42.5" customHeight="1">
      <c r="A896" s="10">
        <v>7534</v>
      </c>
      <c r="B896" s="11" t="s">
        <v>1033</v>
      </c>
      <c r="C896" s="10" t="s">
        <v>11</v>
      </c>
      <c r="D896" s="12" t="s">
        <v>11</v>
      </c>
      <c r="E896" s="12" t="s">
        <v>11</v>
      </c>
      <c r="F896" s="10" t="s">
        <v>1050</v>
      </c>
      <c r="G896" s="10" t="s">
        <v>1048</v>
      </c>
      <c r="H896" s="10" t="s">
        <v>1045</v>
      </c>
      <c r="I896" s="10" t="s">
        <v>11</v>
      </c>
      <c r="J896" s="13">
        <v>41.34</v>
      </c>
      <c r="K896" s="21" t="s">
        <v>1020</v>
      </c>
      <c r="L896" t="e">
        <f>VLOOKUP(A896,Formulas!A:B,2,FALSE)</f>
        <v>#N/A</v>
      </c>
      <c r="M896" s="32"/>
    </row>
    <row r="897" spans="1:13" ht="42.5" customHeight="1">
      <c r="A897" s="10">
        <v>7535</v>
      </c>
      <c r="B897" s="11" t="s">
        <v>1034</v>
      </c>
      <c r="C897" s="10" t="s">
        <v>11</v>
      </c>
      <c r="D897" s="12" t="s">
        <v>11</v>
      </c>
      <c r="E897" s="10" t="s">
        <v>11</v>
      </c>
      <c r="F897" s="10" t="s">
        <v>1050</v>
      </c>
      <c r="G897" s="10" t="s">
        <v>1048</v>
      </c>
      <c r="H897" s="10" t="s">
        <v>1045</v>
      </c>
      <c r="I897" s="10" t="s">
        <v>11</v>
      </c>
      <c r="J897" s="13">
        <v>41.34</v>
      </c>
      <c r="K897" s="21" t="s">
        <v>1020</v>
      </c>
      <c r="L897" t="e">
        <f>VLOOKUP(A897,Formulas!A:B,2,FALSE)</f>
        <v>#N/A</v>
      </c>
      <c r="M897" s="32"/>
    </row>
    <row r="898" spans="1:13" ht="42.5" customHeight="1">
      <c r="A898" s="10">
        <v>7667</v>
      </c>
      <c r="B898" s="11" t="s">
        <v>1305</v>
      </c>
      <c r="C898" s="10" t="s">
        <v>10</v>
      </c>
      <c r="D898" s="10" t="s">
        <v>780</v>
      </c>
      <c r="E898" s="10">
        <v>150</v>
      </c>
      <c r="F898" s="10" t="s">
        <v>1055</v>
      </c>
      <c r="G898" s="10" t="s">
        <v>1453</v>
      </c>
      <c r="H898" s="10" t="s">
        <v>1466</v>
      </c>
      <c r="I898" s="10" t="s">
        <v>11</v>
      </c>
      <c r="J898" s="26">
        <v>60.123200000000004</v>
      </c>
      <c r="K898" s="21"/>
      <c r="L898" t="e">
        <f>VLOOKUP(A898,Formulas!A:B,2,FALSE)</f>
        <v>#N/A</v>
      </c>
      <c r="M898" s="32"/>
    </row>
    <row r="899" spans="1:13" ht="42.5" customHeight="1">
      <c r="A899" s="10">
        <v>7668</v>
      </c>
      <c r="B899" s="11" t="s">
        <v>1306</v>
      </c>
      <c r="C899" s="10" t="s">
        <v>10</v>
      </c>
      <c r="D899" s="10" t="s">
        <v>780</v>
      </c>
      <c r="E899" s="10">
        <v>150</v>
      </c>
      <c r="F899" s="10" t="s">
        <v>1055</v>
      </c>
      <c r="G899" s="10" t="s">
        <v>1453</v>
      </c>
      <c r="H899" s="10" t="s">
        <v>1466</v>
      </c>
      <c r="I899" s="10" t="s">
        <v>11</v>
      </c>
      <c r="J899" s="26">
        <v>60.123200000000004</v>
      </c>
      <c r="K899" s="21"/>
      <c r="L899" t="e">
        <f>VLOOKUP(A899,Formulas!A:B,2,FALSE)</f>
        <v>#N/A</v>
      </c>
      <c r="M899" s="32"/>
    </row>
    <row r="900" spans="1:13" ht="42.5" customHeight="1">
      <c r="A900" s="10">
        <v>7669</v>
      </c>
      <c r="B900" s="11" t="s">
        <v>1307</v>
      </c>
      <c r="C900" s="10" t="s">
        <v>10</v>
      </c>
      <c r="D900" s="10" t="s">
        <v>780</v>
      </c>
      <c r="E900" s="10">
        <v>150</v>
      </c>
      <c r="F900" s="10" t="s">
        <v>1055</v>
      </c>
      <c r="G900" s="10" t="s">
        <v>1453</v>
      </c>
      <c r="H900" s="10" t="s">
        <v>1466</v>
      </c>
      <c r="I900" s="10" t="s">
        <v>11</v>
      </c>
      <c r="J900" s="26">
        <v>60.123200000000004</v>
      </c>
      <c r="K900" s="21"/>
      <c r="L900" t="e">
        <f>VLOOKUP(A900,Formulas!A:B,2,FALSE)</f>
        <v>#N/A</v>
      </c>
      <c r="M900" s="32"/>
    </row>
    <row r="901" spans="1:13" ht="42.5" customHeight="1">
      <c r="A901" s="10">
        <v>7670</v>
      </c>
      <c r="B901" s="11" t="s">
        <v>1308</v>
      </c>
      <c r="C901" s="10" t="s">
        <v>10</v>
      </c>
      <c r="D901" s="10" t="s">
        <v>780</v>
      </c>
      <c r="E901" s="10">
        <v>150</v>
      </c>
      <c r="F901" s="10" t="s">
        <v>1055</v>
      </c>
      <c r="G901" s="10" t="s">
        <v>1453</v>
      </c>
      <c r="H901" s="10" t="s">
        <v>1466</v>
      </c>
      <c r="I901" s="10" t="s">
        <v>11</v>
      </c>
      <c r="J901" s="26">
        <v>60.123200000000004</v>
      </c>
      <c r="K901" s="21"/>
      <c r="L901" t="e">
        <f>VLOOKUP(A901,Formulas!A:B,2,FALSE)</f>
        <v>#N/A</v>
      </c>
      <c r="M901" s="32"/>
    </row>
    <row r="902" spans="1:13" ht="42.5" customHeight="1">
      <c r="A902" s="10">
        <v>7671</v>
      </c>
      <c r="B902" s="11" t="s">
        <v>1309</v>
      </c>
      <c r="C902" s="10" t="s">
        <v>10</v>
      </c>
      <c r="D902" s="10" t="s">
        <v>768</v>
      </c>
      <c r="E902" s="10">
        <v>375</v>
      </c>
      <c r="F902" s="10" t="s">
        <v>1055</v>
      </c>
      <c r="G902" s="10" t="s">
        <v>1453</v>
      </c>
      <c r="H902" s="10" t="s">
        <v>1467</v>
      </c>
      <c r="I902" s="10" t="s">
        <v>11</v>
      </c>
      <c r="J902" s="26">
        <v>63.133600000000008</v>
      </c>
      <c r="K902" s="21"/>
      <c r="L902" t="e">
        <f>VLOOKUP(A902,Formulas!A:B,2,FALSE)</f>
        <v>#N/A</v>
      </c>
      <c r="M902" s="32"/>
    </row>
    <row r="903" spans="1:13" ht="42.5" customHeight="1">
      <c r="A903" s="10">
        <v>7672</v>
      </c>
      <c r="B903" s="11" t="s">
        <v>1310</v>
      </c>
      <c r="C903" s="10" t="s">
        <v>10</v>
      </c>
      <c r="D903" s="10" t="s">
        <v>768</v>
      </c>
      <c r="E903" s="10">
        <v>375</v>
      </c>
      <c r="F903" s="10" t="s">
        <v>1055</v>
      </c>
      <c r="G903" s="10" t="s">
        <v>1453</v>
      </c>
      <c r="H903" s="10" t="s">
        <v>1467</v>
      </c>
      <c r="I903" s="10" t="s">
        <v>11</v>
      </c>
      <c r="J903" s="26">
        <v>63.133600000000008</v>
      </c>
      <c r="K903" s="21"/>
      <c r="L903" t="e">
        <f>VLOOKUP(A903,Formulas!A:B,2,FALSE)</f>
        <v>#N/A</v>
      </c>
      <c r="M903" s="32"/>
    </row>
    <row r="904" spans="1:13" ht="42.5" customHeight="1">
      <c r="A904" s="10">
        <v>7673</v>
      </c>
      <c r="B904" s="11" t="s">
        <v>1311</v>
      </c>
      <c r="C904" s="10" t="s">
        <v>10</v>
      </c>
      <c r="D904" s="10" t="s">
        <v>768</v>
      </c>
      <c r="E904" s="10">
        <v>375</v>
      </c>
      <c r="F904" s="10" t="s">
        <v>1055</v>
      </c>
      <c r="G904" s="10" t="s">
        <v>1453</v>
      </c>
      <c r="H904" s="10" t="s">
        <v>1467</v>
      </c>
      <c r="I904" s="10" t="s">
        <v>11</v>
      </c>
      <c r="J904" s="26">
        <v>63.133600000000008</v>
      </c>
      <c r="K904" s="21"/>
      <c r="L904" t="e">
        <f>VLOOKUP(A904,Formulas!A:B,2,FALSE)</f>
        <v>#N/A</v>
      </c>
      <c r="M904" s="32"/>
    </row>
    <row r="905" spans="1:13" ht="42.5" customHeight="1">
      <c r="A905" s="10">
        <v>7674</v>
      </c>
      <c r="B905" s="11" t="s">
        <v>1312</v>
      </c>
      <c r="C905" s="10" t="s">
        <v>10</v>
      </c>
      <c r="D905" s="10" t="s">
        <v>768</v>
      </c>
      <c r="E905" s="10">
        <v>375</v>
      </c>
      <c r="F905" s="10" t="s">
        <v>1055</v>
      </c>
      <c r="G905" s="10" t="s">
        <v>1453</v>
      </c>
      <c r="H905" s="10" t="s">
        <v>1467</v>
      </c>
      <c r="I905" s="10" t="s">
        <v>11</v>
      </c>
      <c r="J905" s="26">
        <v>63.133600000000008</v>
      </c>
      <c r="K905" s="21"/>
      <c r="L905" t="e">
        <f>VLOOKUP(A905,Formulas!A:B,2,FALSE)</f>
        <v>#N/A</v>
      </c>
      <c r="M905" s="32"/>
    </row>
    <row r="906" spans="1:13" ht="42.5" customHeight="1">
      <c r="A906" s="10">
        <v>7675</v>
      </c>
      <c r="B906" s="11" t="s">
        <v>1313</v>
      </c>
      <c r="C906" s="10" t="s">
        <v>10</v>
      </c>
      <c r="D906" s="10" t="s">
        <v>988</v>
      </c>
      <c r="E906" s="10">
        <v>750</v>
      </c>
      <c r="F906" s="10" t="s">
        <v>1055</v>
      </c>
      <c r="G906" s="10" t="s">
        <v>1453</v>
      </c>
      <c r="H906" s="10" t="s">
        <v>1468</v>
      </c>
      <c r="I906" s="10" t="s">
        <v>11</v>
      </c>
      <c r="J906" s="26">
        <v>65.052199999999999</v>
      </c>
      <c r="K906" s="21"/>
      <c r="L906" t="e">
        <f>VLOOKUP(A906,Formulas!A:B,2,FALSE)</f>
        <v>#N/A</v>
      </c>
      <c r="M906" s="32"/>
    </row>
    <row r="907" spans="1:13" ht="42.5" customHeight="1">
      <c r="A907" s="10">
        <v>7676</v>
      </c>
      <c r="B907" s="11" t="s">
        <v>1314</v>
      </c>
      <c r="C907" s="10" t="s">
        <v>10</v>
      </c>
      <c r="D907" s="10" t="s">
        <v>988</v>
      </c>
      <c r="E907" s="10">
        <v>750</v>
      </c>
      <c r="F907" s="10" t="s">
        <v>1055</v>
      </c>
      <c r="G907" s="10" t="s">
        <v>1453</v>
      </c>
      <c r="H907" s="10" t="s">
        <v>1468</v>
      </c>
      <c r="I907" s="10" t="s">
        <v>11</v>
      </c>
      <c r="J907" s="26">
        <v>65.052199999999999</v>
      </c>
      <c r="K907" s="21"/>
      <c r="L907" t="e">
        <f>VLOOKUP(A907,Formulas!A:B,2,FALSE)</f>
        <v>#N/A</v>
      </c>
      <c r="M907" s="32"/>
    </row>
    <row r="908" spans="1:13" ht="42.5" customHeight="1">
      <c r="A908" s="10">
        <v>7677</v>
      </c>
      <c r="B908" s="11" t="s">
        <v>1315</v>
      </c>
      <c r="C908" s="10" t="s">
        <v>10</v>
      </c>
      <c r="D908" s="10" t="s">
        <v>988</v>
      </c>
      <c r="E908" s="10">
        <v>750</v>
      </c>
      <c r="F908" s="10" t="s">
        <v>1055</v>
      </c>
      <c r="G908" s="10" t="s">
        <v>1453</v>
      </c>
      <c r="H908" s="10" t="s">
        <v>1468</v>
      </c>
      <c r="I908" s="10" t="s">
        <v>11</v>
      </c>
      <c r="J908" s="26">
        <v>65.052199999999999</v>
      </c>
      <c r="K908" s="21"/>
      <c r="L908" t="e">
        <f>VLOOKUP(A908,Formulas!A:B,2,FALSE)</f>
        <v>#N/A</v>
      </c>
      <c r="M908" s="32"/>
    </row>
    <row r="909" spans="1:13" ht="42.5" customHeight="1">
      <c r="A909" s="10">
        <v>7678</v>
      </c>
      <c r="B909" s="11" t="s">
        <v>1316</v>
      </c>
      <c r="C909" s="10" t="s">
        <v>10</v>
      </c>
      <c r="D909" s="10" t="s">
        <v>988</v>
      </c>
      <c r="E909" s="10">
        <v>750</v>
      </c>
      <c r="F909" s="10" t="s">
        <v>1055</v>
      </c>
      <c r="G909" s="10" t="s">
        <v>1453</v>
      </c>
      <c r="H909" s="10" t="s">
        <v>1468</v>
      </c>
      <c r="I909" s="10" t="s">
        <v>11</v>
      </c>
      <c r="J909" s="26">
        <v>65.052199999999999</v>
      </c>
      <c r="K909" s="21"/>
      <c r="L909" t="e">
        <f>VLOOKUP(A909,Formulas!A:B,2,FALSE)</f>
        <v>#N/A</v>
      </c>
      <c r="M909" s="32"/>
    </row>
    <row r="910" spans="1:13" ht="42.5" customHeight="1">
      <c r="A910" s="10">
        <v>7679</v>
      </c>
      <c r="B910" s="11" t="s">
        <v>1317</v>
      </c>
      <c r="C910" s="10" t="s">
        <v>10</v>
      </c>
      <c r="D910" s="10" t="s">
        <v>988</v>
      </c>
      <c r="E910" s="10">
        <v>750</v>
      </c>
      <c r="F910" s="10" t="s">
        <v>1055</v>
      </c>
      <c r="G910" s="10" t="s">
        <v>1453</v>
      </c>
      <c r="H910" s="10" t="s">
        <v>1468</v>
      </c>
      <c r="I910" s="10" t="s">
        <v>11</v>
      </c>
      <c r="J910" s="26">
        <v>64.893200000000007</v>
      </c>
      <c r="K910" s="21"/>
      <c r="L910" t="e">
        <f>VLOOKUP(A910,Formulas!A:B,2,FALSE)</f>
        <v>#N/A</v>
      </c>
      <c r="M910" s="32"/>
    </row>
    <row r="911" spans="1:13" ht="42.5" customHeight="1">
      <c r="A911" s="10">
        <v>7681</v>
      </c>
      <c r="B911" s="11" t="s">
        <v>1318</v>
      </c>
      <c r="C911" s="10" t="s">
        <v>10</v>
      </c>
      <c r="D911" s="10" t="s">
        <v>988</v>
      </c>
      <c r="E911" s="10">
        <v>750</v>
      </c>
      <c r="F911" s="10" t="s">
        <v>1055</v>
      </c>
      <c r="G911" s="10" t="s">
        <v>1453</v>
      </c>
      <c r="H911" s="10" t="s">
        <v>1468</v>
      </c>
      <c r="I911" s="10" t="s">
        <v>11</v>
      </c>
      <c r="J911" s="26">
        <v>64.893200000000007</v>
      </c>
      <c r="K911" s="21"/>
      <c r="L911" t="e">
        <f>VLOOKUP(A911,Formulas!A:B,2,FALSE)</f>
        <v>#N/A</v>
      </c>
      <c r="M911" s="32"/>
    </row>
    <row r="912" spans="1:13" ht="42.5" customHeight="1">
      <c r="A912" s="10">
        <v>7682</v>
      </c>
      <c r="B912" s="11" t="s">
        <v>1319</v>
      </c>
      <c r="C912" s="10" t="s">
        <v>10</v>
      </c>
      <c r="D912" s="10" t="s">
        <v>988</v>
      </c>
      <c r="E912" s="10">
        <v>750</v>
      </c>
      <c r="F912" s="10" t="s">
        <v>1055</v>
      </c>
      <c r="G912" s="10" t="s">
        <v>1453</v>
      </c>
      <c r="H912" s="10" t="s">
        <v>1468</v>
      </c>
      <c r="I912" s="10" t="s">
        <v>11</v>
      </c>
      <c r="J912" s="26">
        <v>64.893200000000007</v>
      </c>
      <c r="K912" s="21"/>
      <c r="L912" t="e">
        <f>VLOOKUP(A912,Formulas!A:B,2,FALSE)</f>
        <v>#N/A</v>
      </c>
      <c r="M912" s="32"/>
    </row>
    <row r="913" spans="1:13" ht="42.5" customHeight="1">
      <c r="A913" s="10">
        <v>7683</v>
      </c>
      <c r="B913" s="11" t="s">
        <v>1084</v>
      </c>
      <c r="C913" s="10" t="s">
        <v>10</v>
      </c>
      <c r="D913" s="10" t="s">
        <v>1380</v>
      </c>
      <c r="E913" s="10">
        <v>1425</v>
      </c>
      <c r="F913" s="10" t="s">
        <v>1401</v>
      </c>
      <c r="G913" s="10" t="s">
        <v>1400</v>
      </c>
      <c r="H913" s="10" t="s">
        <v>1400</v>
      </c>
      <c r="I913" s="10" t="s">
        <v>11</v>
      </c>
      <c r="J913" s="26">
        <v>213.08225999999999</v>
      </c>
      <c r="K913" s="21"/>
      <c r="L913" t="e">
        <f>VLOOKUP(A913,Formulas!A:B,2,FALSE)</f>
        <v>#N/A</v>
      </c>
      <c r="M913" s="32"/>
    </row>
    <row r="914" spans="1:13" ht="42.5" customHeight="1">
      <c r="A914" s="10">
        <v>7684</v>
      </c>
      <c r="B914" s="11" t="s">
        <v>1085</v>
      </c>
      <c r="C914" s="10" t="s">
        <v>10</v>
      </c>
      <c r="D914" s="10" t="s">
        <v>1380</v>
      </c>
      <c r="E914" s="10">
        <v>1425</v>
      </c>
      <c r="F914" s="10" t="s">
        <v>1401</v>
      </c>
      <c r="G914" s="10" t="s">
        <v>1400</v>
      </c>
      <c r="H914" s="10" t="s">
        <v>1400</v>
      </c>
      <c r="I914" s="10" t="s">
        <v>11</v>
      </c>
      <c r="J914" s="26">
        <v>213.08225999999999</v>
      </c>
      <c r="K914" s="21"/>
      <c r="L914" t="e">
        <f>VLOOKUP(A914,Formulas!A:B,2,FALSE)</f>
        <v>#N/A</v>
      </c>
      <c r="M914" s="32"/>
    </row>
    <row r="915" spans="1:13" ht="42.5" customHeight="1">
      <c r="A915" s="10">
        <v>7685</v>
      </c>
      <c r="B915" s="11" t="s">
        <v>1086</v>
      </c>
      <c r="C915" s="10" t="s">
        <v>10</v>
      </c>
      <c r="D915" s="10" t="s">
        <v>1380</v>
      </c>
      <c r="E915" s="10">
        <v>1425</v>
      </c>
      <c r="F915" s="10" t="s">
        <v>1401</v>
      </c>
      <c r="G915" s="10" t="s">
        <v>1400</v>
      </c>
      <c r="H915" s="10" t="s">
        <v>1400</v>
      </c>
      <c r="I915" s="10" t="s">
        <v>11</v>
      </c>
      <c r="J915" s="26">
        <v>213.08225999999999</v>
      </c>
      <c r="K915" s="21"/>
      <c r="L915" t="e">
        <f>VLOOKUP(A915,Formulas!A:B,2,FALSE)</f>
        <v>#N/A</v>
      </c>
      <c r="M915" s="32"/>
    </row>
    <row r="916" spans="1:13" ht="42.5" customHeight="1">
      <c r="A916" s="10">
        <v>7686</v>
      </c>
      <c r="B916" s="11" t="s">
        <v>1087</v>
      </c>
      <c r="C916" s="10" t="s">
        <v>10</v>
      </c>
      <c r="D916" s="10" t="s">
        <v>1380</v>
      </c>
      <c r="E916" s="10">
        <v>1425</v>
      </c>
      <c r="F916" s="10" t="s">
        <v>1401</v>
      </c>
      <c r="G916" s="10" t="s">
        <v>1400</v>
      </c>
      <c r="H916" s="10" t="s">
        <v>1400</v>
      </c>
      <c r="I916" s="10" t="s">
        <v>11</v>
      </c>
      <c r="J916" s="26">
        <v>213.08225999999999</v>
      </c>
      <c r="K916" s="21"/>
      <c r="L916" t="e">
        <f>VLOOKUP(A916,Formulas!A:B,2,FALSE)</f>
        <v>#N/A</v>
      </c>
      <c r="M916" s="32"/>
    </row>
    <row r="917" spans="1:13" ht="42.5" customHeight="1">
      <c r="A917" s="10">
        <v>7687</v>
      </c>
      <c r="B917" s="11" t="s">
        <v>1088</v>
      </c>
      <c r="C917" s="10" t="s">
        <v>10</v>
      </c>
      <c r="D917" s="10" t="s">
        <v>1380</v>
      </c>
      <c r="E917" s="10">
        <v>1425</v>
      </c>
      <c r="F917" s="10" t="s">
        <v>1401</v>
      </c>
      <c r="G917" s="10" t="s">
        <v>1400</v>
      </c>
      <c r="H917" s="10" t="s">
        <v>1400</v>
      </c>
      <c r="I917" s="10" t="s">
        <v>11</v>
      </c>
      <c r="J917" s="26">
        <v>213.08225999999999</v>
      </c>
      <c r="K917" s="21"/>
      <c r="L917" t="e">
        <f>VLOOKUP(A917,Formulas!A:B,2,FALSE)</f>
        <v>#N/A</v>
      </c>
      <c r="M917" s="32"/>
    </row>
    <row r="918" spans="1:13" ht="42.5" customHeight="1">
      <c r="A918" s="10">
        <v>7688</v>
      </c>
      <c r="B918" s="11" t="s">
        <v>1089</v>
      </c>
      <c r="C918" s="10" t="s">
        <v>10</v>
      </c>
      <c r="D918" s="10" t="s">
        <v>1380</v>
      </c>
      <c r="E918" s="10">
        <v>1425</v>
      </c>
      <c r="F918" s="10" t="s">
        <v>1401</v>
      </c>
      <c r="G918" s="10" t="s">
        <v>1400</v>
      </c>
      <c r="H918" s="10" t="s">
        <v>1400</v>
      </c>
      <c r="I918" s="10" t="s">
        <v>11</v>
      </c>
      <c r="J918" s="26">
        <v>213.08225999999999</v>
      </c>
      <c r="K918" s="21"/>
      <c r="L918" t="e">
        <f>VLOOKUP(A918,Formulas!A:B,2,FALSE)</f>
        <v>#N/A</v>
      </c>
      <c r="M918" s="32"/>
    </row>
    <row r="919" spans="1:13" ht="42.5" customHeight="1">
      <c r="A919" s="10">
        <v>7689</v>
      </c>
      <c r="B919" s="11" t="s">
        <v>1090</v>
      </c>
      <c r="C919" s="10" t="s">
        <v>10</v>
      </c>
      <c r="D919" s="10" t="s">
        <v>1380</v>
      </c>
      <c r="E919" s="10">
        <v>1425</v>
      </c>
      <c r="F919" s="10" t="s">
        <v>1401</v>
      </c>
      <c r="G919" s="10" t="s">
        <v>1400</v>
      </c>
      <c r="H919" s="10" t="s">
        <v>1400</v>
      </c>
      <c r="I919" s="10" t="s">
        <v>11</v>
      </c>
      <c r="J919" s="26">
        <v>255.69871199999997</v>
      </c>
      <c r="K919" s="21"/>
      <c r="L919" t="e">
        <f>VLOOKUP(A919,Formulas!A:B,2,FALSE)</f>
        <v>#N/A</v>
      </c>
      <c r="M919" s="32"/>
    </row>
    <row r="920" spans="1:13" ht="42.5" customHeight="1">
      <c r="A920" s="10">
        <v>7690</v>
      </c>
      <c r="B920" s="11" t="s">
        <v>1091</v>
      </c>
      <c r="C920" s="10" t="s">
        <v>10</v>
      </c>
      <c r="D920" s="10" t="s">
        <v>336</v>
      </c>
      <c r="E920" s="10">
        <v>2025</v>
      </c>
      <c r="F920" s="10" t="s">
        <v>1402</v>
      </c>
      <c r="G920" s="10" t="s">
        <v>1403</v>
      </c>
      <c r="H920" s="10" t="s">
        <v>1403</v>
      </c>
      <c r="I920" s="10" t="s">
        <v>11</v>
      </c>
      <c r="J920" s="26">
        <v>316.59020000000004</v>
      </c>
      <c r="K920" s="21"/>
      <c r="L920" t="e">
        <f>VLOOKUP(A920,Formulas!A:B,2,FALSE)</f>
        <v>#N/A</v>
      </c>
      <c r="M920" s="32"/>
    </row>
    <row r="921" spans="1:13" ht="42.5" customHeight="1">
      <c r="A921" s="10">
        <v>7691</v>
      </c>
      <c r="B921" s="11" t="s">
        <v>1092</v>
      </c>
      <c r="C921" s="10" t="s">
        <v>10</v>
      </c>
      <c r="D921" s="10" t="s">
        <v>336</v>
      </c>
      <c r="E921" s="10">
        <v>2025</v>
      </c>
      <c r="F921" s="10" t="s">
        <v>1402</v>
      </c>
      <c r="G921" s="10" t="s">
        <v>1403</v>
      </c>
      <c r="H921" s="10" t="s">
        <v>1403</v>
      </c>
      <c r="I921" s="10" t="s">
        <v>11</v>
      </c>
      <c r="J921" s="26">
        <v>316.59020000000004</v>
      </c>
      <c r="K921" s="21"/>
      <c r="L921" t="e">
        <f>VLOOKUP(A921,Formulas!A:B,2,FALSE)</f>
        <v>#N/A</v>
      </c>
      <c r="M921" s="32"/>
    </row>
    <row r="922" spans="1:13" ht="42.5" customHeight="1">
      <c r="A922" s="10">
        <v>7692</v>
      </c>
      <c r="B922" s="11" t="s">
        <v>1093</v>
      </c>
      <c r="C922" s="10" t="s">
        <v>10</v>
      </c>
      <c r="D922" s="10" t="s">
        <v>336</v>
      </c>
      <c r="E922" s="10">
        <v>2025</v>
      </c>
      <c r="F922" s="10" t="s">
        <v>1402</v>
      </c>
      <c r="G922" s="10" t="s">
        <v>1403</v>
      </c>
      <c r="H922" s="10" t="s">
        <v>1403</v>
      </c>
      <c r="I922" s="10" t="s">
        <v>11</v>
      </c>
      <c r="J922" s="26">
        <v>316.59020000000004</v>
      </c>
      <c r="K922" s="21"/>
      <c r="L922" t="e">
        <f>VLOOKUP(A922,Formulas!A:B,2,FALSE)</f>
        <v>#N/A</v>
      </c>
      <c r="M922" s="32"/>
    </row>
    <row r="923" spans="1:13" ht="42.5" customHeight="1">
      <c r="A923" s="10">
        <v>7693</v>
      </c>
      <c r="B923" s="11" t="s">
        <v>1094</v>
      </c>
      <c r="C923" s="10" t="s">
        <v>10</v>
      </c>
      <c r="D923" s="10" t="s">
        <v>336</v>
      </c>
      <c r="E923" s="10">
        <v>2025</v>
      </c>
      <c r="F923" s="10" t="s">
        <v>1402</v>
      </c>
      <c r="G923" s="10" t="s">
        <v>1403</v>
      </c>
      <c r="H923" s="10" t="s">
        <v>1403</v>
      </c>
      <c r="I923" s="10" t="s">
        <v>11</v>
      </c>
      <c r="J923" s="26">
        <v>316.59020000000004</v>
      </c>
      <c r="K923" s="21"/>
      <c r="L923" t="e">
        <f>VLOOKUP(A923,Formulas!A:B,2,FALSE)</f>
        <v>#N/A</v>
      </c>
      <c r="M923" s="32"/>
    </row>
    <row r="924" spans="1:13" ht="42.5" customHeight="1">
      <c r="A924" s="10">
        <v>7694</v>
      </c>
      <c r="B924" s="11" t="s">
        <v>1095</v>
      </c>
      <c r="C924" s="10" t="s">
        <v>10</v>
      </c>
      <c r="D924" s="10" t="s">
        <v>336</v>
      </c>
      <c r="E924" s="10">
        <v>2025</v>
      </c>
      <c r="F924" s="10" t="s">
        <v>1402</v>
      </c>
      <c r="G924" s="10" t="s">
        <v>1403</v>
      </c>
      <c r="H924" s="10" t="s">
        <v>1403</v>
      </c>
      <c r="I924" s="10" t="s">
        <v>11</v>
      </c>
      <c r="J924" s="26">
        <v>316.59020000000004</v>
      </c>
      <c r="K924" s="21"/>
      <c r="L924" t="e">
        <f>VLOOKUP(A924,Formulas!A:B,2,FALSE)</f>
        <v>#N/A</v>
      </c>
      <c r="M924" s="32"/>
    </row>
    <row r="925" spans="1:13" ht="42.5" customHeight="1">
      <c r="A925" s="10">
        <v>7695</v>
      </c>
      <c r="B925" s="11" t="s">
        <v>1096</v>
      </c>
      <c r="C925" s="10" t="s">
        <v>10</v>
      </c>
      <c r="D925" s="10" t="s">
        <v>336</v>
      </c>
      <c r="E925" s="10">
        <v>2025</v>
      </c>
      <c r="F925" s="10" t="s">
        <v>1402</v>
      </c>
      <c r="G925" s="10" t="s">
        <v>1403</v>
      </c>
      <c r="H925" s="10" t="s">
        <v>1403</v>
      </c>
      <c r="I925" s="10" t="s">
        <v>11</v>
      </c>
      <c r="J925" s="26">
        <v>316.59020000000004</v>
      </c>
      <c r="K925" s="21"/>
      <c r="L925" t="e">
        <f>VLOOKUP(A925,Formulas!A:B,2,FALSE)</f>
        <v>#N/A</v>
      </c>
      <c r="M925" s="32"/>
    </row>
    <row r="926" spans="1:13" ht="42.5" customHeight="1">
      <c r="A926" s="10">
        <v>7696</v>
      </c>
      <c r="B926" s="11" t="s">
        <v>1097</v>
      </c>
      <c r="C926" s="10" t="s">
        <v>10</v>
      </c>
      <c r="D926" s="10" t="s">
        <v>336</v>
      </c>
      <c r="E926" s="10">
        <v>2025</v>
      </c>
      <c r="F926" s="10" t="s">
        <v>1402</v>
      </c>
      <c r="G926" s="10" t="s">
        <v>1403</v>
      </c>
      <c r="H926" s="10" t="s">
        <v>1403</v>
      </c>
      <c r="I926" s="10" t="s">
        <v>11</v>
      </c>
      <c r="J926" s="26">
        <v>379.90824000000003</v>
      </c>
      <c r="K926" s="21"/>
      <c r="L926" t="e">
        <f>VLOOKUP(A926,Formulas!A:B,2,FALSE)</f>
        <v>#N/A</v>
      </c>
      <c r="M926" s="32"/>
    </row>
    <row r="927" spans="1:13" ht="42.5" customHeight="1">
      <c r="A927" s="10">
        <v>7698</v>
      </c>
      <c r="B927" s="11" t="s">
        <v>1098</v>
      </c>
      <c r="C927" s="10" t="s">
        <v>10</v>
      </c>
      <c r="D927" s="10" t="s">
        <v>336</v>
      </c>
      <c r="E927" s="10">
        <v>2025</v>
      </c>
      <c r="F927" s="10" t="s">
        <v>1404</v>
      </c>
      <c r="G927" s="10" t="s">
        <v>1403</v>
      </c>
      <c r="H927" s="10" t="s">
        <v>1403</v>
      </c>
      <c r="I927" s="10" t="s">
        <v>91</v>
      </c>
      <c r="J927" s="26">
        <v>263.59656000000001</v>
      </c>
      <c r="K927" s="21"/>
      <c r="L927" t="e">
        <f>VLOOKUP(A927,Formulas!A:B,2,FALSE)</f>
        <v>#N/A</v>
      </c>
      <c r="M927" s="32"/>
    </row>
    <row r="928" spans="1:13" ht="42.5" customHeight="1">
      <c r="A928" s="10">
        <v>7699</v>
      </c>
      <c r="B928" s="11" t="s">
        <v>1099</v>
      </c>
      <c r="C928" s="10" t="s">
        <v>10</v>
      </c>
      <c r="D928" s="10" t="s">
        <v>336</v>
      </c>
      <c r="E928" s="10">
        <v>2025</v>
      </c>
      <c r="F928" s="10" t="s">
        <v>1404</v>
      </c>
      <c r="G928" s="10" t="s">
        <v>1403</v>
      </c>
      <c r="H928" s="10" t="s">
        <v>1403</v>
      </c>
      <c r="I928" s="10" t="s">
        <v>91</v>
      </c>
      <c r="J928" s="26">
        <v>263.59656000000001</v>
      </c>
      <c r="K928" s="21"/>
      <c r="L928" t="e">
        <f>VLOOKUP(A928,Formulas!A:B,2,FALSE)</f>
        <v>#N/A</v>
      </c>
      <c r="M928" s="32"/>
    </row>
    <row r="929" spans="1:13" ht="42.5" customHeight="1">
      <c r="A929" s="10">
        <v>7700</v>
      </c>
      <c r="B929" s="11" t="s">
        <v>1100</v>
      </c>
      <c r="C929" s="10" t="s">
        <v>10</v>
      </c>
      <c r="D929" s="10" t="s">
        <v>336</v>
      </c>
      <c r="E929" s="10">
        <v>2025</v>
      </c>
      <c r="F929" s="10" t="s">
        <v>1404</v>
      </c>
      <c r="G929" s="10" t="s">
        <v>1403</v>
      </c>
      <c r="H929" s="10" t="s">
        <v>1403</v>
      </c>
      <c r="I929" s="10" t="s">
        <v>91</v>
      </c>
      <c r="J929" s="26">
        <v>263.59656000000001</v>
      </c>
      <c r="K929" s="21"/>
      <c r="L929" t="e">
        <f>VLOOKUP(A929,Formulas!A:B,2,FALSE)</f>
        <v>#N/A</v>
      </c>
      <c r="M929" s="32"/>
    </row>
    <row r="930" spans="1:13" ht="42.5" customHeight="1">
      <c r="A930" s="10">
        <v>7701</v>
      </c>
      <c r="B930" s="11" t="s">
        <v>1101</v>
      </c>
      <c r="C930" s="10" t="s">
        <v>10</v>
      </c>
      <c r="D930" s="10" t="s">
        <v>336</v>
      </c>
      <c r="E930" s="10">
        <v>2025</v>
      </c>
      <c r="F930" s="10" t="s">
        <v>1404</v>
      </c>
      <c r="G930" s="10" t="s">
        <v>1403</v>
      </c>
      <c r="H930" s="10" t="s">
        <v>1403</v>
      </c>
      <c r="I930" s="10" t="s">
        <v>91</v>
      </c>
      <c r="J930" s="26">
        <v>263.59656000000001</v>
      </c>
      <c r="K930" s="21"/>
      <c r="L930" t="e">
        <f>VLOOKUP(A930,Formulas!A:B,2,FALSE)</f>
        <v>#N/A</v>
      </c>
      <c r="M930" s="32"/>
    </row>
    <row r="931" spans="1:13" ht="42.5" customHeight="1">
      <c r="A931" s="10">
        <v>7702</v>
      </c>
      <c r="B931" s="11" t="s">
        <v>1102</v>
      </c>
      <c r="C931" s="10" t="s">
        <v>10</v>
      </c>
      <c r="D931" s="10" t="s">
        <v>336</v>
      </c>
      <c r="E931" s="10">
        <v>2025</v>
      </c>
      <c r="F931" s="10" t="s">
        <v>1404</v>
      </c>
      <c r="G931" s="10" t="s">
        <v>1403</v>
      </c>
      <c r="H931" s="10" t="s">
        <v>1403</v>
      </c>
      <c r="I931" s="10" t="s">
        <v>91</v>
      </c>
      <c r="J931" s="26">
        <v>263.59656000000001</v>
      </c>
      <c r="K931" s="21"/>
      <c r="L931" t="e">
        <f>VLOOKUP(A931,Formulas!A:B,2,FALSE)</f>
        <v>#N/A</v>
      </c>
      <c r="M931" s="32"/>
    </row>
    <row r="932" spans="1:13" ht="42.5" customHeight="1">
      <c r="A932" s="10">
        <v>7703</v>
      </c>
      <c r="B932" s="11" t="s">
        <v>1103</v>
      </c>
      <c r="C932" s="10" t="s">
        <v>10</v>
      </c>
      <c r="D932" s="10" t="s">
        <v>336</v>
      </c>
      <c r="E932" s="10">
        <v>2025</v>
      </c>
      <c r="F932" s="10" t="s">
        <v>1404</v>
      </c>
      <c r="G932" s="10" t="s">
        <v>1403</v>
      </c>
      <c r="H932" s="10" t="s">
        <v>1403</v>
      </c>
      <c r="I932" s="10" t="s">
        <v>91</v>
      </c>
      <c r="J932" s="26">
        <v>316.31587200000001</v>
      </c>
      <c r="K932" s="21"/>
      <c r="L932" t="e">
        <f>VLOOKUP(A932,Formulas!A:B,2,FALSE)</f>
        <v>#N/A</v>
      </c>
      <c r="M932" s="32"/>
    </row>
    <row r="933" spans="1:13" ht="42.5" customHeight="1">
      <c r="A933" s="10">
        <v>7705</v>
      </c>
      <c r="B933" s="11" t="s">
        <v>1104</v>
      </c>
      <c r="C933" s="10" t="s">
        <v>10</v>
      </c>
      <c r="D933" s="10" t="s">
        <v>334</v>
      </c>
      <c r="E933" s="10">
        <v>1500</v>
      </c>
      <c r="F933" s="10" t="s">
        <v>1405</v>
      </c>
      <c r="G933" s="10" t="s">
        <v>1400</v>
      </c>
      <c r="H933" s="10" t="s">
        <v>1400</v>
      </c>
      <c r="I933" s="10" t="s">
        <v>91</v>
      </c>
      <c r="J933" s="26">
        <v>204.37648000000002</v>
      </c>
      <c r="K933" s="21"/>
      <c r="L933" t="e">
        <f>VLOOKUP(A933,Formulas!A:B,2,FALSE)</f>
        <v>#N/A</v>
      </c>
      <c r="M933" s="32"/>
    </row>
    <row r="934" spans="1:13" ht="42.5" customHeight="1">
      <c r="A934" s="10">
        <v>7706</v>
      </c>
      <c r="B934" s="11" t="s">
        <v>1105</v>
      </c>
      <c r="C934" s="10" t="s">
        <v>10</v>
      </c>
      <c r="D934" s="10" t="s">
        <v>334</v>
      </c>
      <c r="E934" s="10">
        <v>1500</v>
      </c>
      <c r="F934" s="10" t="s">
        <v>1405</v>
      </c>
      <c r="G934" s="10" t="s">
        <v>1400</v>
      </c>
      <c r="H934" s="10" t="s">
        <v>1400</v>
      </c>
      <c r="I934" s="10" t="s">
        <v>91</v>
      </c>
      <c r="J934" s="26">
        <v>204.37648000000002</v>
      </c>
      <c r="K934" s="21"/>
      <c r="L934" t="e">
        <f>VLOOKUP(A934,Formulas!A:B,2,FALSE)</f>
        <v>#N/A</v>
      </c>
      <c r="M934" s="32"/>
    </row>
    <row r="935" spans="1:13" ht="42.5" customHeight="1">
      <c r="A935" s="10">
        <v>7707</v>
      </c>
      <c r="B935" s="11" t="s">
        <v>1106</v>
      </c>
      <c r="C935" s="10" t="s">
        <v>10</v>
      </c>
      <c r="D935" s="10" t="s">
        <v>334</v>
      </c>
      <c r="E935" s="10">
        <v>1500</v>
      </c>
      <c r="F935" s="10" t="s">
        <v>1405</v>
      </c>
      <c r="G935" s="10" t="s">
        <v>1400</v>
      </c>
      <c r="H935" s="10" t="s">
        <v>1400</v>
      </c>
      <c r="I935" s="10" t="s">
        <v>91</v>
      </c>
      <c r="J935" s="26">
        <v>204.37648000000002</v>
      </c>
      <c r="K935" s="21"/>
      <c r="L935" t="e">
        <f>VLOOKUP(A935,Formulas!A:B,2,FALSE)</f>
        <v>#N/A</v>
      </c>
      <c r="M935" s="32"/>
    </row>
    <row r="936" spans="1:13" ht="42.5" customHeight="1">
      <c r="A936" s="10">
        <v>7708</v>
      </c>
      <c r="B936" s="11" t="s">
        <v>1107</v>
      </c>
      <c r="C936" s="10" t="s">
        <v>10</v>
      </c>
      <c r="D936" s="10" t="s">
        <v>334</v>
      </c>
      <c r="E936" s="10">
        <v>1500</v>
      </c>
      <c r="F936" s="10" t="s">
        <v>1405</v>
      </c>
      <c r="G936" s="10" t="s">
        <v>1400</v>
      </c>
      <c r="H936" s="10" t="s">
        <v>1400</v>
      </c>
      <c r="I936" s="10" t="s">
        <v>91</v>
      </c>
      <c r="J936" s="26">
        <v>204.37648000000002</v>
      </c>
      <c r="K936" s="21"/>
      <c r="L936" t="e">
        <f>VLOOKUP(A936,Formulas!A:B,2,FALSE)</f>
        <v>#N/A</v>
      </c>
      <c r="M936" s="32"/>
    </row>
    <row r="937" spans="1:13" ht="42.5" customHeight="1">
      <c r="A937" s="10">
        <v>7709</v>
      </c>
      <c r="B937" s="11" t="s">
        <v>1108</v>
      </c>
      <c r="C937" s="10" t="s">
        <v>10</v>
      </c>
      <c r="D937" s="10" t="s">
        <v>334</v>
      </c>
      <c r="E937" s="10">
        <v>1500</v>
      </c>
      <c r="F937" s="10" t="s">
        <v>1405</v>
      </c>
      <c r="G937" s="10" t="s">
        <v>1400</v>
      </c>
      <c r="H937" s="10" t="s">
        <v>1400</v>
      </c>
      <c r="I937" s="10" t="s">
        <v>91</v>
      </c>
      <c r="J937" s="26">
        <v>204.37648000000002</v>
      </c>
      <c r="K937" s="21"/>
      <c r="L937" t="e">
        <f>VLOOKUP(A937,Formulas!A:B,2,FALSE)</f>
        <v>#N/A</v>
      </c>
      <c r="M937" s="32"/>
    </row>
    <row r="938" spans="1:13" ht="42.5" customHeight="1">
      <c r="A938" s="10">
        <v>7710</v>
      </c>
      <c r="B938" s="11" t="s">
        <v>1109</v>
      </c>
      <c r="C938" s="10" t="s">
        <v>10</v>
      </c>
      <c r="D938" s="10" t="s">
        <v>334</v>
      </c>
      <c r="E938" s="10">
        <v>1500</v>
      </c>
      <c r="F938" s="10" t="s">
        <v>1405</v>
      </c>
      <c r="G938" s="10" t="s">
        <v>1400</v>
      </c>
      <c r="H938" s="10" t="s">
        <v>1400</v>
      </c>
      <c r="I938" s="10" t="s">
        <v>91</v>
      </c>
      <c r="J938" s="26">
        <v>245.25177600000001</v>
      </c>
      <c r="K938" s="21"/>
      <c r="L938" t="e">
        <f>VLOOKUP(A938,Formulas!A:B,2,FALSE)</f>
        <v>#N/A</v>
      </c>
      <c r="M938" s="32"/>
    </row>
    <row r="939" spans="1:13" ht="42.5" customHeight="1">
      <c r="A939" s="10">
        <v>7729</v>
      </c>
      <c r="B939" s="11" t="s">
        <v>1110</v>
      </c>
      <c r="C939" s="10" t="s">
        <v>10</v>
      </c>
      <c r="D939" s="10" t="s">
        <v>334</v>
      </c>
      <c r="E939" s="10">
        <v>1500</v>
      </c>
      <c r="F939" s="10" t="s">
        <v>1405</v>
      </c>
      <c r="G939" s="10" t="s">
        <v>1400</v>
      </c>
      <c r="H939" s="10" t="s">
        <v>1400</v>
      </c>
      <c r="I939" s="10" t="s">
        <v>91</v>
      </c>
      <c r="J939" s="26">
        <v>197.39107999999999</v>
      </c>
      <c r="K939" s="21"/>
      <c r="L939" t="e">
        <f>VLOOKUP(A939,Formulas!A:B,2,FALSE)</f>
        <v>#N/A</v>
      </c>
      <c r="M939" s="32"/>
    </row>
    <row r="940" spans="1:13" ht="42.5" customHeight="1">
      <c r="A940" s="10">
        <v>7730</v>
      </c>
      <c r="B940" s="11" t="s">
        <v>1111</v>
      </c>
      <c r="C940" s="10" t="s">
        <v>10</v>
      </c>
      <c r="D940" s="10" t="s">
        <v>334</v>
      </c>
      <c r="E940" s="10">
        <v>1500</v>
      </c>
      <c r="F940" s="10" t="s">
        <v>1405</v>
      </c>
      <c r="G940" s="10" t="s">
        <v>1400</v>
      </c>
      <c r="H940" s="10" t="s">
        <v>1400</v>
      </c>
      <c r="I940" s="10" t="s">
        <v>91</v>
      </c>
      <c r="J940" s="26">
        <v>197.39107999999999</v>
      </c>
      <c r="K940" s="21"/>
      <c r="L940" t="e">
        <f>VLOOKUP(A940,Formulas!A:B,2,FALSE)</f>
        <v>#N/A</v>
      </c>
      <c r="M940" s="32"/>
    </row>
    <row r="941" spans="1:13" ht="42.5" customHeight="1">
      <c r="A941" s="10">
        <v>7731</v>
      </c>
      <c r="B941" s="11" t="s">
        <v>1112</v>
      </c>
      <c r="C941" s="10" t="s">
        <v>10</v>
      </c>
      <c r="D941" s="10" t="s">
        <v>334</v>
      </c>
      <c r="E941" s="10">
        <v>1500</v>
      </c>
      <c r="F941" s="10" t="s">
        <v>1405</v>
      </c>
      <c r="G941" s="10" t="s">
        <v>1400</v>
      </c>
      <c r="H941" s="10" t="s">
        <v>1400</v>
      </c>
      <c r="I941" s="10" t="s">
        <v>91</v>
      </c>
      <c r="J941" s="26">
        <v>197.39107999999999</v>
      </c>
      <c r="K941" s="21"/>
      <c r="L941" t="e">
        <f>VLOOKUP(A941,Formulas!A:B,2,FALSE)</f>
        <v>#N/A</v>
      </c>
      <c r="M941" s="32"/>
    </row>
    <row r="942" spans="1:13" ht="42.5" customHeight="1">
      <c r="A942" s="10">
        <v>7732</v>
      </c>
      <c r="B942" s="11" t="s">
        <v>1113</v>
      </c>
      <c r="C942" s="10" t="s">
        <v>10</v>
      </c>
      <c r="D942" s="10" t="s">
        <v>334</v>
      </c>
      <c r="E942" s="10">
        <v>1500</v>
      </c>
      <c r="F942" s="10" t="s">
        <v>1405</v>
      </c>
      <c r="G942" s="10" t="s">
        <v>1400</v>
      </c>
      <c r="H942" s="10" t="s">
        <v>1400</v>
      </c>
      <c r="I942" s="10" t="s">
        <v>91</v>
      </c>
      <c r="J942" s="26">
        <v>197.39107999999999</v>
      </c>
      <c r="K942" s="21"/>
      <c r="L942" t="e">
        <f>VLOOKUP(A942,Formulas!A:B,2,FALSE)</f>
        <v>#N/A</v>
      </c>
      <c r="M942" s="32"/>
    </row>
    <row r="943" spans="1:13" ht="42.5" customHeight="1">
      <c r="A943" s="10">
        <v>7733</v>
      </c>
      <c r="B943" s="11" t="s">
        <v>1114</v>
      </c>
      <c r="C943" s="10" t="s">
        <v>10</v>
      </c>
      <c r="D943" s="10" t="s">
        <v>334</v>
      </c>
      <c r="E943" s="10">
        <v>1500</v>
      </c>
      <c r="F943" s="10" t="s">
        <v>1405</v>
      </c>
      <c r="G943" s="10" t="s">
        <v>1400</v>
      </c>
      <c r="H943" s="10" t="s">
        <v>1400</v>
      </c>
      <c r="I943" s="10" t="s">
        <v>91</v>
      </c>
      <c r="J943" s="26">
        <v>197.39107999999999</v>
      </c>
      <c r="K943" s="21"/>
      <c r="L943" t="e">
        <f>VLOOKUP(A943,Formulas!A:B,2,FALSE)</f>
        <v>#N/A</v>
      </c>
      <c r="M943" s="32"/>
    </row>
    <row r="944" spans="1:13" ht="42.5" customHeight="1">
      <c r="A944" s="10">
        <v>7734</v>
      </c>
      <c r="B944" s="11" t="s">
        <v>1115</v>
      </c>
      <c r="C944" s="10" t="s">
        <v>10</v>
      </c>
      <c r="D944" s="10" t="s">
        <v>334</v>
      </c>
      <c r="E944" s="10">
        <v>1500</v>
      </c>
      <c r="F944" s="10" t="s">
        <v>1405</v>
      </c>
      <c r="G944" s="10" t="s">
        <v>1400</v>
      </c>
      <c r="H944" s="10" t="s">
        <v>1400</v>
      </c>
      <c r="I944" s="10" t="s">
        <v>91</v>
      </c>
      <c r="J944" s="26">
        <v>236.86929599999999</v>
      </c>
      <c r="K944" s="21"/>
      <c r="L944" t="e">
        <f>VLOOKUP(A944,Formulas!A:B,2,FALSE)</f>
        <v>#N/A</v>
      </c>
      <c r="M944" s="32"/>
    </row>
    <row r="945" spans="1:13" ht="42.5" customHeight="1">
      <c r="A945" s="10">
        <v>7736</v>
      </c>
      <c r="B945" s="11" t="s">
        <v>1116</v>
      </c>
      <c r="C945" s="10" t="s">
        <v>10</v>
      </c>
      <c r="D945" s="10" t="s">
        <v>336</v>
      </c>
      <c r="E945" s="10">
        <v>2025</v>
      </c>
      <c r="F945" s="10" t="s">
        <v>1404</v>
      </c>
      <c r="G945" s="10" t="s">
        <v>1403</v>
      </c>
      <c r="H945" s="10" t="s">
        <v>1403</v>
      </c>
      <c r="I945" s="10" t="s">
        <v>91</v>
      </c>
      <c r="J945" s="26">
        <v>261.11297999999999</v>
      </c>
      <c r="K945" s="21"/>
      <c r="L945" t="e">
        <f>VLOOKUP(A945,Formulas!A:B,2,FALSE)</f>
        <v>#N/A</v>
      </c>
      <c r="M945" s="32"/>
    </row>
    <row r="946" spans="1:13" ht="42.5" customHeight="1">
      <c r="A946" s="10">
        <v>7737</v>
      </c>
      <c r="B946" s="11" t="s">
        <v>1117</v>
      </c>
      <c r="C946" s="10" t="s">
        <v>10</v>
      </c>
      <c r="D946" s="10" t="s">
        <v>336</v>
      </c>
      <c r="E946" s="10">
        <v>2025</v>
      </c>
      <c r="F946" s="10" t="s">
        <v>1404</v>
      </c>
      <c r="G946" s="10" t="s">
        <v>1403</v>
      </c>
      <c r="H946" s="10" t="s">
        <v>1403</v>
      </c>
      <c r="I946" s="10" t="s">
        <v>91</v>
      </c>
      <c r="J946" s="26">
        <v>261.11297999999999</v>
      </c>
      <c r="K946" s="21"/>
      <c r="L946" t="e">
        <f>VLOOKUP(A946,Formulas!A:B,2,FALSE)</f>
        <v>#N/A</v>
      </c>
      <c r="M946" s="32"/>
    </row>
    <row r="947" spans="1:13" ht="42.5" customHeight="1">
      <c r="A947" s="10">
        <v>7738</v>
      </c>
      <c r="B947" s="11" t="s">
        <v>1118</v>
      </c>
      <c r="C947" s="10" t="s">
        <v>10</v>
      </c>
      <c r="D947" s="10" t="s">
        <v>336</v>
      </c>
      <c r="E947" s="10">
        <v>2025</v>
      </c>
      <c r="F947" s="10" t="s">
        <v>1404</v>
      </c>
      <c r="G947" s="10" t="s">
        <v>1403</v>
      </c>
      <c r="H947" s="10" t="s">
        <v>1403</v>
      </c>
      <c r="I947" s="10" t="s">
        <v>91</v>
      </c>
      <c r="J947" s="26">
        <v>261.11297999999999</v>
      </c>
      <c r="K947" s="21"/>
      <c r="L947" t="e">
        <f>VLOOKUP(A947,Formulas!A:B,2,FALSE)</f>
        <v>#N/A</v>
      </c>
      <c r="M947" s="32"/>
    </row>
    <row r="948" spans="1:13" ht="42.5" customHeight="1">
      <c r="A948" s="10">
        <v>7739</v>
      </c>
      <c r="B948" s="11" t="s">
        <v>1119</v>
      </c>
      <c r="C948" s="10" t="s">
        <v>10</v>
      </c>
      <c r="D948" s="10" t="s">
        <v>336</v>
      </c>
      <c r="E948" s="10">
        <v>2025</v>
      </c>
      <c r="F948" s="10" t="s">
        <v>1404</v>
      </c>
      <c r="G948" s="10" t="s">
        <v>1403</v>
      </c>
      <c r="H948" s="10" t="s">
        <v>1403</v>
      </c>
      <c r="I948" s="10" t="s">
        <v>91</v>
      </c>
      <c r="J948" s="26">
        <v>261.11297999999999</v>
      </c>
      <c r="K948" s="21"/>
      <c r="L948" t="e">
        <f>VLOOKUP(A948,Formulas!A:B,2,FALSE)</f>
        <v>#N/A</v>
      </c>
      <c r="M948" s="32"/>
    </row>
    <row r="949" spans="1:13" ht="42.5" customHeight="1">
      <c r="A949" s="10">
        <v>7740</v>
      </c>
      <c r="B949" s="11" t="s">
        <v>1120</v>
      </c>
      <c r="C949" s="10" t="s">
        <v>10</v>
      </c>
      <c r="D949" s="10" t="s">
        <v>336</v>
      </c>
      <c r="E949" s="10">
        <v>2025</v>
      </c>
      <c r="F949" s="10" t="s">
        <v>1404</v>
      </c>
      <c r="G949" s="10" t="s">
        <v>1403</v>
      </c>
      <c r="H949" s="10" t="s">
        <v>1403</v>
      </c>
      <c r="I949" s="10" t="s">
        <v>91</v>
      </c>
      <c r="J949" s="26">
        <v>261.11297999999999</v>
      </c>
      <c r="K949" s="21"/>
      <c r="L949" t="e">
        <f>VLOOKUP(A949,Formulas!A:B,2,FALSE)</f>
        <v>#N/A</v>
      </c>
      <c r="M949" s="32"/>
    </row>
    <row r="950" spans="1:13" ht="42.5" customHeight="1">
      <c r="A950" s="10">
        <v>7741</v>
      </c>
      <c r="B950" s="11" t="s">
        <v>1121</v>
      </c>
      <c r="C950" s="10" t="s">
        <v>10</v>
      </c>
      <c r="D950" s="10" t="s">
        <v>336</v>
      </c>
      <c r="E950" s="10">
        <v>2025</v>
      </c>
      <c r="F950" s="10" t="s">
        <v>1404</v>
      </c>
      <c r="G950" s="10" t="s">
        <v>1403</v>
      </c>
      <c r="H950" s="10" t="s">
        <v>1403</v>
      </c>
      <c r="I950" s="10" t="s">
        <v>91</v>
      </c>
      <c r="J950" s="26">
        <v>313.335576</v>
      </c>
      <c r="K950" s="21"/>
      <c r="L950" t="e">
        <f>VLOOKUP(A950,Formulas!A:B,2,FALSE)</f>
        <v>#N/A</v>
      </c>
      <c r="M950" s="32"/>
    </row>
    <row r="951" spans="1:13" ht="42.5" customHeight="1">
      <c r="A951" s="10">
        <v>7742</v>
      </c>
      <c r="B951" s="11" t="s">
        <v>1122</v>
      </c>
      <c r="C951" s="10" t="s">
        <v>10</v>
      </c>
      <c r="D951" s="10" t="s">
        <v>334</v>
      </c>
      <c r="E951" s="10">
        <v>1500</v>
      </c>
      <c r="F951" s="10" t="s">
        <v>1406</v>
      </c>
      <c r="G951" s="10" t="s">
        <v>1400</v>
      </c>
      <c r="H951" s="10" t="s">
        <v>1400</v>
      </c>
      <c r="I951" s="10" t="s">
        <v>11</v>
      </c>
      <c r="J951" s="26">
        <v>189.60432000000003</v>
      </c>
      <c r="K951" s="21"/>
      <c r="L951" t="e">
        <f>VLOOKUP(A951,Formulas!A:B,2,FALSE)</f>
        <v>#N/A</v>
      </c>
      <c r="M951" s="32"/>
    </row>
    <row r="952" spans="1:13" ht="42.5" customHeight="1">
      <c r="A952" s="10">
        <v>7743</v>
      </c>
      <c r="B952" s="11" t="s">
        <v>1123</v>
      </c>
      <c r="C952" s="10" t="s">
        <v>10</v>
      </c>
      <c r="D952" s="10" t="s">
        <v>334</v>
      </c>
      <c r="E952" s="10">
        <v>1500</v>
      </c>
      <c r="F952" s="10" t="s">
        <v>1406</v>
      </c>
      <c r="G952" s="10" t="s">
        <v>1400</v>
      </c>
      <c r="H952" s="10" t="s">
        <v>1400</v>
      </c>
      <c r="I952" s="10" t="s">
        <v>11</v>
      </c>
      <c r="J952" s="26">
        <v>189.60432000000003</v>
      </c>
      <c r="K952" s="21"/>
      <c r="L952" t="e">
        <f>VLOOKUP(A952,Formulas!A:B,2,FALSE)</f>
        <v>#N/A</v>
      </c>
      <c r="M952" s="32"/>
    </row>
    <row r="953" spans="1:13" ht="42.5" customHeight="1">
      <c r="A953" s="10">
        <v>7744</v>
      </c>
      <c r="B953" s="11" t="s">
        <v>1124</v>
      </c>
      <c r="C953" s="10" t="s">
        <v>10</v>
      </c>
      <c r="D953" s="10" t="s">
        <v>334</v>
      </c>
      <c r="E953" s="10">
        <v>1500</v>
      </c>
      <c r="F953" s="10" t="s">
        <v>1406</v>
      </c>
      <c r="G953" s="10" t="s">
        <v>1400</v>
      </c>
      <c r="H953" s="10" t="s">
        <v>1400</v>
      </c>
      <c r="I953" s="10" t="s">
        <v>11</v>
      </c>
      <c r="J953" s="26">
        <v>189.60432000000003</v>
      </c>
      <c r="K953" s="21"/>
      <c r="L953" t="e">
        <f>VLOOKUP(A953,Formulas!A:B,2,FALSE)</f>
        <v>#N/A</v>
      </c>
      <c r="M953" s="32"/>
    </row>
    <row r="954" spans="1:13" ht="42.5" customHeight="1">
      <c r="A954" s="10">
        <v>7745</v>
      </c>
      <c r="B954" s="11" t="s">
        <v>1125</v>
      </c>
      <c r="C954" s="10" t="s">
        <v>10</v>
      </c>
      <c r="D954" s="10" t="s">
        <v>334</v>
      </c>
      <c r="E954" s="10">
        <v>1500</v>
      </c>
      <c r="F954" s="10" t="s">
        <v>1406</v>
      </c>
      <c r="G954" s="10" t="s">
        <v>1400</v>
      </c>
      <c r="H954" s="10" t="s">
        <v>1400</v>
      </c>
      <c r="I954" s="10" t="s">
        <v>11</v>
      </c>
      <c r="J954" s="26">
        <v>189.60432000000003</v>
      </c>
      <c r="K954" s="21"/>
      <c r="L954" t="e">
        <f>VLOOKUP(A954,Formulas!A:B,2,FALSE)</f>
        <v>#N/A</v>
      </c>
      <c r="M954" s="32"/>
    </row>
    <row r="955" spans="1:13" ht="42.5" customHeight="1">
      <c r="A955" s="10">
        <v>7746</v>
      </c>
      <c r="B955" s="11" t="s">
        <v>1126</v>
      </c>
      <c r="C955" s="10" t="s">
        <v>10</v>
      </c>
      <c r="D955" s="10" t="s">
        <v>334</v>
      </c>
      <c r="E955" s="10">
        <v>1500</v>
      </c>
      <c r="F955" s="10" t="s">
        <v>1406</v>
      </c>
      <c r="G955" s="10" t="s">
        <v>1400</v>
      </c>
      <c r="H955" s="10" t="s">
        <v>1400</v>
      </c>
      <c r="I955" s="10" t="s">
        <v>11</v>
      </c>
      <c r="J955" s="26">
        <v>189.60432000000003</v>
      </c>
      <c r="K955" s="21"/>
      <c r="L955" t="e">
        <f>VLOOKUP(A955,Formulas!A:B,2,FALSE)</f>
        <v>#N/A</v>
      </c>
      <c r="M955" s="32"/>
    </row>
    <row r="956" spans="1:13" ht="42.5" customHeight="1">
      <c r="A956" s="10">
        <v>7748</v>
      </c>
      <c r="B956" s="11" t="s">
        <v>1127</v>
      </c>
      <c r="C956" s="10" t="s">
        <v>10</v>
      </c>
      <c r="D956" s="10" t="s">
        <v>334</v>
      </c>
      <c r="E956" s="10">
        <v>1500</v>
      </c>
      <c r="F956" s="10" t="s">
        <v>1406</v>
      </c>
      <c r="G956" s="10" t="s">
        <v>1400</v>
      </c>
      <c r="H956" s="10" t="s">
        <v>1400</v>
      </c>
      <c r="I956" s="10" t="s">
        <v>11</v>
      </c>
      <c r="J956" s="26">
        <v>227.52518400000005</v>
      </c>
      <c r="K956" s="21"/>
      <c r="L956" t="e">
        <f>VLOOKUP(A956,Formulas!A:B,2,FALSE)</f>
        <v>#N/A</v>
      </c>
      <c r="M956" s="32"/>
    </row>
    <row r="957" spans="1:13" ht="42.5" customHeight="1">
      <c r="A957" s="10">
        <v>7749</v>
      </c>
      <c r="B957" s="11" t="s">
        <v>1128</v>
      </c>
      <c r="C957" s="10" t="s">
        <v>10</v>
      </c>
      <c r="D957" s="10" t="s">
        <v>336</v>
      </c>
      <c r="E957" s="10">
        <v>2025</v>
      </c>
      <c r="F957" s="10" t="s">
        <v>1408</v>
      </c>
      <c r="G957" s="10" t="s">
        <v>1409</v>
      </c>
      <c r="H957" s="10" t="s">
        <v>1409</v>
      </c>
      <c r="I957" s="10" t="s">
        <v>11</v>
      </c>
      <c r="J957" s="26">
        <v>250.78858</v>
      </c>
      <c r="K957" s="21"/>
      <c r="L957" t="e">
        <f>VLOOKUP(A957,Formulas!A:B,2,FALSE)</f>
        <v>#N/A</v>
      </c>
      <c r="M957" s="32"/>
    </row>
    <row r="958" spans="1:13" ht="42.5" customHeight="1">
      <c r="A958" s="10">
        <v>7750</v>
      </c>
      <c r="B958" s="11" t="s">
        <v>1129</v>
      </c>
      <c r="C958" s="10" t="s">
        <v>10</v>
      </c>
      <c r="D958" s="10" t="s">
        <v>336</v>
      </c>
      <c r="E958" s="10">
        <v>2025</v>
      </c>
      <c r="F958" s="10" t="s">
        <v>1408</v>
      </c>
      <c r="G958" s="10" t="s">
        <v>1409</v>
      </c>
      <c r="H958" s="10" t="s">
        <v>1409</v>
      </c>
      <c r="I958" s="10" t="s">
        <v>11</v>
      </c>
      <c r="J958" s="26">
        <v>250.78858</v>
      </c>
      <c r="K958" s="21"/>
      <c r="L958" t="e">
        <f>VLOOKUP(A958,Formulas!A:B,2,FALSE)</f>
        <v>#N/A</v>
      </c>
      <c r="M958" s="32"/>
    </row>
    <row r="959" spans="1:13" ht="42.5" customHeight="1">
      <c r="A959" s="10">
        <v>7751</v>
      </c>
      <c r="B959" s="11" t="s">
        <v>1130</v>
      </c>
      <c r="C959" s="10" t="s">
        <v>10</v>
      </c>
      <c r="D959" s="10" t="s">
        <v>336</v>
      </c>
      <c r="E959" s="10">
        <v>2025</v>
      </c>
      <c r="F959" s="10" t="s">
        <v>1408</v>
      </c>
      <c r="G959" s="10" t="s">
        <v>1409</v>
      </c>
      <c r="H959" s="10" t="s">
        <v>1409</v>
      </c>
      <c r="I959" s="10" t="s">
        <v>11</v>
      </c>
      <c r="J959" s="26">
        <v>250.78858</v>
      </c>
      <c r="K959" s="21"/>
      <c r="L959" t="e">
        <f>VLOOKUP(A959,Formulas!A:B,2,FALSE)</f>
        <v>#N/A</v>
      </c>
      <c r="M959" s="32"/>
    </row>
    <row r="960" spans="1:13" ht="42.5" customHeight="1">
      <c r="A960" s="10">
        <v>7752</v>
      </c>
      <c r="B960" s="11" t="s">
        <v>1131</v>
      </c>
      <c r="C960" s="10" t="s">
        <v>10</v>
      </c>
      <c r="D960" s="10" t="s">
        <v>336</v>
      </c>
      <c r="E960" s="10">
        <v>2025</v>
      </c>
      <c r="F960" s="10" t="s">
        <v>1408</v>
      </c>
      <c r="G960" s="10" t="s">
        <v>1409</v>
      </c>
      <c r="H960" s="10" t="s">
        <v>1409</v>
      </c>
      <c r="I960" s="10" t="s">
        <v>11</v>
      </c>
      <c r="J960" s="26">
        <v>250.78858</v>
      </c>
      <c r="K960" s="21"/>
      <c r="L960" t="e">
        <f>VLOOKUP(A960,Formulas!A:B,2,FALSE)</f>
        <v>#N/A</v>
      </c>
      <c r="M960" s="32"/>
    </row>
    <row r="961" spans="1:13" ht="42.5" customHeight="1">
      <c r="A961" s="10">
        <v>7753</v>
      </c>
      <c r="B961" s="11" t="s">
        <v>1132</v>
      </c>
      <c r="C961" s="10" t="s">
        <v>10</v>
      </c>
      <c r="D961" s="10" t="s">
        <v>336</v>
      </c>
      <c r="E961" s="10">
        <v>2025</v>
      </c>
      <c r="F961" s="10" t="s">
        <v>1408</v>
      </c>
      <c r="G961" s="10" t="s">
        <v>1409</v>
      </c>
      <c r="H961" s="10" t="s">
        <v>1409</v>
      </c>
      <c r="I961" s="10" t="s">
        <v>11</v>
      </c>
      <c r="J961" s="26">
        <v>250.78858</v>
      </c>
      <c r="K961" s="21"/>
      <c r="L961" t="e">
        <f>VLOOKUP(A961,Formulas!A:B,2,FALSE)</f>
        <v>#N/A</v>
      </c>
      <c r="M961" s="32"/>
    </row>
    <row r="962" spans="1:13" ht="42.5" customHeight="1">
      <c r="A962" s="10">
        <v>7755</v>
      </c>
      <c r="B962" s="11" t="s">
        <v>1133</v>
      </c>
      <c r="C962" s="10" t="s">
        <v>10</v>
      </c>
      <c r="D962" s="10" t="s">
        <v>336</v>
      </c>
      <c r="E962" s="10">
        <v>2025</v>
      </c>
      <c r="F962" s="10" t="s">
        <v>1408</v>
      </c>
      <c r="G962" s="10" t="s">
        <v>1409</v>
      </c>
      <c r="H962" s="10" t="s">
        <v>1409</v>
      </c>
      <c r="I962" s="10" t="s">
        <v>11</v>
      </c>
      <c r="J962" s="26">
        <v>300.94629600000002</v>
      </c>
      <c r="K962" s="21"/>
      <c r="L962" t="e">
        <f>VLOOKUP(A962,Formulas!A:B,2,FALSE)</f>
        <v>#N/A</v>
      </c>
      <c r="M962" s="32"/>
    </row>
    <row r="963" spans="1:13" ht="42.5" customHeight="1">
      <c r="A963" s="10">
        <v>7756</v>
      </c>
      <c r="B963" s="11" t="s">
        <v>1134</v>
      </c>
      <c r="C963" s="10" t="s">
        <v>10</v>
      </c>
      <c r="D963" s="10" t="s">
        <v>784</v>
      </c>
      <c r="E963" s="10">
        <v>300</v>
      </c>
      <c r="F963" s="10" t="s">
        <v>1410</v>
      </c>
      <c r="G963" s="10" t="s">
        <v>294</v>
      </c>
      <c r="H963" s="10" t="s">
        <v>294</v>
      </c>
      <c r="I963" s="10" t="s">
        <v>11</v>
      </c>
      <c r="J963" s="26">
        <v>217.0668</v>
      </c>
      <c r="K963" s="21"/>
      <c r="L963" t="e">
        <f>VLOOKUP(A963,Formulas!A:B,2,FALSE)</f>
        <v>#N/A</v>
      </c>
      <c r="M963" s="32"/>
    </row>
    <row r="964" spans="1:13" ht="42.5" customHeight="1">
      <c r="A964" s="10">
        <v>7757</v>
      </c>
      <c r="B964" s="11" t="s">
        <v>1135</v>
      </c>
      <c r="C964" s="10" t="s">
        <v>10</v>
      </c>
      <c r="D964" s="10" t="s">
        <v>784</v>
      </c>
      <c r="E964" s="10">
        <v>300</v>
      </c>
      <c r="F964" s="10" t="s">
        <v>1410</v>
      </c>
      <c r="G964" s="10" t="s">
        <v>294</v>
      </c>
      <c r="H964" s="10" t="s">
        <v>294</v>
      </c>
      <c r="I964" s="10" t="s">
        <v>11</v>
      </c>
      <c r="J964" s="26">
        <v>217.0668</v>
      </c>
      <c r="K964" s="21"/>
      <c r="L964" t="e">
        <f>VLOOKUP(A964,Formulas!A:B,2,FALSE)</f>
        <v>#N/A</v>
      </c>
      <c r="M964" s="32"/>
    </row>
    <row r="965" spans="1:13" ht="42.5" customHeight="1">
      <c r="A965" s="10">
        <v>7758</v>
      </c>
      <c r="B965" s="11" t="s">
        <v>1136</v>
      </c>
      <c r="C965" s="10" t="s">
        <v>10</v>
      </c>
      <c r="D965" s="10" t="s">
        <v>784</v>
      </c>
      <c r="E965" s="10">
        <v>300</v>
      </c>
      <c r="F965" s="10" t="s">
        <v>1410</v>
      </c>
      <c r="G965" s="10" t="s">
        <v>294</v>
      </c>
      <c r="H965" s="10" t="s">
        <v>294</v>
      </c>
      <c r="I965" s="10" t="s">
        <v>11</v>
      </c>
      <c r="J965" s="26">
        <v>260.48016000000001</v>
      </c>
      <c r="K965" s="21"/>
      <c r="L965" t="e">
        <f>VLOOKUP(A965,Formulas!A:B,2,FALSE)</f>
        <v>#N/A</v>
      </c>
      <c r="M965" s="32"/>
    </row>
    <row r="966" spans="1:13" ht="41.5" customHeight="1">
      <c r="A966" s="10">
        <v>7759</v>
      </c>
      <c r="B966" s="11" t="s">
        <v>1137</v>
      </c>
      <c r="C966" s="10" t="s">
        <v>10</v>
      </c>
      <c r="D966" s="10" t="s">
        <v>784</v>
      </c>
      <c r="E966" s="10">
        <v>300</v>
      </c>
      <c r="F966" s="10" t="s">
        <v>1410</v>
      </c>
      <c r="G966" s="10" t="s">
        <v>294</v>
      </c>
      <c r="H966" s="10" t="s">
        <v>294</v>
      </c>
      <c r="I966" s="10" t="s">
        <v>11</v>
      </c>
      <c r="J966" s="26">
        <v>217.0668</v>
      </c>
      <c r="K966" s="21"/>
      <c r="L966" t="e">
        <f>VLOOKUP(A966,Formulas!A:B,2,FALSE)</f>
        <v>#N/A</v>
      </c>
      <c r="M966" s="32"/>
    </row>
    <row r="967" spans="1:13" ht="41.5" customHeight="1">
      <c r="A967" s="10">
        <v>7761</v>
      </c>
      <c r="B967" s="11" t="s">
        <v>1138</v>
      </c>
      <c r="C967" s="10" t="s">
        <v>10</v>
      </c>
      <c r="D967" s="10" t="s">
        <v>770</v>
      </c>
      <c r="E967" s="10">
        <v>900</v>
      </c>
      <c r="F967" s="10" t="s">
        <v>1411</v>
      </c>
      <c r="G967" s="10" t="s">
        <v>270</v>
      </c>
      <c r="H967" s="10" t="s">
        <v>270</v>
      </c>
      <c r="I967" s="10" t="s">
        <v>91</v>
      </c>
      <c r="J967" s="26">
        <v>162.76300000000003</v>
      </c>
      <c r="K967" s="21"/>
      <c r="L967" t="e">
        <f>VLOOKUP(A967,Formulas!A:B,2,FALSE)</f>
        <v>#N/A</v>
      </c>
      <c r="M967" s="32"/>
    </row>
    <row r="968" spans="1:13" ht="41.5" customHeight="1">
      <c r="A968" s="10">
        <v>7762</v>
      </c>
      <c r="B968" s="11" t="s">
        <v>1139</v>
      </c>
      <c r="C968" s="10" t="s">
        <v>10</v>
      </c>
      <c r="D968" s="10" t="s">
        <v>770</v>
      </c>
      <c r="E968" s="10">
        <v>900</v>
      </c>
      <c r="F968" s="10" t="s">
        <v>1411</v>
      </c>
      <c r="G968" s="10" t="s">
        <v>270</v>
      </c>
      <c r="H968" s="10" t="s">
        <v>270</v>
      </c>
      <c r="I968" s="10" t="s">
        <v>91</v>
      </c>
      <c r="J968" s="26">
        <v>195.31560000000002</v>
      </c>
      <c r="K968" s="21"/>
      <c r="L968" t="e">
        <f>VLOOKUP(A968,Formulas!A:B,2,FALSE)</f>
        <v>#N/A</v>
      </c>
      <c r="M968" s="32"/>
    </row>
    <row r="969" spans="1:13" ht="41.5" customHeight="1">
      <c r="A969" s="10">
        <v>7763</v>
      </c>
      <c r="B969" s="11" t="s">
        <v>1140</v>
      </c>
      <c r="C969" s="10" t="s">
        <v>10</v>
      </c>
      <c r="D969" s="10" t="s">
        <v>770</v>
      </c>
      <c r="E969" s="10">
        <v>900</v>
      </c>
      <c r="F969" s="10" t="s">
        <v>1411</v>
      </c>
      <c r="G969" s="10" t="s">
        <v>270</v>
      </c>
      <c r="H969" s="10" t="s">
        <v>270</v>
      </c>
      <c r="I969" s="10" t="s">
        <v>91</v>
      </c>
      <c r="J969" s="26">
        <v>162.76300000000003</v>
      </c>
      <c r="K969" s="21"/>
      <c r="L969" t="e">
        <f>VLOOKUP(A969,Formulas!A:B,2,FALSE)</f>
        <v>#N/A</v>
      </c>
      <c r="M969" s="32"/>
    </row>
    <row r="970" spans="1:13" ht="51" customHeight="1">
      <c r="A970" s="10">
        <v>7765</v>
      </c>
      <c r="B970" s="11" t="s">
        <v>1141</v>
      </c>
      <c r="C970" s="10" t="s">
        <v>10</v>
      </c>
      <c r="D970" s="10" t="s">
        <v>770</v>
      </c>
      <c r="E970" s="10">
        <v>900</v>
      </c>
      <c r="F970" s="10" t="s">
        <v>1411</v>
      </c>
      <c r="G970" s="10" t="s">
        <v>95</v>
      </c>
      <c r="H970" s="10" t="s">
        <v>95</v>
      </c>
      <c r="I970" s="10" t="s">
        <v>91</v>
      </c>
      <c r="J970" s="26">
        <v>191.46992</v>
      </c>
      <c r="K970" s="21"/>
      <c r="L970" t="e">
        <f>VLOOKUP(A970,Formulas!A:B,2,FALSE)</f>
        <v>#N/A</v>
      </c>
      <c r="M970" s="32"/>
    </row>
    <row r="971" spans="1:13" ht="51" customHeight="1">
      <c r="A971" s="10">
        <v>7766</v>
      </c>
      <c r="B971" s="11" t="s">
        <v>1142</v>
      </c>
      <c r="C971" s="10" t="s">
        <v>10</v>
      </c>
      <c r="D971" s="10" t="s">
        <v>770</v>
      </c>
      <c r="E971" s="10">
        <v>900</v>
      </c>
      <c r="F971" s="10" t="s">
        <v>1411</v>
      </c>
      <c r="G971" s="10" t="s">
        <v>95</v>
      </c>
      <c r="H971" s="10" t="s">
        <v>95</v>
      </c>
      <c r="I971" s="10" t="s">
        <v>91</v>
      </c>
      <c r="J971" s="26">
        <v>229.763904</v>
      </c>
      <c r="K971" s="21"/>
      <c r="L971" t="e">
        <f>VLOOKUP(A971,Formulas!A:B,2,FALSE)</f>
        <v>#N/A</v>
      </c>
      <c r="M971" s="32"/>
    </row>
    <row r="972" spans="1:13" ht="41.5" customHeight="1">
      <c r="A972" s="10">
        <v>7767</v>
      </c>
      <c r="B972" s="11" t="s">
        <v>1143</v>
      </c>
      <c r="C972" s="10" t="s">
        <v>10</v>
      </c>
      <c r="D972" s="10" t="s">
        <v>770</v>
      </c>
      <c r="E972" s="10">
        <v>900</v>
      </c>
      <c r="F972" s="10" t="s">
        <v>1411</v>
      </c>
      <c r="G972" s="10" t="s">
        <v>95</v>
      </c>
      <c r="H972" s="10" t="s">
        <v>95</v>
      </c>
      <c r="I972" s="10" t="s">
        <v>91</v>
      </c>
      <c r="J972" s="26">
        <v>191.46992</v>
      </c>
      <c r="K972" s="21"/>
      <c r="L972" t="e">
        <f>VLOOKUP(A972,Formulas!A:B,2,FALSE)</f>
        <v>#N/A</v>
      </c>
      <c r="M972" s="32"/>
    </row>
    <row r="973" spans="1:13" ht="41.5" customHeight="1">
      <c r="A973" s="10">
        <v>7768</v>
      </c>
      <c r="B973" s="11" t="s">
        <v>1144</v>
      </c>
      <c r="C973" s="10" t="s">
        <v>10</v>
      </c>
      <c r="D973" s="10" t="s">
        <v>770</v>
      </c>
      <c r="E973" s="10">
        <v>900</v>
      </c>
      <c r="F973" s="10" t="s">
        <v>1412</v>
      </c>
      <c r="G973" s="10" t="s">
        <v>270</v>
      </c>
      <c r="H973" s="10" t="s">
        <v>1536</v>
      </c>
      <c r="I973" s="10" t="s">
        <v>11</v>
      </c>
      <c r="J973" s="26">
        <v>144.65183999999999</v>
      </c>
      <c r="K973" s="21"/>
      <c r="L973" t="e">
        <f>VLOOKUP(A973,Formulas!A:B,2,FALSE)</f>
        <v>#N/A</v>
      </c>
      <c r="M973" s="32"/>
    </row>
    <row r="974" spans="1:13" ht="41.5" customHeight="1">
      <c r="A974" s="10">
        <v>7769</v>
      </c>
      <c r="B974" s="11" t="s">
        <v>1145</v>
      </c>
      <c r="C974" s="10" t="s">
        <v>10</v>
      </c>
      <c r="D974" s="10" t="s">
        <v>770</v>
      </c>
      <c r="E974" s="10">
        <v>900</v>
      </c>
      <c r="F974" s="10" t="s">
        <v>1412</v>
      </c>
      <c r="G974" s="10" t="s">
        <v>270</v>
      </c>
      <c r="H974" s="10" t="s">
        <v>1536</v>
      </c>
      <c r="I974" s="10" t="s">
        <v>11</v>
      </c>
      <c r="J974" s="26">
        <v>144.65183999999999</v>
      </c>
      <c r="K974" s="21"/>
      <c r="L974" t="e">
        <f>VLOOKUP(A974,Formulas!A:B,2,FALSE)</f>
        <v>#N/A</v>
      </c>
      <c r="M974" s="32"/>
    </row>
    <row r="975" spans="1:13" ht="41.5" customHeight="1">
      <c r="A975" s="10">
        <v>7770</v>
      </c>
      <c r="B975" s="11" t="s">
        <v>1146</v>
      </c>
      <c r="C975" s="10" t="s">
        <v>10</v>
      </c>
      <c r="D975" s="10" t="s">
        <v>770</v>
      </c>
      <c r="E975" s="10">
        <v>900</v>
      </c>
      <c r="F975" s="10" t="s">
        <v>1412</v>
      </c>
      <c r="G975" s="10" t="s">
        <v>270</v>
      </c>
      <c r="H975" s="10" t="s">
        <v>1536</v>
      </c>
      <c r="I975" s="10" t="s">
        <v>11</v>
      </c>
      <c r="J975" s="26">
        <v>173.58220800000001</v>
      </c>
      <c r="K975" s="21"/>
      <c r="L975" t="e">
        <f>VLOOKUP(A975,Formulas!A:B,2,FALSE)</f>
        <v>#N/A</v>
      </c>
      <c r="M975" s="32"/>
    </row>
    <row r="976" spans="1:13" ht="41.5" customHeight="1">
      <c r="A976" s="10">
        <v>7771</v>
      </c>
      <c r="B976" s="11" t="s">
        <v>1147</v>
      </c>
      <c r="C976" s="10" t="s">
        <v>10</v>
      </c>
      <c r="D976" s="10" t="s">
        <v>770</v>
      </c>
      <c r="E976" s="10">
        <v>900</v>
      </c>
      <c r="F976" s="10" t="s">
        <v>1412</v>
      </c>
      <c r="G976" s="10" t="s">
        <v>270</v>
      </c>
      <c r="H976" s="10" t="s">
        <v>1536</v>
      </c>
      <c r="I976" s="10" t="s">
        <v>11</v>
      </c>
      <c r="J976" s="26">
        <v>144.65183999999999</v>
      </c>
      <c r="K976" s="21"/>
      <c r="L976" t="e">
        <f>VLOOKUP(A976,Formulas!A:B,2,FALSE)</f>
        <v>#N/A</v>
      </c>
      <c r="M976" s="32"/>
    </row>
    <row r="977" spans="1:13" ht="41.5" customHeight="1">
      <c r="A977" s="10">
        <v>7772</v>
      </c>
      <c r="B977" s="11" t="s">
        <v>1148</v>
      </c>
      <c r="C977" s="10" t="s">
        <v>10</v>
      </c>
      <c r="D977" s="10" t="s">
        <v>770</v>
      </c>
      <c r="E977" s="10">
        <v>900</v>
      </c>
      <c r="F977" s="10" t="s">
        <v>1413</v>
      </c>
      <c r="G977" s="10" t="s">
        <v>95</v>
      </c>
      <c r="H977" s="10" t="s">
        <v>95</v>
      </c>
      <c r="I977" s="10" t="s">
        <v>11</v>
      </c>
      <c r="J977" s="26">
        <v>266.41827999999998</v>
      </c>
      <c r="K977" s="21"/>
      <c r="L977" t="e">
        <f>VLOOKUP(A977,Formulas!A:B,2,FALSE)</f>
        <v>#N/A</v>
      </c>
      <c r="M977" s="32"/>
    </row>
    <row r="978" spans="1:13" ht="62.25" customHeight="1">
      <c r="A978" s="10">
        <v>7773</v>
      </c>
      <c r="B978" s="11" t="s">
        <v>1149</v>
      </c>
      <c r="C978" s="10" t="s">
        <v>10</v>
      </c>
      <c r="D978" s="10" t="s">
        <v>770</v>
      </c>
      <c r="E978" s="10">
        <v>900</v>
      </c>
      <c r="F978" s="10" t="s">
        <v>1413</v>
      </c>
      <c r="G978" s="10" t="s">
        <v>95</v>
      </c>
      <c r="H978" s="10" t="s">
        <v>95</v>
      </c>
      <c r="I978" s="10" t="s">
        <v>11</v>
      </c>
      <c r="J978" s="26">
        <v>266.41827999999998</v>
      </c>
      <c r="K978" s="21"/>
      <c r="L978" t="e">
        <f>VLOOKUP(A978,Formulas!A:B,2,FALSE)</f>
        <v>#N/A</v>
      </c>
      <c r="M978" s="32"/>
    </row>
    <row r="979" spans="1:13" ht="62.25" customHeight="1">
      <c r="A979" s="10">
        <v>7774</v>
      </c>
      <c r="B979" s="11" t="s">
        <v>1150</v>
      </c>
      <c r="C979" s="10" t="s">
        <v>10</v>
      </c>
      <c r="D979" s="10" t="s">
        <v>770</v>
      </c>
      <c r="E979" s="10">
        <v>900</v>
      </c>
      <c r="F979" s="10" t="s">
        <v>1413</v>
      </c>
      <c r="G979" s="10" t="s">
        <v>95</v>
      </c>
      <c r="H979" s="10" t="s">
        <v>95</v>
      </c>
      <c r="I979" s="10" t="s">
        <v>11</v>
      </c>
      <c r="J979" s="26">
        <v>319.70193599999999</v>
      </c>
      <c r="K979" s="21"/>
      <c r="L979" t="e">
        <f>VLOOKUP(A979,Formulas!A:B,2,FALSE)</f>
        <v>#N/A</v>
      </c>
      <c r="M979" s="32"/>
    </row>
    <row r="980" spans="1:13" ht="62.25" customHeight="1">
      <c r="A980" s="10">
        <v>7775</v>
      </c>
      <c r="B980" s="11" t="s">
        <v>1151</v>
      </c>
      <c r="C980" s="10" t="s">
        <v>10</v>
      </c>
      <c r="D980" s="10" t="s">
        <v>770</v>
      </c>
      <c r="E980" s="10">
        <v>900</v>
      </c>
      <c r="F980" s="10" t="s">
        <v>1413</v>
      </c>
      <c r="G980" s="10" t="s">
        <v>95</v>
      </c>
      <c r="H980" s="10" t="s">
        <v>95</v>
      </c>
      <c r="I980" s="10" t="s">
        <v>11</v>
      </c>
      <c r="J980" s="26">
        <v>266.41827999999998</v>
      </c>
      <c r="K980" s="21"/>
      <c r="L980" t="e">
        <f>VLOOKUP(A980,Formulas!A:B,2,FALSE)</f>
        <v>#N/A</v>
      </c>
      <c r="M980" s="32"/>
    </row>
    <row r="981" spans="1:13" ht="62.25" customHeight="1">
      <c r="A981" s="10">
        <v>7776</v>
      </c>
      <c r="B981" s="11" t="s">
        <v>1284</v>
      </c>
      <c r="C981" s="10" t="s">
        <v>10</v>
      </c>
      <c r="D981" s="10" t="s">
        <v>780</v>
      </c>
      <c r="E981" s="10">
        <v>150</v>
      </c>
      <c r="F981" s="10" t="s">
        <v>1459</v>
      </c>
      <c r="G981" s="10" t="s">
        <v>1460</v>
      </c>
      <c r="H981" s="10" t="s">
        <v>1554</v>
      </c>
      <c r="I981" s="10" t="s">
        <v>11</v>
      </c>
      <c r="J981" s="26">
        <v>180.62400000000002</v>
      </c>
      <c r="K981" s="21"/>
      <c r="L981" t="e">
        <f>VLOOKUP(A981,Formulas!A:B,2,FALSE)</f>
        <v>#N/A</v>
      </c>
      <c r="M981" s="32"/>
    </row>
    <row r="982" spans="1:13" ht="41.5" customHeight="1">
      <c r="A982" s="10">
        <v>7777</v>
      </c>
      <c r="B982" s="11" t="s">
        <v>1285</v>
      </c>
      <c r="C982" s="10" t="s">
        <v>10</v>
      </c>
      <c r="D982" s="10" t="s">
        <v>780</v>
      </c>
      <c r="E982" s="10">
        <v>150</v>
      </c>
      <c r="F982" s="10" t="s">
        <v>1459</v>
      </c>
      <c r="G982" s="10" t="s">
        <v>1460</v>
      </c>
      <c r="H982" s="10" t="s">
        <v>1554</v>
      </c>
      <c r="I982" s="10" t="s">
        <v>11</v>
      </c>
      <c r="J982" s="26">
        <v>180.62400000000002</v>
      </c>
      <c r="K982" s="21"/>
      <c r="L982" t="e">
        <f>VLOOKUP(A982,Formulas!A:B,2,FALSE)</f>
        <v>#N/A</v>
      </c>
      <c r="M982" s="32"/>
    </row>
    <row r="983" spans="1:13" ht="41.5" customHeight="1">
      <c r="A983" s="10">
        <v>7778</v>
      </c>
      <c r="B983" s="11" t="s">
        <v>1286</v>
      </c>
      <c r="C983" s="10" t="s">
        <v>10</v>
      </c>
      <c r="D983" s="10" t="s">
        <v>780</v>
      </c>
      <c r="E983" s="10">
        <v>150</v>
      </c>
      <c r="F983" s="10" t="s">
        <v>1459</v>
      </c>
      <c r="G983" s="10" t="s">
        <v>1460</v>
      </c>
      <c r="H983" s="10" t="s">
        <v>1554</v>
      </c>
      <c r="I983" s="10" t="s">
        <v>11</v>
      </c>
      <c r="J983" s="26">
        <v>216.74880000000002</v>
      </c>
      <c r="K983" s="21"/>
      <c r="L983" t="e">
        <f>VLOOKUP(A983,Formulas!A:B,2,FALSE)</f>
        <v>#N/A</v>
      </c>
      <c r="M983" s="32"/>
    </row>
    <row r="984" spans="1:13" ht="41.5" customHeight="1">
      <c r="A984" s="10">
        <v>7779</v>
      </c>
      <c r="B984" s="11" t="s">
        <v>1287</v>
      </c>
      <c r="C984" s="10" t="s">
        <v>10</v>
      </c>
      <c r="D984" s="10" t="s">
        <v>780</v>
      </c>
      <c r="E984" s="10">
        <v>150</v>
      </c>
      <c r="F984" s="10" t="s">
        <v>1459</v>
      </c>
      <c r="G984" s="10" t="s">
        <v>1460</v>
      </c>
      <c r="H984" s="10" t="s">
        <v>1554</v>
      </c>
      <c r="I984" s="10" t="s">
        <v>11</v>
      </c>
      <c r="J984" s="26">
        <v>165.59108000000001</v>
      </c>
      <c r="K984" s="21"/>
      <c r="L984" t="e">
        <f>VLOOKUP(A984,Formulas!A:B,2,FALSE)</f>
        <v>#N/A</v>
      </c>
      <c r="M984" s="32"/>
    </row>
    <row r="985" spans="1:13" ht="41.5" hidden="1" customHeight="1">
      <c r="A985" s="10">
        <v>7780</v>
      </c>
      <c r="B985" s="11" t="s">
        <v>1288</v>
      </c>
      <c r="C985" s="10" t="s">
        <v>10</v>
      </c>
      <c r="D985" s="10" t="s">
        <v>780</v>
      </c>
      <c r="E985" s="10">
        <v>150</v>
      </c>
      <c r="F985" s="10" t="s">
        <v>1459</v>
      </c>
      <c r="G985" s="10" t="s">
        <v>1460</v>
      </c>
      <c r="H985" s="10" t="s">
        <v>1554</v>
      </c>
      <c r="I985" s="10" t="s">
        <v>11</v>
      </c>
      <c r="J985" s="26">
        <v>165.59108000000001</v>
      </c>
      <c r="K985" s="21"/>
      <c r="L985" t="str">
        <f>VLOOKUP(A985,Formulas!A:B,2,FALSE)</f>
        <v>179520</v>
      </c>
      <c r="M985" s="32"/>
    </row>
    <row r="986" spans="1:13" ht="41.5" customHeight="1">
      <c r="A986" s="10">
        <v>7781</v>
      </c>
      <c r="B986" s="11" t="s">
        <v>1289</v>
      </c>
      <c r="C986" s="10" t="s">
        <v>10</v>
      </c>
      <c r="D986" s="10" t="s">
        <v>780</v>
      </c>
      <c r="E986" s="10">
        <v>150</v>
      </c>
      <c r="F986" s="10" t="s">
        <v>1459</v>
      </c>
      <c r="G986" s="10" t="s">
        <v>1460</v>
      </c>
      <c r="H986" s="10" t="s">
        <v>1554</v>
      </c>
      <c r="I986" s="10" t="s">
        <v>11</v>
      </c>
      <c r="J986" s="26">
        <v>198.70929599999999</v>
      </c>
      <c r="K986" s="21"/>
      <c r="L986" t="e">
        <f>VLOOKUP(A986,Formulas!A:B,2,FALSE)</f>
        <v>#N/A</v>
      </c>
      <c r="M986" s="32"/>
    </row>
    <row r="987" spans="1:13" ht="41.5" customHeight="1">
      <c r="A987" s="10">
        <v>7782</v>
      </c>
      <c r="B987" s="11" t="s">
        <v>1272</v>
      </c>
      <c r="C987" s="10" t="s">
        <v>273</v>
      </c>
      <c r="D987" s="12" t="s">
        <v>11</v>
      </c>
      <c r="E987" s="12" t="s">
        <v>11</v>
      </c>
      <c r="F987" s="10" t="s">
        <v>1549</v>
      </c>
      <c r="G987" s="10" t="s">
        <v>208</v>
      </c>
      <c r="H987" s="10" t="s">
        <v>1458</v>
      </c>
      <c r="I987" s="10" t="s">
        <v>11</v>
      </c>
      <c r="J987" s="26">
        <v>170.12152</v>
      </c>
      <c r="K987" s="21"/>
      <c r="L987" t="e">
        <f>VLOOKUP(A987,Formulas!A:B,2,FALSE)</f>
        <v>#N/A</v>
      </c>
      <c r="M987" s="32"/>
    </row>
    <row r="988" spans="1:13" ht="41.5" customHeight="1">
      <c r="A988" s="10">
        <v>7783</v>
      </c>
      <c r="B988" s="11" t="s">
        <v>1273</v>
      </c>
      <c r="C988" s="10" t="s">
        <v>273</v>
      </c>
      <c r="D988" s="12" t="s">
        <v>11</v>
      </c>
      <c r="E988" s="12" t="s">
        <v>11</v>
      </c>
      <c r="F988" s="10" t="s">
        <v>1549</v>
      </c>
      <c r="G988" s="10" t="s">
        <v>208</v>
      </c>
      <c r="H988" s="10" t="s">
        <v>1458</v>
      </c>
      <c r="I988" s="10" t="s">
        <v>11</v>
      </c>
      <c r="J988" s="26">
        <v>170.12152</v>
      </c>
      <c r="K988" s="21"/>
      <c r="L988" t="e">
        <f>VLOOKUP(A988,Formulas!A:B,2,FALSE)</f>
        <v>#N/A</v>
      </c>
      <c r="M988" s="32"/>
    </row>
    <row r="989" spans="1:13" ht="41.5" customHeight="1">
      <c r="A989" s="10">
        <v>7784</v>
      </c>
      <c r="B989" s="11" t="s">
        <v>1274</v>
      </c>
      <c r="C989" s="10" t="s">
        <v>273</v>
      </c>
      <c r="D989" s="12" t="s">
        <v>11</v>
      </c>
      <c r="E989" s="12" t="s">
        <v>11</v>
      </c>
      <c r="F989" s="10" t="s">
        <v>1549</v>
      </c>
      <c r="G989" s="10" t="s">
        <v>208</v>
      </c>
      <c r="H989" s="10" t="s">
        <v>1458</v>
      </c>
      <c r="I989" s="10" t="s">
        <v>11</v>
      </c>
      <c r="J989" s="26">
        <v>204.145824</v>
      </c>
      <c r="K989" s="21"/>
      <c r="L989" t="e">
        <f>VLOOKUP(A989,Formulas!A:B,2,FALSE)</f>
        <v>#N/A</v>
      </c>
      <c r="M989" s="32"/>
    </row>
    <row r="990" spans="1:13" ht="41.5" customHeight="1">
      <c r="A990" s="10">
        <v>7785</v>
      </c>
      <c r="B990" s="11" t="s">
        <v>1275</v>
      </c>
      <c r="C990" s="10" t="s">
        <v>273</v>
      </c>
      <c r="D990" s="12" t="s">
        <v>11</v>
      </c>
      <c r="E990" s="12" t="s">
        <v>11</v>
      </c>
      <c r="F990" s="10" t="s">
        <v>1549</v>
      </c>
      <c r="G990" s="10" t="s">
        <v>208</v>
      </c>
      <c r="H990" s="10" t="s">
        <v>1458</v>
      </c>
      <c r="I990" s="10" t="s">
        <v>11</v>
      </c>
      <c r="J990" s="26">
        <v>155.08754000000002</v>
      </c>
      <c r="K990" s="21"/>
      <c r="L990" t="e">
        <f>VLOOKUP(A990,Formulas!A:B,2,FALSE)</f>
        <v>#N/A</v>
      </c>
      <c r="M990" s="32"/>
    </row>
    <row r="991" spans="1:13" ht="41.5" customHeight="1">
      <c r="A991" s="10">
        <v>7786</v>
      </c>
      <c r="B991" s="11" t="s">
        <v>1276</v>
      </c>
      <c r="C991" s="10" t="s">
        <v>273</v>
      </c>
      <c r="D991" s="12" t="s">
        <v>11</v>
      </c>
      <c r="E991" s="12" t="s">
        <v>11</v>
      </c>
      <c r="F991" s="10" t="s">
        <v>1549</v>
      </c>
      <c r="G991" s="10" t="s">
        <v>208</v>
      </c>
      <c r="H991" s="10" t="s">
        <v>1458</v>
      </c>
      <c r="I991" s="10" t="s">
        <v>11</v>
      </c>
      <c r="J991" s="26">
        <v>155.08754000000002</v>
      </c>
      <c r="K991" s="21"/>
      <c r="L991" t="e">
        <f>VLOOKUP(A991,Formulas!A:B,2,FALSE)</f>
        <v>#N/A</v>
      </c>
      <c r="M991" s="32"/>
    </row>
    <row r="992" spans="1:13" ht="41.5" customHeight="1">
      <c r="A992" s="10">
        <v>7787</v>
      </c>
      <c r="B992" s="11" t="s">
        <v>1277</v>
      </c>
      <c r="C992" s="10" t="s">
        <v>273</v>
      </c>
      <c r="D992" s="12" t="s">
        <v>11</v>
      </c>
      <c r="E992" s="12" t="s">
        <v>11</v>
      </c>
      <c r="F992" s="10" t="s">
        <v>1549</v>
      </c>
      <c r="G992" s="10" t="s">
        <v>208</v>
      </c>
      <c r="H992" s="10" t="s">
        <v>1458</v>
      </c>
      <c r="I992" s="10" t="s">
        <v>11</v>
      </c>
      <c r="J992" s="26">
        <v>186.10504800000001</v>
      </c>
      <c r="K992" s="21"/>
      <c r="L992" t="e">
        <f>VLOOKUP(A992,Formulas!A:B,2,FALSE)</f>
        <v>#N/A</v>
      </c>
      <c r="M992" s="32"/>
    </row>
    <row r="993" spans="1:13" ht="41.5" customHeight="1">
      <c r="A993" s="10">
        <v>7788</v>
      </c>
      <c r="B993" s="11" t="s">
        <v>1182</v>
      </c>
      <c r="C993" s="10" t="s">
        <v>10</v>
      </c>
      <c r="D993" s="10" t="s">
        <v>210</v>
      </c>
      <c r="E993" s="10">
        <v>110</v>
      </c>
      <c r="F993" s="10" t="s">
        <v>1423</v>
      </c>
      <c r="G993" s="10" t="s">
        <v>1399</v>
      </c>
      <c r="H993" s="10" t="s">
        <v>1399</v>
      </c>
      <c r="I993" s="10" t="s">
        <v>11</v>
      </c>
      <c r="J993" s="26">
        <v>273.35491999999999</v>
      </c>
      <c r="K993" s="37" t="s">
        <v>1537</v>
      </c>
      <c r="L993" t="e">
        <f>VLOOKUP(A993,Formulas!A:B,2,FALSE)</f>
        <v>#N/A</v>
      </c>
      <c r="M993" s="32"/>
    </row>
    <row r="994" spans="1:13" ht="41.5" customHeight="1">
      <c r="A994" s="10">
        <v>7789</v>
      </c>
      <c r="B994" s="11" t="s">
        <v>1183</v>
      </c>
      <c r="C994" s="10" t="s">
        <v>10</v>
      </c>
      <c r="D994" s="10" t="s">
        <v>210</v>
      </c>
      <c r="E994" s="10">
        <v>110</v>
      </c>
      <c r="F994" s="10" t="s">
        <v>1423</v>
      </c>
      <c r="G994" s="10" t="s">
        <v>1399</v>
      </c>
      <c r="H994" s="10" t="s">
        <v>1399</v>
      </c>
      <c r="I994" s="10" t="s">
        <v>11</v>
      </c>
      <c r="J994" s="26">
        <v>273.35491999999999</v>
      </c>
      <c r="K994" s="37" t="s">
        <v>1537</v>
      </c>
      <c r="L994" t="e">
        <f>VLOOKUP(A994,Formulas!A:B,2,FALSE)</f>
        <v>#N/A</v>
      </c>
      <c r="M994" s="32"/>
    </row>
    <row r="995" spans="1:13" ht="41.5" customHeight="1">
      <c r="A995" s="10">
        <v>7790</v>
      </c>
      <c r="B995" s="11" t="s">
        <v>1184</v>
      </c>
      <c r="C995" s="10" t="s">
        <v>10</v>
      </c>
      <c r="D995" s="10" t="s">
        <v>210</v>
      </c>
      <c r="E995" s="10">
        <v>110</v>
      </c>
      <c r="F995" s="10" t="s">
        <v>1423</v>
      </c>
      <c r="G995" s="10" t="s">
        <v>1399</v>
      </c>
      <c r="H995" s="10" t="s">
        <v>1399</v>
      </c>
      <c r="I995" s="10" t="s">
        <v>11</v>
      </c>
      <c r="J995" s="26">
        <v>328.02590400000003</v>
      </c>
      <c r="K995" s="37" t="s">
        <v>1537</v>
      </c>
      <c r="L995" t="e">
        <f>VLOOKUP(A995,Formulas!A:B,2,FALSE)</f>
        <v>#N/A</v>
      </c>
      <c r="M995" s="32"/>
    </row>
    <row r="996" spans="1:13" ht="41.5" customHeight="1">
      <c r="A996" s="10">
        <v>7791</v>
      </c>
      <c r="B996" s="11" t="s">
        <v>1185</v>
      </c>
      <c r="C996" s="10" t="s">
        <v>10</v>
      </c>
      <c r="D996" s="10" t="s">
        <v>210</v>
      </c>
      <c r="E996" s="10">
        <v>110</v>
      </c>
      <c r="F996" s="10" t="s">
        <v>1423</v>
      </c>
      <c r="G996" s="10" t="s">
        <v>1399</v>
      </c>
      <c r="H996" s="10" t="s">
        <v>1399</v>
      </c>
      <c r="I996" s="10" t="s">
        <v>11</v>
      </c>
      <c r="J996" s="26">
        <v>273.35491999999999</v>
      </c>
      <c r="K996" s="37" t="s">
        <v>1537</v>
      </c>
      <c r="L996" t="e">
        <f>VLOOKUP(A996,Formulas!A:B,2,FALSE)</f>
        <v>#N/A</v>
      </c>
      <c r="M996" s="32"/>
    </row>
    <row r="997" spans="1:13" ht="41.5" customHeight="1">
      <c r="A997" s="10">
        <v>7792</v>
      </c>
      <c r="B997" s="11" t="s">
        <v>1186</v>
      </c>
      <c r="C997" s="10" t="s">
        <v>10</v>
      </c>
      <c r="D997" s="10" t="s">
        <v>210</v>
      </c>
      <c r="E997" s="10">
        <v>110</v>
      </c>
      <c r="F997" s="10" t="s">
        <v>1423</v>
      </c>
      <c r="G997" s="10" t="s">
        <v>1399</v>
      </c>
      <c r="H997" s="10" t="s">
        <v>1399</v>
      </c>
      <c r="I997" s="10" t="s">
        <v>11</v>
      </c>
      <c r="J997" s="26">
        <v>273.35491999999999</v>
      </c>
      <c r="K997" s="37" t="s">
        <v>1537</v>
      </c>
      <c r="L997" t="e">
        <f>VLOOKUP(A997,Formulas!A:B,2,FALSE)</f>
        <v>#N/A</v>
      </c>
      <c r="M997" s="32"/>
    </row>
    <row r="998" spans="1:13" ht="41.5" customHeight="1">
      <c r="A998" s="10">
        <v>7793</v>
      </c>
      <c r="B998" s="11" t="s">
        <v>1187</v>
      </c>
      <c r="C998" s="10" t="s">
        <v>10</v>
      </c>
      <c r="D998" s="10" t="s">
        <v>210</v>
      </c>
      <c r="E998" s="10">
        <v>110</v>
      </c>
      <c r="F998" s="10" t="s">
        <v>1423</v>
      </c>
      <c r="G998" s="10" t="s">
        <v>1399</v>
      </c>
      <c r="H998" s="10" t="s">
        <v>1399</v>
      </c>
      <c r="I998" s="10" t="s">
        <v>11</v>
      </c>
      <c r="J998" s="26">
        <v>273.35491999999999</v>
      </c>
      <c r="K998" s="37" t="s">
        <v>1537</v>
      </c>
      <c r="L998" t="e">
        <f>VLOOKUP(A998,Formulas!A:B,2,FALSE)</f>
        <v>#N/A</v>
      </c>
      <c r="M998" s="32"/>
    </row>
    <row r="999" spans="1:13" ht="41.5" customHeight="1">
      <c r="A999" s="10">
        <v>7794</v>
      </c>
      <c r="B999" s="11" t="s">
        <v>1188</v>
      </c>
      <c r="C999" s="10" t="s">
        <v>10</v>
      </c>
      <c r="D999" s="10" t="s">
        <v>784</v>
      </c>
      <c r="E999" s="10">
        <v>300</v>
      </c>
      <c r="F999" s="10" t="s">
        <v>1425</v>
      </c>
      <c r="G999" s="10" t="s">
        <v>1545</v>
      </c>
      <c r="H999" s="10" t="s">
        <v>1424</v>
      </c>
      <c r="I999" s="10" t="s">
        <v>11</v>
      </c>
      <c r="J999" s="26">
        <v>257.81108</v>
      </c>
      <c r="K999" s="21"/>
      <c r="L999" t="e">
        <f>VLOOKUP(A999,Formulas!A:B,2,FALSE)</f>
        <v>#N/A</v>
      </c>
      <c r="M999" s="32"/>
    </row>
    <row r="1000" spans="1:13" ht="41.5" customHeight="1">
      <c r="A1000" s="10">
        <v>7795</v>
      </c>
      <c r="B1000" s="11" t="s">
        <v>1189</v>
      </c>
      <c r="C1000" s="10" t="s">
        <v>10</v>
      </c>
      <c r="D1000" s="10" t="s">
        <v>784</v>
      </c>
      <c r="E1000" s="10">
        <v>300</v>
      </c>
      <c r="F1000" s="10" t="s">
        <v>1425</v>
      </c>
      <c r="G1000" s="10" t="s">
        <v>1545</v>
      </c>
      <c r="H1000" s="10" t="s">
        <v>1424</v>
      </c>
      <c r="I1000" s="10" t="s">
        <v>11</v>
      </c>
      <c r="J1000" s="26">
        <v>257.81108</v>
      </c>
      <c r="K1000" s="21"/>
      <c r="L1000" t="e">
        <f>VLOOKUP(A1000,Formulas!A:B,2,FALSE)</f>
        <v>#N/A</v>
      </c>
      <c r="M1000" s="32"/>
    </row>
    <row r="1001" spans="1:13" ht="41.5" customHeight="1">
      <c r="A1001" s="10">
        <v>7796</v>
      </c>
      <c r="B1001" s="11" t="s">
        <v>1190</v>
      </c>
      <c r="C1001" s="10" t="s">
        <v>10</v>
      </c>
      <c r="D1001" s="10" t="s">
        <v>784</v>
      </c>
      <c r="E1001" s="10">
        <v>300</v>
      </c>
      <c r="F1001" s="10" t="s">
        <v>1425</v>
      </c>
      <c r="G1001" s="10" t="s">
        <v>1545</v>
      </c>
      <c r="H1001" s="10" t="s">
        <v>1424</v>
      </c>
      <c r="I1001" s="10" t="s">
        <v>11</v>
      </c>
      <c r="J1001" s="26">
        <v>309.37329600000004</v>
      </c>
      <c r="K1001" s="21"/>
      <c r="L1001" t="e">
        <f>VLOOKUP(A1001,Formulas!A:B,2,FALSE)</f>
        <v>#N/A</v>
      </c>
      <c r="M1001" s="32"/>
    </row>
    <row r="1002" spans="1:13" ht="41.5" customHeight="1">
      <c r="A1002" s="10">
        <v>7797</v>
      </c>
      <c r="B1002" s="11" t="s">
        <v>1191</v>
      </c>
      <c r="C1002" s="10" t="s">
        <v>10</v>
      </c>
      <c r="D1002" s="10" t="s">
        <v>784</v>
      </c>
      <c r="E1002" s="10">
        <v>300</v>
      </c>
      <c r="F1002" s="10" t="s">
        <v>1426</v>
      </c>
      <c r="G1002" s="10" t="s">
        <v>1545</v>
      </c>
      <c r="H1002" s="10" t="s">
        <v>1424</v>
      </c>
      <c r="I1002" s="10" t="s">
        <v>11</v>
      </c>
      <c r="J1002" s="26">
        <v>285.18451999999996</v>
      </c>
      <c r="K1002" s="21"/>
      <c r="L1002" t="e">
        <f>VLOOKUP(A1002,Formulas!A:B,2,FALSE)</f>
        <v>#N/A</v>
      </c>
      <c r="M1002" s="32"/>
    </row>
    <row r="1003" spans="1:13" ht="41.5" customHeight="1">
      <c r="A1003" s="10">
        <v>7798</v>
      </c>
      <c r="B1003" s="11" t="s">
        <v>1192</v>
      </c>
      <c r="C1003" s="10" t="s">
        <v>10</v>
      </c>
      <c r="D1003" s="10" t="s">
        <v>784</v>
      </c>
      <c r="E1003" s="10">
        <v>300</v>
      </c>
      <c r="F1003" s="10" t="s">
        <v>1426</v>
      </c>
      <c r="G1003" s="10" t="s">
        <v>1545</v>
      </c>
      <c r="H1003" s="10" t="s">
        <v>1424</v>
      </c>
      <c r="I1003" s="10" t="s">
        <v>11</v>
      </c>
      <c r="J1003" s="26">
        <v>285.18451999999996</v>
      </c>
      <c r="K1003" s="21"/>
      <c r="L1003" t="e">
        <f>VLOOKUP(A1003,Formulas!A:B,2,FALSE)</f>
        <v>#N/A</v>
      </c>
      <c r="M1003" s="32"/>
    </row>
    <row r="1004" spans="1:13" ht="41.5" customHeight="1">
      <c r="A1004" s="10">
        <v>7799</v>
      </c>
      <c r="B1004" s="11" t="s">
        <v>1193</v>
      </c>
      <c r="C1004" s="10" t="s">
        <v>10</v>
      </c>
      <c r="D1004" s="10" t="s">
        <v>784</v>
      </c>
      <c r="E1004" s="10">
        <v>300</v>
      </c>
      <c r="F1004" s="10" t="s">
        <v>1426</v>
      </c>
      <c r="G1004" s="10" t="s">
        <v>1545</v>
      </c>
      <c r="H1004" s="10" t="s">
        <v>1424</v>
      </c>
      <c r="I1004" s="10" t="s">
        <v>11</v>
      </c>
      <c r="J1004" s="26">
        <v>342.22142400000001</v>
      </c>
      <c r="K1004" s="21"/>
      <c r="L1004" t="e">
        <f>VLOOKUP(A1004,Formulas!A:B,2,FALSE)</f>
        <v>#N/A</v>
      </c>
      <c r="M1004" s="32"/>
    </row>
    <row r="1005" spans="1:13" ht="41.5" customHeight="1">
      <c r="A1005" s="10">
        <v>7800</v>
      </c>
      <c r="B1005" s="11" t="s">
        <v>1194</v>
      </c>
      <c r="C1005" s="10" t="s">
        <v>10</v>
      </c>
      <c r="D1005" s="10" t="s">
        <v>1398</v>
      </c>
      <c r="E1005" s="10">
        <v>1125</v>
      </c>
      <c r="F1005" s="10" t="s">
        <v>1546</v>
      </c>
      <c r="G1005" s="10" t="s">
        <v>1427</v>
      </c>
      <c r="H1005" s="10" t="s">
        <v>1427</v>
      </c>
      <c r="I1005" s="10" t="s">
        <v>11</v>
      </c>
      <c r="J1005" s="26">
        <v>326.4323</v>
      </c>
      <c r="K1005" s="21"/>
      <c r="L1005" t="e">
        <f>VLOOKUP(A1005,Formulas!A:B,2,FALSE)</f>
        <v>#N/A</v>
      </c>
      <c r="M1005" s="32"/>
    </row>
    <row r="1006" spans="1:13" ht="41.5" customHeight="1">
      <c r="A1006" s="10">
        <v>7801</v>
      </c>
      <c r="B1006" s="11" t="s">
        <v>1195</v>
      </c>
      <c r="C1006" s="10" t="s">
        <v>10</v>
      </c>
      <c r="D1006" s="10" t="s">
        <v>1398</v>
      </c>
      <c r="E1006" s="10">
        <v>1125</v>
      </c>
      <c r="F1006" s="10" t="s">
        <v>1546</v>
      </c>
      <c r="G1006" s="10" t="s">
        <v>1427</v>
      </c>
      <c r="H1006" s="10" t="s">
        <v>1427</v>
      </c>
      <c r="I1006" s="10" t="s">
        <v>11</v>
      </c>
      <c r="J1006" s="26">
        <v>326.4323</v>
      </c>
      <c r="K1006" s="21"/>
      <c r="L1006" t="e">
        <f>VLOOKUP(A1006,Formulas!A:B,2,FALSE)</f>
        <v>#N/A</v>
      </c>
      <c r="M1006" s="32"/>
    </row>
    <row r="1007" spans="1:13" ht="41.5" customHeight="1">
      <c r="A1007" s="10">
        <v>7802</v>
      </c>
      <c r="B1007" s="11" t="s">
        <v>1196</v>
      </c>
      <c r="C1007" s="10" t="s">
        <v>10</v>
      </c>
      <c r="D1007" s="10" t="s">
        <v>1398</v>
      </c>
      <c r="E1007" s="10">
        <v>1125</v>
      </c>
      <c r="F1007" s="10" t="s">
        <v>1546</v>
      </c>
      <c r="G1007" s="10" t="s">
        <v>1427</v>
      </c>
      <c r="H1007" s="10" t="s">
        <v>1427</v>
      </c>
      <c r="I1007" s="10" t="s">
        <v>11</v>
      </c>
      <c r="J1007" s="26">
        <v>391.71876000000003</v>
      </c>
      <c r="K1007" s="21"/>
      <c r="L1007" t="e">
        <f>VLOOKUP(A1007,Formulas!A:B,2,FALSE)</f>
        <v>#N/A</v>
      </c>
      <c r="M1007" s="32"/>
    </row>
    <row r="1008" spans="1:13" ht="41.5" customHeight="1">
      <c r="A1008" s="10">
        <v>7803</v>
      </c>
      <c r="B1008" s="11" t="s">
        <v>1197</v>
      </c>
      <c r="C1008" s="10" t="s">
        <v>10</v>
      </c>
      <c r="D1008" s="10" t="s">
        <v>1398</v>
      </c>
      <c r="E1008" s="10">
        <v>1125</v>
      </c>
      <c r="F1008" s="10" t="s">
        <v>1546</v>
      </c>
      <c r="G1008" s="10" t="s">
        <v>1427</v>
      </c>
      <c r="H1008" s="10" t="s">
        <v>1427</v>
      </c>
      <c r="I1008" s="10" t="s">
        <v>11</v>
      </c>
      <c r="J1008" s="26">
        <v>331.17580000000004</v>
      </c>
      <c r="K1008" s="21"/>
      <c r="L1008" t="e">
        <f>VLOOKUP(A1008,Formulas!A:B,2,FALSE)</f>
        <v>#N/A</v>
      </c>
      <c r="M1008" s="32"/>
    </row>
    <row r="1009" spans="1:13" ht="41.5" customHeight="1">
      <c r="A1009" s="10">
        <v>7804</v>
      </c>
      <c r="B1009" s="11" t="s">
        <v>1198</v>
      </c>
      <c r="C1009" s="10" t="s">
        <v>10</v>
      </c>
      <c r="D1009" s="10" t="s">
        <v>1398</v>
      </c>
      <c r="E1009" s="10">
        <v>1125</v>
      </c>
      <c r="F1009" s="10" t="s">
        <v>1546</v>
      </c>
      <c r="G1009" s="10" t="s">
        <v>1427</v>
      </c>
      <c r="H1009" s="10" t="s">
        <v>1427</v>
      </c>
      <c r="I1009" s="10" t="s">
        <v>11</v>
      </c>
      <c r="J1009" s="26">
        <v>331.17580000000004</v>
      </c>
      <c r="K1009" s="21"/>
      <c r="L1009" t="e">
        <f>VLOOKUP(A1009,Formulas!A:B,2,FALSE)</f>
        <v>#N/A</v>
      </c>
      <c r="M1009" s="32"/>
    </row>
    <row r="1010" spans="1:13" ht="41.5" customHeight="1">
      <c r="A1010" s="10">
        <v>7805</v>
      </c>
      <c r="B1010" s="11" t="s">
        <v>1199</v>
      </c>
      <c r="C1010" s="10" t="s">
        <v>10</v>
      </c>
      <c r="D1010" s="10" t="s">
        <v>1398</v>
      </c>
      <c r="E1010" s="10">
        <v>1125</v>
      </c>
      <c r="F1010" s="10" t="s">
        <v>1546</v>
      </c>
      <c r="G1010" s="10" t="s">
        <v>1427</v>
      </c>
      <c r="H1010" s="10" t="s">
        <v>1427</v>
      </c>
      <c r="I1010" s="10" t="s">
        <v>11</v>
      </c>
      <c r="J1010" s="26">
        <v>397.41095999999999</v>
      </c>
      <c r="K1010" s="21"/>
      <c r="L1010" t="e">
        <f>VLOOKUP(A1010,Formulas!A:B,2,FALSE)</f>
        <v>#N/A</v>
      </c>
      <c r="M1010" s="32"/>
    </row>
    <row r="1011" spans="1:13" ht="41.5" customHeight="1">
      <c r="A1011" s="10">
        <v>7806</v>
      </c>
      <c r="B1011" s="11" t="s">
        <v>1200</v>
      </c>
      <c r="C1011" s="10" t="s">
        <v>10</v>
      </c>
      <c r="D1011" s="10" t="s">
        <v>1398</v>
      </c>
      <c r="E1011" s="10">
        <v>1125</v>
      </c>
      <c r="F1011" s="10" t="s">
        <v>1547</v>
      </c>
      <c r="G1011" s="10" t="s">
        <v>1427</v>
      </c>
      <c r="H1011" s="10" t="s">
        <v>1427</v>
      </c>
      <c r="I1011" s="10" t="s">
        <v>11</v>
      </c>
      <c r="J1011" s="26">
        <v>494.73274000000004</v>
      </c>
      <c r="K1011" s="21"/>
      <c r="L1011" t="e">
        <f>VLOOKUP(A1011,Formulas!A:B,2,FALSE)</f>
        <v>#N/A</v>
      </c>
      <c r="M1011" s="32"/>
    </row>
    <row r="1012" spans="1:13" ht="41.5" customHeight="1">
      <c r="A1012" s="10">
        <v>7807</v>
      </c>
      <c r="B1012" s="11" t="s">
        <v>1201</v>
      </c>
      <c r="C1012" s="10" t="s">
        <v>10</v>
      </c>
      <c r="D1012" s="10" t="s">
        <v>1398</v>
      </c>
      <c r="E1012" s="10">
        <v>1125</v>
      </c>
      <c r="F1012" s="10" t="s">
        <v>1547</v>
      </c>
      <c r="G1012" s="10" t="s">
        <v>1427</v>
      </c>
      <c r="H1012" s="10" t="s">
        <v>1427</v>
      </c>
      <c r="I1012" s="10" t="s">
        <v>11</v>
      </c>
      <c r="J1012" s="26">
        <v>494.73274000000004</v>
      </c>
      <c r="K1012" s="21"/>
      <c r="L1012" t="e">
        <f>VLOOKUP(A1012,Formulas!A:B,2,FALSE)</f>
        <v>#N/A</v>
      </c>
      <c r="M1012" s="32"/>
    </row>
    <row r="1013" spans="1:13" ht="41.5" customHeight="1">
      <c r="A1013" s="10">
        <v>7808</v>
      </c>
      <c r="B1013" s="11" t="s">
        <v>1202</v>
      </c>
      <c r="C1013" s="10" t="s">
        <v>10</v>
      </c>
      <c r="D1013" s="10" t="s">
        <v>1398</v>
      </c>
      <c r="E1013" s="10">
        <v>1125</v>
      </c>
      <c r="F1013" s="10" t="s">
        <v>1547</v>
      </c>
      <c r="G1013" s="10" t="s">
        <v>1427</v>
      </c>
      <c r="H1013" s="10" t="s">
        <v>1427</v>
      </c>
      <c r="I1013" s="10" t="s">
        <v>11</v>
      </c>
      <c r="J1013" s="26">
        <v>593.67928800000004</v>
      </c>
      <c r="K1013" s="21"/>
      <c r="L1013" t="e">
        <f>VLOOKUP(A1013,Formulas!A:B,2,FALSE)</f>
        <v>#N/A</v>
      </c>
      <c r="M1013" s="32"/>
    </row>
    <row r="1014" spans="1:13" ht="41.5" customHeight="1">
      <c r="A1014" s="10">
        <v>7809</v>
      </c>
      <c r="B1014" s="11" t="s">
        <v>1174</v>
      </c>
      <c r="C1014" s="10" t="s">
        <v>10</v>
      </c>
      <c r="D1014" s="10" t="s">
        <v>768</v>
      </c>
      <c r="E1014" s="10">
        <v>375</v>
      </c>
      <c r="F1014" s="10" t="s">
        <v>1419</v>
      </c>
      <c r="G1014" s="10" t="s">
        <v>280</v>
      </c>
      <c r="H1014" s="10" t="s">
        <v>1420</v>
      </c>
      <c r="I1014" s="10" t="s">
        <v>11</v>
      </c>
      <c r="J1014" s="26">
        <v>93.492000000000004</v>
      </c>
      <c r="K1014" s="21"/>
      <c r="L1014" t="e">
        <f>VLOOKUP(A1014,Formulas!A:B,2,FALSE)</f>
        <v>#N/A</v>
      </c>
      <c r="M1014" s="32"/>
    </row>
    <row r="1015" spans="1:13" ht="41.5" customHeight="1">
      <c r="A1015" s="10">
        <v>7810</v>
      </c>
      <c r="B1015" s="11" t="s">
        <v>1175</v>
      </c>
      <c r="C1015" s="10" t="s">
        <v>10</v>
      </c>
      <c r="D1015" s="10" t="s">
        <v>768</v>
      </c>
      <c r="E1015" s="10">
        <v>375</v>
      </c>
      <c r="F1015" s="10" t="s">
        <v>1419</v>
      </c>
      <c r="G1015" s="10" t="s">
        <v>280</v>
      </c>
      <c r="H1015" s="10" t="s">
        <v>1420</v>
      </c>
      <c r="I1015" s="10" t="s">
        <v>11</v>
      </c>
      <c r="J1015" s="26">
        <v>93.492000000000004</v>
      </c>
      <c r="K1015" s="21"/>
      <c r="L1015" t="e">
        <f>VLOOKUP(A1015,Formulas!A:B,2,FALSE)</f>
        <v>#N/A</v>
      </c>
      <c r="M1015" s="32"/>
    </row>
    <row r="1016" spans="1:13" ht="71.25" customHeight="1">
      <c r="A1016" s="10">
        <v>7811</v>
      </c>
      <c r="B1016" s="11" t="s">
        <v>1176</v>
      </c>
      <c r="C1016" s="10" t="s">
        <v>10</v>
      </c>
      <c r="D1016" s="10" t="s">
        <v>768</v>
      </c>
      <c r="E1016" s="10">
        <v>375</v>
      </c>
      <c r="F1016" s="10" t="s">
        <v>1419</v>
      </c>
      <c r="G1016" s="10" t="s">
        <v>280</v>
      </c>
      <c r="H1016" s="10" t="s">
        <v>1420</v>
      </c>
      <c r="I1016" s="10" t="s">
        <v>11</v>
      </c>
      <c r="J1016" s="26">
        <v>112.19040000000001</v>
      </c>
      <c r="K1016" s="21"/>
      <c r="L1016" t="e">
        <f>VLOOKUP(A1016,Formulas!A:B,2,FALSE)</f>
        <v>#N/A</v>
      </c>
      <c r="M1016" s="32"/>
    </row>
    <row r="1017" spans="1:13" ht="71.25" customHeight="1">
      <c r="A1017" s="10">
        <v>7812</v>
      </c>
      <c r="B1017" s="11" t="s">
        <v>1177</v>
      </c>
      <c r="C1017" s="10" t="s">
        <v>10</v>
      </c>
      <c r="D1017" s="10" t="s">
        <v>768</v>
      </c>
      <c r="E1017" s="10">
        <v>375</v>
      </c>
      <c r="F1017" s="10" t="s">
        <v>1419</v>
      </c>
      <c r="G1017" s="10" t="s">
        <v>280</v>
      </c>
      <c r="H1017" s="10" t="s">
        <v>1420</v>
      </c>
      <c r="I1017" s="10" t="s">
        <v>11</v>
      </c>
      <c r="J1017" s="26">
        <v>93.492000000000004</v>
      </c>
      <c r="K1017" s="21"/>
      <c r="L1017" t="e">
        <f>VLOOKUP(A1017,Formulas!A:B,2,FALSE)</f>
        <v>#N/A</v>
      </c>
      <c r="M1017" s="32"/>
    </row>
    <row r="1018" spans="1:13" ht="71.25" customHeight="1">
      <c r="A1018" s="10">
        <v>7813</v>
      </c>
      <c r="B1018" s="11" t="s">
        <v>1538</v>
      </c>
      <c r="C1018" s="10" t="s">
        <v>10</v>
      </c>
      <c r="D1018" s="10" t="s">
        <v>210</v>
      </c>
      <c r="E1018" s="10">
        <v>110</v>
      </c>
      <c r="F1018" s="10" t="s">
        <v>1421</v>
      </c>
      <c r="G1018" s="10" t="s">
        <v>208</v>
      </c>
      <c r="H1018" s="10" t="s">
        <v>208</v>
      </c>
      <c r="I1018" s="10" t="s">
        <v>11</v>
      </c>
      <c r="J1018" s="26">
        <v>127.79360000000001</v>
      </c>
      <c r="K1018" s="37" t="s">
        <v>1537</v>
      </c>
      <c r="L1018" t="e">
        <f>VLOOKUP(A1018,Formulas!A:B,2,FALSE)</f>
        <v>#N/A</v>
      </c>
      <c r="M1018" s="32"/>
    </row>
    <row r="1019" spans="1:13" ht="71.25" customHeight="1">
      <c r="A1019" s="10">
        <v>7814</v>
      </c>
      <c r="B1019" s="11" t="s">
        <v>1539</v>
      </c>
      <c r="C1019" s="10" t="s">
        <v>10</v>
      </c>
      <c r="D1019" s="10" t="s">
        <v>210</v>
      </c>
      <c r="E1019" s="10">
        <v>110</v>
      </c>
      <c r="F1019" s="10" t="s">
        <v>1421</v>
      </c>
      <c r="G1019" s="10" t="s">
        <v>208</v>
      </c>
      <c r="H1019" s="10" t="s">
        <v>208</v>
      </c>
      <c r="I1019" s="10" t="s">
        <v>11</v>
      </c>
      <c r="J1019" s="26">
        <v>127.79360000000001</v>
      </c>
      <c r="K1019" s="37" t="s">
        <v>1537</v>
      </c>
      <c r="L1019" t="e">
        <f>VLOOKUP(A1019,Formulas!A:B,2,FALSE)</f>
        <v>#N/A</v>
      </c>
      <c r="M1019" s="32"/>
    </row>
    <row r="1020" spans="1:13" ht="57.75" customHeight="1">
      <c r="A1020" s="10">
        <v>7815</v>
      </c>
      <c r="B1020" s="11" t="s">
        <v>1540</v>
      </c>
      <c r="C1020" s="10" t="s">
        <v>10</v>
      </c>
      <c r="D1020" s="10" t="s">
        <v>210</v>
      </c>
      <c r="E1020" s="10">
        <v>110</v>
      </c>
      <c r="F1020" s="10" t="s">
        <v>1421</v>
      </c>
      <c r="G1020" s="10" t="s">
        <v>208</v>
      </c>
      <c r="H1020" s="10" t="s">
        <v>208</v>
      </c>
      <c r="I1020" s="10" t="s">
        <v>11</v>
      </c>
      <c r="J1020" s="26">
        <v>153.35231999999999</v>
      </c>
      <c r="K1020" s="37" t="s">
        <v>1537</v>
      </c>
      <c r="L1020" t="e">
        <f>VLOOKUP(A1020,Formulas!A:B,2,FALSE)</f>
        <v>#N/A</v>
      </c>
      <c r="M1020" s="32"/>
    </row>
    <row r="1021" spans="1:13" ht="57.75" customHeight="1">
      <c r="A1021" s="10">
        <v>7816</v>
      </c>
      <c r="B1021" s="11" t="s">
        <v>1541</v>
      </c>
      <c r="C1021" s="10" t="s">
        <v>10</v>
      </c>
      <c r="D1021" s="10" t="s">
        <v>210</v>
      </c>
      <c r="E1021" s="10">
        <v>110</v>
      </c>
      <c r="F1021" s="10" t="s">
        <v>1421</v>
      </c>
      <c r="G1021" s="10" t="s">
        <v>208</v>
      </c>
      <c r="H1021" s="10" t="s">
        <v>208</v>
      </c>
      <c r="I1021" s="10" t="s">
        <v>11</v>
      </c>
      <c r="J1021" s="26">
        <v>127.79360000000001</v>
      </c>
      <c r="K1021" s="37" t="s">
        <v>1537</v>
      </c>
      <c r="L1021" t="e">
        <f>VLOOKUP(A1021,Formulas!A:B,2,FALSE)</f>
        <v>#N/A</v>
      </c>
      <c r="M1021" s="32"/>
    </row>
    <row r="1022" spans="1:13" ht="41.5" customHeight="1">
      <c r="A1022" s="10">
        <v>7817</v>
      </c>
      <c r="B1022" s="11" t="s">
        <v>1542</v>
      </c>
      <c r="C1022" s="10" t="s">
        <v>10</v>
      </c>
      <c r="D1022" s="10" t="s">
        <v>210</v>
      </c>
      <c r="E1022" s="10">
        <v>110</v>
      </c>
      <c r="F1022" s="10" t="s">
        <v>1421</v>
      </c>
      <c r="G1022" s="10" t="s">
        <v>208</v>
      </c>
      <c r="H1022" s="10" t="s">
        <v>208</v>
      </c>
      <c r="I1022" s="10" t="s">
        <v>11</v>
      </c>
      <c r="J1022" s="26">
        <v>127.79360000000001</v>
      </c>
      <c r="K1022" s="37" t="s">
        <v>1537</v>
      </c>
      <c r="L1022" t="e">
        <f>VLOOKUP(A1022,Formulas!A:B,2,FALSE)</f>
        <v>#N/A</v>
      </c>
      <c r="M1022" s="32"/>
    </row>
    <row r="1023" spans="1:13" ht="41.5" customHeight="1">
      <c r="A1023" s="10">
        <v>7818</v>
      </c>
      <c r="B1023" s="11" t="s">
        <v>1543</v>
      </c>
      <c r="C1023" s="10" t="s">
        <v>10</v>
      </c>
      <c r="D1023" s="10" t="s">
        <v>210</v>
      </c>
      <c r="E1023" s="10">
        <v>110</v>
      </c>
      <c r="F1023" s="10" t="s">
        <v>1421</v>
      </c>
      <c r="G1023" s="10" t="s">
        <v>208</v>
      </c>
      <c r="H1023" s="10" t="s">
        <v>208</v>
      </c>
      <c r="I1023" s="10" t="s">
        <v>11</v>
      </c>
      <c r="J1023" s="26">
        <v>127.79360000000001</v>
      </c>
      <c r="K1023" s="37" t="s">
        <v>1537</v>
      </c>
      <c r="L1023" t="e">
        <f>VLOOKUP(A1023,Formulas!A:B,2,FALSE)</f>
        <v>#N/A</v>
      </c>
      <c r="M1023" s="32"/>
    </row>
    <row r="1024" spans="1:13" ht="41.5" customHeight="1">
      <c r="A1024" s="10">
        <v>7819</v>
      </c>
      <c r="B1024" s="11" t="s">
        <v>1544</v>
      </c>
      <c r="C1024" s="10" t="s">
        <v>10</v>
      </c>
      <c r="D1024" s="10" t="s">
        <v>210</v>
      </c>
      <c r="E1024" s="10">
        <v>110</v>
      </c>
      <c r="F1024" s="10" t="s">
        <v>1421</v>
      </c>
      <c r="G1024" s="10" t="s">
        <v>208</v>
      </c>
      <c r="H1024" s="10" t="s">
        <v>208</v>
      </c>
      <c r="I1024" s="10" t="s">
        <v>11</v>
      </c>
      <c r="J1024" s="26">
        <v>127.79360000000001</v>
      </c>
      <c r="K1024" s="37" t="s">
        <v>1537</v>
      </c>
      <c r="L1024" t="e">
        <f>VLOOKUP(A1024,Formulas!A:B,2,FALSE)</f>
        <v>#N/A</v>
      </c>
      <c r="M1024" s="32"/>
    </row>
    <row r="1025" spans="1:13" ht="41.5" customHeight="1">
      <c r="A1025" s="10">
        <v>7820</v>
      </c>
      <c r="B1025" s="11" t="s">
        <v>1178</v>
      </c>
      <c r="C1025" s="10" t="s">
        <v>10</v>
      </c>
      <c r="D1025" s="10" t="s">
        <v>768</v>
      </c>
      <c r="E1025" s="10">
        <v>375</v>
      </c>
      <c r="F1025" s="10" t="s">
        <v>1422</v>
      </c>
      <c r="G1025" s="10" t="s">
        <v>280</v>
      </c>
      <c r="H1025" s="10" t="s">
        <v>280</v>
      </c>
      <c r="I1025" s="10" t="s">
        <v>11</v>
      </c>
      <c r="J1025" s="26">
        <v>95.677720000000008</v>
      </c>
      <c r="K1025" s="37"/>
      <c r="L1025" t="e">
        <f>VLOOKUP(A1025,Formulas!A:B,2,FALSE)</f>
        <v>#N/A</v>
      </c>
      <c r="M1025" s="32"/>
    </row>
    <row r="1026" spans="1:13" ht="41.5" customHeight="1">
      <c r="A1026" s="10">
        <v>7821</v>
      </c>
      <c r="B1026" s="11" t="s">
        <v>1179</v>
      </c>
      <c r="C1026" s="10" t="s">
        <v>10</v>
      </c>
      <c r="D1026" s="10" t="s">
        <v>768</v>
      </c>
      <c r="E1026" s="10">
        <v>375</v>
      </c>
      <c r="F1026" s="10" t="s">
        <v>1422</v>
      </c>
      <c r="G1026" s="10" t="s">
        <v>280</v>
      </c>
      <c r="H1026" s="10" t="s">
        <v>280</v>
      </c>
      <c r="I1026" s="10" t="s">
        <v>11</v>
      </c>
      <c r="J1026" s="26">
        <v>95.677720000000008</v>
      </c>
      <c r="K1026" s="37"/>
      <c r="L1026" t="e">
        <f>VLOOKUP(A1026,Formulas!A:B,2,FALSE)</f>
        <v>#N/A</v>
      </c>
      <c r="M1026" s="32"/>
    </row>
    <row r="1027" spans="1:13" ht="41.5" customHeight="1">
      <c r="A1027" s="10">
        <v>7822</v>
      </c>
      <c r="B1027" s="11" t="s">
        <v>1180</v>
      </c>
      <c r="C1027" s="10" t="s">
        <v>10</v>
      </c>
      <c r="D1027" s="10" t="s">
        <v>768</v>
      </c>
      <c r="E1027" s="10">
        <v>375</v>
      </c>
      <c r="F1027" s="10" t="s">
        <v>1422</v>
      </c>
      <c r="G1027" s="10" t="s">
        <v>280</v>
      </c>
      <c r="H1027" s="10" t="s">
        <v>280</v>
      </c>
      <c r="I1027" s="10" t="s">
        <v>11</v>
      </c>
      <c r="J1027" s="26">
        <v>114.81326400000002</v>
      </c>
      <c r="K1027" s="37"/>
      <c r="L1027" t="e">
        <f>VLOOKUP(A1027,Formulas!A:B,2,FALSE)</f>
        <v>#N/A</v>
      </c>
      <c r="M1027" s="32"/>
    </row>
    <row r="1028" spans="1:13" ht="41.5" customHeight="1">
      <c r="A1028" s="10">
        <v>7823</v>
      </c>
      <c r="B1028" s="11" t="s">
        <v>1181</v>
      </c>
      <c r="C1028" s="10" t="s">
        <v>10</v>
      </c>
      <c r="D1028" s="10" t="s">
        <v>768</v>
      </c>
      <c r="E1028" s="10">
        <v>375</v>
      </c>
      <c r="F1028" s="10" t="s">
        <v>1422</v>
      </c>
      <c r="G1028" s="10" t="s">
        <v>280</v>
      </c>
      <c r="H1028" s="10" t="s">
        <v>280</v>
      </c>
      <c r="I1028" s="10" t="s">
        <v>11</v>
      </c>
      <c r="J1028" s="26">
        <v>95.677720000000008</v>
      </c>
      <c r="K1028" s="37"/>
      <c r="L1028" t="e">
        <f>VLOOKUP(A1028,Formulas!A:B,2,FALSE)</f>
        <v>#N/A</v>
      </c>
      <c r="M1028" s="32"/>
    </row>
    <row r="1029" spans="1:13" ht="41.5" customHeight="1">
      <c r="A1029" s="10">
        <v>7824</v>
      </c>
      <c r="B1029" s="11" t="s">
        <v>1302</v>
      </c>
      <c r="C1029" s="10" t="s">
        <v>10</v>
      </c>
      <c r="D1029" s="10" t="s">
        <v>780</v>
      </c>
      <c r="E1029" s="10">
        <v>150</v>
      </c>
      <c r="F1029" s="10" t="s">
        <v>1005</v>
      </c>
      <c r="G1029" s="10" t="s">
        <v>1462</v>
      </c>
      <c r="H1029" s="10" t="s">
        <v>1555</v>
      </c>
      <c r="I1029" s="10" t="s">
        <v>11</v>
      </c>
      <c r="J1029" s="26">
        <v>94.65270000000001</v>
      </c>
      <c r="K1029" s="21"/>
      <c r="L1029" t="e">
        <f>VLOOKUP(A1029,Formulas!A:B,2,FALSE)</f>
        <v>#N/A</v>
      </c>
      <c r="M1029" s="32"/>
    </row>
    <row r="1030" spans="1:13" ht="41.5" customHeight="1">
      <c r="A1030" s="10">
        <v>7825</v>
      </c>
      <c r="B1030" s="11" t="s">
        <v>1303</v>
      </c>
      <c r="C1030" s="10" t="s">
        <v>10</v>
      </c>
      <c r="D1030" s="10" t="s">
        <v>780</v>
      </c>
      <c r="E1030" s="10">
        <v>150</v>
      </c>
      <c r="F1030" s="10" t="s">
        <v>1005</v>
      </c>
      <c r="G1030" s="10" t="s">
        <v>1462</v>
      </c>
      <c r="H1030" s="10" t="s">
        <v>1555</v>
      </c>
      <c r="I1030" s="10" t="s">
        <v>11</v>
      </c>
      <c r="J1030" s="26">
        <v>94.65270000000001</v>
      </c>
      <c r="K1030" s="21"/>
      <c r="L1030" t="e">
        <f>VLOOKUP(A1030,Formulas!A:B,2,FALSE)</f>
        <v>#N/A</v>
      </c>
      <c r="M1030" s="32"/>
    </row>
    <row r="1031" spans="1:13" ht="41.5" hidden="1" customHeight="1">
      <c r="A1031" s="10">
        <v>7826</v>
      </c>
      <c r="B1031" s="11" t="s">
        <v>1304</v>
      </c>
      <c r="C1031" s="10" t="s">
        <v>10</v>
      </c>
      <c r="D1031" s="10" t="s">
        <v>780</v>
      </c>
      <c r="E1031" s="10">
        <v>150</v>
      </c>
      <c r="F1031" s="10" t="s">
        <v>1005</v>
      </c>
      <c r="G1031" s="10" t="s">
        <v>1462</v>
      </c>
      <c r="H1031" s="10" t="s">
        <v>1555</v>
      </c>
      <c r="I1031" s="10" t="s">
        <v>11</v>
      </c>
      <c r="J1031" s="26">
        <v>113.58324</v>
      </c>
      <c r="K1031" s="21"/>
      <c r="L1031" t="str">
        <f>VLOOKUP(A1031,Formulas!A:B,2,FALSE)</f>
        <v>178512</v>
      </c>
      <c r="M1031" s="32"/>
    </row>
    <row r="1032" spans="1:13" ht="41.5" customHeight="1">
      <c r="A1032" s="10">
        <v>7827</v>
      </c>
      <c r="B1032" s="11" t="s">
        <v>1278</v>
      </c>
      <c r="C1032" s="10" t="s">
        <v>102</v>
      </c>
      <c r="D1032" s="12" t="s">
        <v>11</v>
      </c>
      <c r="E1032" s="12" t="s">
        <v>11</v>
      </c>
      <c r="F1032" s="10" t="s">
        <v>1414</v>
      </c>
      <c r="G1032" s="10" t="s">
        <v>1551</v>
      </c>
      <c r="H1032" s="10" t="s">
        <v>1550</v>
      </c>
      <c r="I1032" s="10" t="s">
        <v>11</v>
      </c>
      <c r="J1032" s="26">
        <v>163.23576000000003</v>
      </c>
      <c r="K1032" s="21"/>
      <c r="L1032" t="e">
        <f>VLOOKUP(A1032,Formulas!A:B,2,FALSE)</f>
        <v>#N/A</v>
      </c>
      <c r="M1032" s="32"/>
    </row>
    <row r="1033" spans="1:13" ht="41.5" customHeight="1">
      <c r="A1033" s="10">
        <v>7828</v>
      </c>
      <c r="B1033" s="11" t="s">
        <v>1279</v>
      </c>
      <c r="C1033" s="10" t="s">
        <v>102</v>
      </c>
      <c r="D1033" s="12" t="s">
        <v>11</v>
      </c>
      <c r="E1033" s="12" t="s">
        <v>11</v>
      </c>
      <c r="F1033" s="10" t="s">
        <v>1414</v>
      </c>
      <c r="G1033" s="10" t="s">
        <v>1551</v>
      </c>
      <c r="H1033" s="10" t="s">
        <v>1550</v>
      </c>
      <c r="I1033" s="10" t="s">
        <v>11</v>
      </c>
      <c r="J1033" s="26">
        <v>163.23576000000003</v>
      </c>
      <c r="K1033" s="21"/>
      <c r="L1033" t="e">
        <f>VLOOKUP(A1033,Formulas!A:B,2,FALSE)</f>
        <v>#N/A</v>
      </c>
      <c r="M1033" s="32"/>
    </row>
    <row r="1034" spans="1:13" ht="41.5" customHeight="1">
      <c r="A1034" s="10">
        <v>7829</v>
      </c>
      <c r="B1034" s="11" t="s">
        <v>1280</v>
      </c>
      <c r="C1034" s="10" t="s">
        <v>102</v>
      </c>
      <c r="D1034" s="12" t="s">
        <v>11</v>
      </c>
      <c r="E1034" s="12" t="s">
        <v>11</v>
      </c>
      <c r="F1034" s="10" t="s">
        <v>1414</v>
      </c>
      <c r="G1034" s="10" t="s">
        <v>1551</v>
      </c>
      <c r="H1034" s="10" t="s">
        <v>1550</v>
      </c>
      <c r="I1034" s="10" t="s">
        <v>11</v>
      </c>
      <c r="J1034" s="26">
        <v>195.88291200000003</v>
      </c>
      <c r="K1034" s="21"/>
      <c r="L1034" t="e">
        <f>VLOOKUP(A1034,Formulas!A:B,2,FALSE)</f>
        <v>#N/A</v>
      </c>
      <c r="M1034" s="32"/>
    </row>
    <row r="1035" spans="1:13" ht="41.5" customHeight="1">
      <c r="A1035" s="10">
        <v>7830</v>
      </c>
      <c r="B1035" s="11" t="s">
        <v>1281</v>
      </c>
      <c r="C1035" s="10" t="s">
        <v>102</v>
      </c>
      <c r="D1035" s="12" t="s">
        <v>11</v>
      </c>
      <c r="E1035" s="12" t="s">
        <v>11</v>
      </c>
      <c r="F1035" s="10" t="s">
        <v>1414</v>
      </c>
      <c r="G1035" s="10" t="s">
        <v>1551</v>
      </c>
      <c r="H1035" s="10" t="s">
        <v>1550</v>
      </c>
      <c r="I1035" s="10" t="s">
        <v>11</v>
      </c>
      <c r="J1035" s="26">
        <v>178.80398</v>
      </c>
      <c r="K1035" s="21"/>
      <c r="L1035" t="e">
        <f>VLOOKUP(A1035,Formulas!A:B,2,FALSE)</f>
        <v>#N/A</v>
      </c>
      <c r="M1035" s="32"/>
    </row>
    <row r="1036" spans="1:13" ht="41.5" customHeight="1">
      <c r="A1036" s="10">
        <v>7831</v>
      </c>
      <c r="B1036" s="11" t="s">
        <v>1282</v>
      </c>
      <c r="C1036" s="10" t="s">
        <v>102</v>
      </c>
      <c r="D1036" s="12" t="s">
        <v>11</v>
      </c>
      <c r="E1036" s="12" t="s">
        <v>11</v>
      </c>
      <c r="F1036" s="10" t="s">
        <v>1414</v>
      </c>
      <c r="G1036" s="10" t="s">
        <v>1551</v>
      </c>
      <c r="H1036" s="10" t="s">
        <v>1550</v>
      </c>
      <c r="I1036" s="10" t="s">
        <v>11</v>
      </c>
      <c r="J1036" s="26">
        <v>178.80398</v>
      </c>
      <c r="K1036" s="21"/>
      <c r="L1036" t="e">
        <f>VLOOKUP(A1036,Formulas!A:B,2,FALSE)</f>
        <v>#N/A</v>
      </c>
      <c r="M1036" s="32"/>
    </row>
    <row r="1037" spans="1:13" ht="42.5" customHeight="1">
      <c r="A1037" s="10">
        <v>7832</v>
      </c>
      <c r="B1037" s="11" t="s">
        <v>1283</v>
      </c>
      <c r="C1037" s="10" t="s">
        <v>102</v>
      </c>
      <c r="D1037" s="12" t="s">
        <v>11</v>
      </c>
      <c r="E1037" s="12" t="s">
        <v>11</v>
      </c>
      <c r="F1037" s="10" t="s">
        <v>1414</v>
      </c>
      <c r="G1037" s="10" t="s">
        <v>1551</v>
      </c>
      <c r="H1037" s="10" t="s">
        <v>1550</v>
      </c>
      <c r="I1037" s="10" t="s">
        <v>11</v>
      </c>
      <c r="J1037" s="26">
        <v>214.56477600000002</v>
      </c>
      <c r="K1037" s="21"/>
      <c r="L1037" t="e">
        <f>VLOOKUP(A1037,Formulas!A:B,2,FALSE)</f>
        <v>#N/A</v>
      </c>
      <c r="M1037" s="32"/>
    </row>
    <row r="1038" spans="1:13" ht="42.5" customHeight="1">
      <c r="A1038" s="10">
        <v>7833</v>
      </c>
      <c r="B1038" s="11" t="s">
        <v>1296</v>
      </c>
      <c r="C1038" s="10" t="s">
        <v>102</v>
      </c>
      <c r="D1038" s="12" t="s">
        <v>11</v>
      </c>
      <c r="E1038" s="12" t="s">
        <v>11</v>
      </c>
      <c r="F1038" s="10" t="s">
        <v>1464</v>
      </c>
      <c r="G1038" s="10" t="s">
        <v>1460</v>
      </c>
      <c r="H1038" s="10" t="s">
        <v>1465</v>
      </c>
      <c r="I1038" s="10" t="s">
        <v>11</v>
      </c>
      <c r="J1038" s="26">
        <v>180.50103999999999</v>
      </c>
      <c r="K1038" s="21"/>
      <c r="L1038" t="e">
        <f>VLOOKUP(A1038,Formulas!A:B,2,FALSE)</f>
        <v>#N/A</v>
      </c>
      <c r="M1038" s="32"/>
    </row>
    <row r="1039" spans="1:13" ht="42.5" customHeight="1">
      <c r="A1039" s="10">
        <v>7834</v>
      </c>
      <c r="B1039" s="11" t="s">
        <v>1297</v>
      </c>
      <c r="C1039" s="10" t="s">
        <v>102</v>
      </c>
      <c r="D1039" s="12" t="s">
        <v>11</v>
      </c>
      <c r="E1039" s="12" t="s">
        <v>11</v>
      </c>
      <c r="F1039" s="10" t="s">
        <v>1464</v>
      </c>
      <c r="G1039" s="10" t="s">
        <v>1460</v>
      </c>
      <c r="H1039" s="10" t="s">
        <v>1465</v>
      </c>
      <c r="I1039" s="10" t="s">
        <v>11</v>
      </c>
      <c r="J1039" s="26">
        <v>180.50103999999999</v>
      </c>
      <c r="K1039" s="21"/>
      <c r="L1039" t="e">
        <f>VLOOKUP(A1039,Formulas!A:B,2,FALSE)</f>
        <v>#N/A</v>
      </c>
      <c r="M1039" s="32"/>
    </row>
    <row r="1040" spans="1:13" ht="42.5" customHeight="1">
      <c r="A1040" s="10">
        <v>7835</v>
      </c>
      <c r="B1040" s="11" t="s">
        <v>1298</v>
      </c>
      <c r="C1040" s="10" t="s">
        <v>102</v>
      </c>
      <c r="D1040" s="12" t="s">
        <v>11</v>
      </c>
      <c r="E1040" s="12" t="s">
        <v>11</v>
      </c>
      <c r="F1040" s="10" t="s">
        <v>1464</v>
      </c>
      <c r="G1040" s="10" t="s">
        <v>1460</v>
      </c>
      <c r="H1040" s="10" t="s">
        <v>1465</v>
      </c>
      <c r="I1040" s="10" t="s">
        <v>11</v>
      </c>
      <c r="J1040" s="26">
        <v>216.60124800000003</v>
      </c>
      <c r="K1040" s="21"/>
      <c r="L1040" t="e">
        <f>VLOOKUP(A1040,Formulas!A:B,2,FALSE)</f>
        <v>#N/A</v>
      </c>
      <c r="M1040" s="32"/>
    </row>
    <row r="1041" spans="1:13" ht="42.5" customHeight="1">
      <c r="A1041" s="10">
        <v>7836</v>
      </c>
      <c r="B1041" s="11" t="s">
        <v>1299</v>
      </c>
      <c r="C1041" s="10" t="s">
        <v>102</v>
      </c>
      <c r="D1041" s="12" t="s">
        <v>11</v>
      </c>
      <c r="E1041" s="12" t="s">
        <v>11</v>
      </c>
      <c r="F1041" s="10" t="s">
        <v>1464</v>
      </c>
      <c r="G1041" s="10" t="s">
        <v>1460</v>
      </c>
      <c r="H1041" s="10" t="s">
        <v>1465</v>
      </c>
      <c r="I1041" s="10" t="s">
        <v>11</v>
      </c>
      <c r="J1041" s="26">
        <v>172.82346000000001</v>
      </c>
      <c r="K1041" s="21"/>
      <c r="L1041" t="e">
        <f>VLOOKUP(A1041,Formulas!A:B,2,FALSE)</f>
        <v>#N/A</v>
      </c>
      <c r="M1041" s="32"/>
    </row>
    <row r="1042" spans="1:13" ht="42.5" hidden="1" customHeight="1">
      <c r="A1042" s="10">
        <v>7837</v>
      </c>
      <c r="B1042" s="11" t="s">
        <v>1300</v>
      </c>
      <c r="C1042" s="10" t="s">
        <v>102</v>
      </c>
      <c r="D1042" s="12" t="s">
        <v>11</v>
      </c>
      <c r="E1042" s="12" t="s">
        <v>11</v>
      </c>
      <c r="F1042" s="10" t="s">
        <v>1464</v>
      </c>
      <c r="G1042" s="10" t="s">
        <v>1460</v>
      </c>
      <c r="H1042" s="10" t="s">
        <v>1465</v>
      </c>
      <c r="I1042" s="10" t="s">
        <v>11</v>
      </c>
      <c r="J1042" s="26">
        <v>172.82346000000001</v>
      </c>
      <c r="K1042" s="21"/>
      <c r="L1042" t="str">
        <f>VLOOKUP(A1042,Formulas!A:B,2,FALSE)</f>
        <v>179405</v>
      </c>
      <c r="M1042" s="32"/>
    </row>
    <row r="1043" spans="1:13" ht="42.5" hidden="1" customHeight="1">
      <c r="A1043" s="10">
        <v>7838</v>
      </c>
      <c r="B1043" s="11" t="s">
        <v>1301</v>
      </c>
      <c r="C1043" s="10" t="s">
        <v>102</v>
      </c>
      <c r="D1043" s="12" t="s">
        <v>11</v>
      </c>
      <c r="E1043" s="12" t="s">
        <v>11</v>
      </c>
      <c r="F1043" s="10" t="s">
        <v>1464</v>
      </c>
      <c r="G1043" s="10" t="s">
        <v>1460</v>
      </c>
      <c r="H1043" s="10" t="s">
        <v>1465</v>
      </c>
      <c r="I1043" s="10" t="s">
        <v>11</v>
      </c>
      <c r="J1043" s="26">
        <v>207.38815200000002</v>
      </c>
      <c r="K1043" s="21"/>
      <c r="L1043" t="str">
        <f>VLOOKUP(A1043,Formulas!A:B,2,FALSE)</f>
        <v>178637</v>
      </c>
      <c r="M1043" s="32"/>
    </row>
    <row r="1044" spans="1:13" ht="42.5" customHeight="1">
      <c r="A1044" s="10">
        <v>7839</v>
      </c>
      <c r="B1044" s="11" t="s">
        <v>1253</v>
      </c>
      <c r="C1044" s="10" t="s">
        <v>10</v>
      </c>
      <c r="D1044" s="10" t="s">
        <v>134</v>
      </c>
      <c r="E1044" s="10">
        <v>225</v>
      </c>
      <c r="F1044" s="10" t="s">
        <v>1453</v>
      </c>
      <c r="G1044" s="10" t="s">
        <v>1451</v>
      </c>
      <c r="H1044" s="10" t="s">
        <v>1452</v>
      </c>
      <c r="I1044" s="10" t="s">
        <v>11</v>
      </c>
      <c r="J1044" s="26">
        <v>159.20034000000001</v>
      </c>
      <c r="K1044" s="21"/>
      <c r="L1044" t="e">
        <f>VLOOKUP(A1044,Formulas!A:B,2,FALSE)</f>
        <v>#N/A</v>
      </c>
      <c r="M1044" s="32"/>
    </row>
    <row r="1045" spans="1:13" ht="42.5" customHeight="1">
      <c r="A1045" s="10">
        <v>7840</v>
      </c>
      <c r="B1045" s="11" t="s">
        <v>1254</v>
      </c>
      <c r="C1045" s="10" t="s">
        <v>10</v>
      </c>
      <c r="D1045" s="10" t="s">
        <v>134</v>
      </c>
      <c r="E1045" s="10">
        <v>225</v>
      </c>
      <c r="F1045" s="10" t="s">
        <v>1453</v>
      </c>
      <c r="G1045" s="10" t="s">
        <v>1451</v>
      </c>
      <c r="H1045" s="10" t="s">
        <v>1452</v>
      </c>
      <c r="I1045" s="10" t="s">
        <v>11</v>
      </c>
      <c r="J1045" s="26">
        <v>159.20034000000001</v>
      </c>
      <c r="K1045" s="21"/>
      <c r="L1045" t="e">
        <f>VLOOKUP(A1045,Formulas!A:B,2,FALSE)</f>
        <v>#N/A</v>
      </c>
      <c r="M1045" s="32"/>
    </row>
    <row r="1046" spans="1:13" ht="42.5" customHeight="1">
      <c r="A1046" s="10">
        <v>7841</v>
      </c>
      <c r="B1046" s="11" t="s">
        <v>1255</v>
      </c>
      <c r="C1046" s="10" t="s">
        <v>10</v>
      </c>
      <c r="D1046" s="10" t="s">
        <v>134</v>
      </c>
      <c r="E1046" s="10">
        <v>225</v>
      </c>
      <c r="F1046" s="10" t="s">
        <v>1453</v>
      </c>
      <c r="G1046" s="10" t="s">
        <v>1451</v>
      </c>
      <c r="H1046" s="10" t="s">
        <v>1452</v>
      </c>
      <c r="I1046" s="10" t="s">
        <v>11</v>
      </c>
      <c r="J1046" s="26">
        <v>191.04040800000001</v>
      </c>
      <c r="K1046" s="21"/>
      <c r="L1046" t="e">
        <f>VLOOKUP(A1046,Formulas!A:B,2,FALSE)</f>
        <v>#N/A</v>
      </c>
      <c r="M1046" s="32"/>
    </row>
    <row r="1047" spans="1:13" ht="42.5" customHeight="1">
      <c r="A1047" s="10">
        <v>7842</v>
      </c>
      <c r="B1047" s="11" t="s">
        <v>1256</v>
      </c>
      <c r="C1047" s="10" t="s">
        <v>10</v>
      </c>
      <c r="D1047" s="10" t="s">
        <v>768</v>
      </c>
      <c r="E1047" s="10">
        <v>375</v>
      </c>
      <c r="F1047" s="10" t="s">
        <v>1453</v>
      </c>
      <c r="G1047" s="10" t="s">
        <v>1454</v>
      </c>
      <c r="H1047" s="10" t="s">
        <v>1452</v>
      </c>
      <c r="I1047" s="10" t="s">
        <v>11</v>
      </c>
      <c r="J1047" s="26">
        <v>170.51584000000003</v>
      </c>
      <c r="K1047" s="21"/>
      <c r="L1047" t="e">
        <f>VLOOKUP(A1047,Formulas!A:B,2,FALSE)</f>
        <v>#N/A</v>
      </c>
      <c r="M1047" s="32"/>
    </row>
    <row r="1048" spans="1:13" ht="42.5" customHeight="1">
      <c r="A1048" s="10">
        <v>7843</v>
      </c>
      <c r="B1048" s="11" t="s">
        <v>1257</v>
      </c>
      <c r="C1048" s="10" t="s">
        <v>10</v>
      </c>
      <c r="D1048" s="10" t="s">
        <v>768</v>
      </c>
      <c r="E1048" s="10">
        <v>375</v>
      </c>
      <c r="F1048" s="10" t="s">
        <v>1453</v>
      </c>
      <c r="G1048" s="10" t="s">
        <v>1454</v>
      </c>
      <c r="H1048" s="10" t="s">
        <v>1452</v>
      </c>
      <c r="I1048" s="10" t="s">
        <v>11</v>
      </c>
      <c r="J1048" s="26">
        <v>170.51584000000003</v>
      </c>
      <c r="K1048" s="21"/>
      <c r="L1048" t="e">
        <f>VLOOKUP(A1048,Formulas!A:B,2,FALSE)</f>
        <v>#N/A</v>
      </c>
      <c r="M1048" s="32"/>
    </row>
    <row r="1049" spans="1:13" ht="42.5" customHeight="1">
      <c r="A1049" s="10">
        <v>7844</v>
      </c>
      <c r="B1049" s="11" t="s">
        <v>1258</v>
      </c>
      <c r="C1049" s="10" t="s">
        <v>10</v>
      </c>
      <c r="D1049" s="10" t="s">
        <v>768</v>
      </c>
      <c r="E1049" s="10">
        <v>375</v>
      </c>
      <c r="F1049" s="10" t="s">
        <v>1453</v>
      </c>
      <c r="G1049" s="10" t="s">
        <v>1454</v>
      </c>
      <c r="H1049" s="10" t="s">
        <v>1452</v>
      </c>
      <c r="I1049" s="10" t="s">
        <v>11</v>
      </c>
      <c r="J1049" s="26">
        <v>204.61900800000001</v>
      </c>
      <c r="K1049" s="21"/>
      <c r="L1049" t="e">
        <f>VLOOKUP(A1049,Formulas!A:B,2,FALSE)</f>
        <v>#N/A</v>
      </c>
      <c r="M1049" s="32"/>
    </row>
    <row r="1050" spans="1:13" ht="42.5" customHeight="1">
      <c r="A1050" s="10">
        <v>7845</v>
      </c>
      <c r="B1050" s="11" t="s">
        <v>1215</v>
      </c>
      <c r="C1050" s="10" t="s">
        <v>10</v>
      </c>
      <c r="D1050" s="12" t="s">
        <v>768</v>
      </c>
      <c r="E1050" s="10">
        <v>375</v>
      </c>
      <c r="F1050" s="10" t="s">
        <v>1438</v>
      </c>
      <c r="G1050" s="10" t="s">
        <v>1439</v>
      </c>
      <c r="H1050" s="10" t="s">
        <v>1439</v>
      </c>
      <c r="I1050" s="10" t="s">
        <v>11</v>
      </c>
      <c r="J1050" s="26">
        <v>84.129020000000011</v>
      </c>
      <c r="K1050" s="21"/>
      <c r="L1050" t="e">
        <f>VLOOKUP(A1050,Formulas!A:B,2,FALSE)</f>
        <v>#N/A</v>
      </c>
      <c r="M1050" s="32"/>
    </row>
    <row r="1051" spans="1:13" ht="42.5" customHeight="1">
      <c r="A1051" s="10">
        <v>7846</v>
      </c>
      <c r="B1051" s="11" t="s">
        <v>1216</v>
      </c>
      <c r="C1051" s="10" t="s">
        <v>10</v>
      </c>
      <c r="D1051" s="12" t="s">
        <v>768</v>
      </c>
      <c r="E1051" s="10">
        <v>375</v>
      </c>
      <c r="F1051" s="10" t="s">
        <v>1438</v>
      </c>
      <c r="G1051" s="10" t="s">
        <v>1439</v>
      </c>
      <c r="H1051" s="10" t="s">
        <v>1439</v>
      </c>
      <c r="I1051" s="10" t="s">
        <v>11</v>
      </c>
      <c r="J1051" s="26">
        <v>84.129020000000011</v>
      </c>
      <c r="K1051" s="21"/>
      <c r="L1051" t="e">
        <f>VLOOKUP(A1051,Formulas!A:B,2,FALSE)</f>
        <v>#N/A</v>
      </c>
      <c r="M1051" s="32"/>
    </row>
    <row r="1052" spans="1:13" ht="42.5" customHeight="1">
      <c r="A1052" s="10">
        <v>7847</v>
      </c>
      <c r="B1052" s="11" t="s">
        <v>1217</v>
      </c>
      <c r="C1052" s="10" t="s">
        <v>10</v>
      </c>
      <c r="D1052" s="12" t="s">
        <v>768</v>
      </c>
      <c r="E1052" s="10">
        <v>375</v>
      </c>
      <c r="F1052" s="10" t="s">
        <v>1438</v>
      </c>
      <c r="G1052" s="10" t="s">
        <v>1439</v>
      </c>
      <c r="H1052" s="10" t="s">
        <v>1439</v>
      </c>
      <c r="I1052" s="10" t="s">
        <v>11</v>
      </c>
      <c r="J1052" s="26">
        <v>100.95482400000002</v>
      </c>
      <c r="K1052" s="21"/>
      <c r="L1052" t="e">
        <f>VLOOKUP(A1052,Formulas!A:B,2,FALSE)</f>
        <v>#N/A</v>
      </c>
      <c r="M1052" s="32"/>
    </row>
    <row r="1053" spans="1:13" ht="42.5" customHeight="1">
      <c r="A1053" s="10">
        <v>7849</v>
      </c>
      <c r="B1053" s="11" t="s">
        <v>1320</v>
      </c>
      <c r="C1053" s="10" t="s">
        <v>10</v>
      </c>
      <c r="D1053" s="12" t="s">
        <v>1473</v>
      </c>
      <c r="E1053" s="10">
        <v>1200</v>
      </c>
      <c r="F1053" s="10" t="s">
        <v>1474</v>
      </c>
      <c r="G1053" s="10" t="s">
        <v>1475</v>
      </c>
      <c r="H1053" s="10" t="s">
        <v>1475</v>
      </c>
      <c r="I1053" s="10" t="s">
        <v>91</v>
      </c>
      <c r="J1053" s="26">
        <v>370.13504000000006</v>
      </c>
      <c r="K1053" s="21"/>
      <c r="L1053" t="e">
        <f>VLOOKUP(A1053,Formulas!A:B,2,FALSE)</f>
        <v>#N/A</v>
      </c>
      <c r="M1053" s="32"/>
    </row>
    <row r="1054" spans="1:13" ht="42.5" customHeight="1">
      <c r="A1054" s="10">
        <v>7850</v>
      </c>
      <c r="B1054" s="11" t="s">
        <v>1321</v>
      </c>
      <c r="C1054" s="10" t="s">
        <v>10</v>
      </c>
      <c r="D1054" s="12" t="s">
        <v>1473</v>
      </c>
      <c r="E1054" s="10">
        <v>1200</v>
      </c>
      <c r="F1054" s="10" t="s">
        <v>1474</v>
      </c>
      <c r="G1054" s="10" t="s">
        <v>1475</v>
      </c>
      <c r="H1054" s="10" t="s">
        <v>1475</v>
      </c>
      <c r="I1054" s="10" t="s">
        <v>91</v>
      </c>
      <c r="J1054" s="26">
        <v>444.16120000000001</v>
      </c>
      <c r="K1054" s="21"/>
      <c r="L1054" t="e">
        <f>VLOOKUP(A1054,Formulas!A:B,2,FALSE)</f>
        <v>#N/A</v>
      </c>
      <c r="M1054" s="32"/>
    </row>
    <row r="1055" spans="1:13" ht="42.5" customHeight="1">
      <c r="A1055" s="10">
        <v>7852</v>
      </c>
      <c r="B1055" s="11" t="s">
        <v>1322</v>
      </c>
      <c r="C1055" s="10" t="s">
        <v>10</v>
      </c>
      <c r="D1055" s="12" t="s">
        <v>1477</v>
      </c>
      <c r="E1055" s="12">
        <v>1800</v>
      </c>
      <c r="F1055" s="10" t="s">
        <v>1474</v>
      </c>
      <c r="G1055" s="10" t="s">
        <v>1476</v>
      </c>
      <c r="H1055" s="10" t="s">
        <v>1476</v>
      </c>
      <c r="I1055" s="10" t="s">
        <v>91</v>
      </c>
      <c r="J1055" s="26">
        <v>544.74883999999997</v>
      </c>
      <c r="K1055" s="21"/>
      <c r="L1055" t="e">
        <f>VLOOKUP(A1055,Formulas!A:B,2,FALSE)</f>
        <v>#N/A</v>
      </c>
      <c r="M1055" s="32"/>
    </row>
    <row r="1056" spans="1:13" ht="42.5" customHeight="1">
      <c r="A1056" s="10">
        <v>7853</v>
      </c>
      <c r="B1056" s="11" t="s">
        <v>1323</v>
      </c>
      <c r="C1056" s="10" t="s">
        <v>10</v>
      </c>
      <c r="D1056" s="12" t="s">
        <v>1477</v>
      </c>
      <c r="E1056" s="12">
        <v>1800</v>
      </c>
      <c r="F1056" s="10" t="s">
        <v>1474</v>
      </c>
      <c r="G1056" s="10" t="s">
        <v>1476</v>
      </c>
      <c r="H1056" s="10" t="s">
        <v>1476</v>
      </c>
      <c r="I1056" s="10" t="s">
        <v>91</v>
      </c>
      <c r="J1056" s="26">
        <v>653.70200000000011</v>
      </c>
      <c r="K1056" s="21"/>
      <c r="L1056" t="e">
        <f>VLOOKUP(A1056,Formulas!A:B,2,FALSE)</f>
        <v>#N/A</v>
      </c>
      <c r="M1056" s="32"/>
    </row>
    <row r="1057" spans="1:13" ht="42.5" customHeight="1">
      <c r="A1057" s="10">
        <v>7854</v>
      </c>
      <c r="B1057" s="11" t="s">
        <v>1324</v>
      </c>
      <c r="C1057" s="10" t="s">
        <v>10</v>
      </c>
      <c r="D1057" s="12" t="s">
        <v>1478</v>
      </c>
      <c r="E1057" s="12">
        <v>1800</v>
      </c>
      <c r="F1057" s="10" t="s">
        <v>1481</v>
      </c>
      <c r="G1057" s="10" t="s">
        <v>1475</v>
      </c>
      <c r="H1057" s="10" t="s">
        <v>1475</v>
      </c>
      <c r="I1057" s="10" t="s">
        <v>11</v>
      </c>
      <c r="J1057" s="26">
        <v>317.83888000000002</v>
      </c>
      <c r="K1057" s="21"/>
      <c r="L1057" t="e">
        <f>VLOOKUP(A1057,Formulas!A:B,2,FALSE)</f>
        <v>#N/A</v>
      </c>
      <c r="M1057" s="32"/>
    </row>
    <row r="1058" spans="1:13" ht="42.5" customHeight="1">
      <c r="A1058" s="10">
        <v>7855</v>
      </c>
      <c r="B1058" s="11" t="s">
        <v>1325</v>
      </c>
      <c r="C1058" s="10" t="s">
        <v>10</v>
      </c>
      <c r="D1058" s="12" t="s">
        <v>1478</v>
      </c>
      <c r="E1058" s="12">
        <v>1800</v>
      </c>
      <c r="F1058" s="10" t="s">
        <v>1481</v>
      </c>
      <c r="G1058" s="10" t="s">
        <v>1475</v>
      </c>
      <c r="H1058" s="10" t="s">
        <v>1475</v>
      </c>
      <c r="I1058" s="10" t="s">
        <v>11</v>
      </c>
      <c r="J1058" s="26">
        <v>317.83888000000002</v>
      </c>
      <c r="K1058" s="21"/>
      <c r="L1058" t="e">
        <f>VLOOKUP(A1058,Formulas!A:B,2,FALSE)</f>
        <v>#N/A</v>
      </c>
      <c r="M1058" s="32"/>
    </row>
    <row r="1059" spans="1:13" ht="42.5" customHeight="1">
      <c r="A1059" s="10">
        <v>7856</v>
      </c>
      <c r="B1059" s="11" t="s">
        <v>1326</v>
      </c>
      <c r="C1059" s="10" t="s">
        <v>10</v>
      </c>
      <c r="D1059" s="12" t="s">
        <v>1478</v>
      </c>
      <c r="E1059" s="12">
        <v>1800</v>
      </c>
      <c r="F1059" s="10" t="s">
        <v>1481</v>
      </c>
      <c r="G1059" s="10" t="s">
        <v>1475</v>
      </c>
      <c r="H1059" s="10" t="s">
        <v>1475</v>
      </c>
      <c r="I1059" s="10" t="s">
        <v>11</v>
      </c>
      <c r="J1059" s="26">
        <v>381.40602000000001</v>
      </c>
      <c r="K1059" s="21"/>
      <c r="L1059" t="e">
        <f>VLOOKUP(A1059,Formulas!A:B,2,FALSE)</f>
        <v>#N/A</v>
      </c>
      <c r="M1059" s="32"/>
    </row>
    <row r="1060" spans="1:13" ht="42.5" customHeight="1">
      <c r="A1060" s="10">
        <v>7857</v>
      </c>
      <c r="B1060" s="11" t="s">
        <v>1327</v>
      </c>
      <c r="C1060" s="10" t="s">
        <v>10</v>
      </c>
      <c r="D1060" s="12" t="s">
        <v>1479</v>
      </c>
      <c r="E1060" s="12">
        <v>3600</v>
      </c>
      <c r="F1060" s="10" t="s">
        <v>1481</v>
      </c>
      <c r="G1060" s="10" t="s">
        <v>1476</v>
      </c>
      <c r="H1060" s="10" t="s">
        <v>1476</v>
      </c>
      <c r="I1060" s="10" t="s">
        <v>11</v>
      </c>
      <c r="J1060" s="26">
        <v>496.65028000000001</v>
      </c>
      <c r="K1060" s="21"/>
      <c r="L1060" t="e">
        <f>VLOOKUP(A1060,Formulas!A:B,2,FALSE)</f>
        <v>#N/A</v>
      </c>
      <c r="M1060" s="32"/>
    </row>
    <row r="1061" spans="1:13" ht="42.5" customHeight="1">
      <c r="A1061" s="10">
        <v>7858</v>
      </c>
      <c r="B1061" s="11" t="s">
        <v>1328</v>
      </c>
      <c r="C1061" s="10" t="s">
        <v>10</v>
      </c>
      <c r="D1061" s="12" t="s">
        <v>1479</v>
      </c>
      <c r="E1061" s="12">
        <v>3600</v>
      </c>
      <c r="F1061" s="10" t="s">
        <v>1481</v>
      </c>
      <c r="G1061" s="10" t="s">
        <v>1476</v>
      </c>
      <c r="H1061" s="10" t="s">
        <v>1476</v>
      </c>
      <c r="I1061" s="10" t="s">
        <v>11</v>
      </c>
      <c r="J1061" s="26">
        <v>496.65028000000001</v>
      </c>
      <c r="K1061" s="21"/>
      <c r="L1061" t="e">
        <f>VLOOKUP(A1061,Formulas!A:B,2,FALSE)</f>
        <v>#N/A</v>
      </c>
      <c r="M1061" s="32"/>
    </row>
    <row r="1062" spans="1:13" ht="42.5" customHeight="1">
      <c r="A1062" s="10">
        <v>7859</v>
      </c>
      <c r="B1062" s="11" t="s">
        <v>1329</v>
      </c>
      <c r="C1062" s="10" t="s">
        <v>10</v>
      </c>
      <c r="D1062" s="12" t="s">
        <v>1479</v>
      </c>
      <c r="E1062" s="12">
        <v>3600</v>
      </c>
      <c r="F1062" s="10" t="s">
        <v>1481</v>
      </c>
      <c r="G1062" s="10" t="s">
        <v>1476</v>
      </c>
      <c r="H1062" s="10" t="s">
        <v>1476</v>
      </c>
      <c r="I1062" s="10" t="s">
        <v>11</v>
      </c>
      <c r="J1062" s="26">
        <v>595.97969999999998</v>
      </c>
      <c r="K1062" s="21"/>
      <c r="L1062" t="e">
        <f>VLOOKUP(A1062,Formulas!A:B,2,FALSE)</f>
        <v>#N/A</v>
      </c>
      <c r="M1062" s="32"/>
    </row>
    <row r="1063" spans="1:13" ht="42.5" customHeight="1">
      <c r="A1063" s="10">
        <v>7860</v>
      </c>
      <c r="B1063" s="11" t="s">
        <v>1346</v>
      </c>
      <c r="C1063" s="10" t="s">
        <v>10</v>
      </c>
      <c r="D1063" s="12" t="s">
        <v>1478</v>
      </c>
      <c r="E1063" s="12">
        <v>1800</v>
      </c>
      <c r="F1063" s="10" t="s">
        <v>1482</v>
      </c>
      <c r="G1063" s="10" t="s">
        <v>1480</v>
      </c>
      <c r="H1063" s="10" t="s">
        <v>1480</v>
      </c>
      <c r="I1063" s="10" t="s">
        <v>11</v>
      </c>
      <c r="J1063" s="26">
        <v>333.85654</v>
      </c>
      <c r="K1063" s="21"/>
      <c r="L1063" t="e">
        <f>VLOOKUP(A1063,Formulas!A:B,2,FALSE)</f>
        <v>#N/A</v>
      </c>
      <c r="M1063" s="32"/>
    </row>
    <row r="1064" spans="1:13" ht="42.5" customHeight="1">
      <c r="A1064" s="10">
        <v>7861</v>
      </c>
      <c r="B1064" s="11" t="s">
        <v>1347</v>
      </c>
      <c r="C1064" s="10" t="s">
        <v>10</v>
      </c>
      <c r="D1064" s="12" t="s">
        <v>1478</v>
      </c>
      <c r="E1064" s="12">
        <v>1800</v>
      </c>
      <c r="F1064" s="10" t="s">
        <v>1482</v>
      </c>
      <c r="G1064" s="10" t="s">
        <v>1480</v>
      </c>
      <c r="H1064" s="10" t="s">
        <v>1480</v>
      </c>
      <c r="I1064" s="10" t="s">
        <v>11</v>
      </c>
      <c r="J1064" s="26">
        <v>333.85654</v>
      </c>
      <c r="K1064" s="21"/>
      <c r="L1064" t="e">
        <f>VLOOKUP(A1064,Formulas!A:B,2,FALSE)</f>
        <v>#N/A</v>
      </c>
      <c r="M1064" s="32"/>
    </row>
    <row r="1065" spans="1:13" ht="42.5" customHeight="1">
      <c r="A1065" s="10">
        <v>7862</v>
      </c>
      <c r="B1065" s="11" t="s">
        <v>1348</v>
      </c>
      <c r="C1065" s="10" t="s">
        <v>10</v>
      </c>
      <c r="D1065" s="12" t="s">
        <v>1478</v>
      </c>
      <c r="E1065" s="12">
        <v>1800</v>
      </c>
      <c r="F1065" s="10" t="s">
        <v>1482</v>
      </c>
      <c r="G1065" s="10" t="s">
        <v>1480</v>
      </c>
      <c r="H1065" s="10" t="s">
        <v>1480</v>
      </c>
      <c r="I1065" s="10" t="s">
        <v>11</v>
      </c>
      <c r="J1065" s="26">
        <v>400.62700000000001</v>
      </c>
      <c r="K1065" s="21"/>
      <c r="L1065" t="e">
        <f>VLOOKUP(A1065,Formulas!A:B,2,FALSE)</f>
        <v>#N/A</v>
      </c>
      <c r="M1065" s="32"/>
    </row>
    <row r="1066" spans="1:13" ht="42.5" customHeight="1">
      <c r="A1066" s="10">
        <v>7863</v>
      </c>
      <c r="B1066" s="11" t="s">
        <v>1330</v>
      </c>
      <c r="C1066" s="10" t="s">
        <v>10</v>
      </c>
      <c r="D1066" s="10" t="s">
        <v>780</v>
      </c>
      <c r="E1066" s="10">
        <v>150</v>
      </c>
      <c r="F1066" s="10" t="s">
        <v>1483</v>
      </c>
      <c r="G1066" s="10" t="s">
        <v>1484</v>
      </c>
      <c r="H1066" s="10" t="s">
        <v>1484</v>
      </c>
      <c r="I1066" s="10" t="s">
        <v>11</v>
      </c>
      <c r="J1066" s="26">
        <v>190.41628000000003</v>
      </c>
      <c r="K1066" s="21"/>
      <c r="L1066" t="e">
        <f>VLOOKUP(A1066,Formulas!A:B,2,FALSE)</f>
        <v>#N/A</v>
      </c>
      <c r="M1066" s="32"/>
    </row>
    <row r="1067" spans="1:13" ht="42.5" customHeight="1">
      <c r="A1067" s="10">
        <v>7864</v>
      </c>
      <c r="B1067" s="11" t="s">
        <v>1331</v>
      </c>
      <c r="C1067" s="10" t="s">
        <v>10</v>
      </c>
      <c r="D1067" s="10" t="s">
        <v>780</v>
      </c>
      <c r="E1067" s="10">
        <v>150</v>
      </c>
      <c r="F1067" s="10" t="s">
        <v>1483</v>
      </c>
      <c r="G1067" s="10" t="s">
        <v>1484</v>
      </c>
      <c r="H1067" s="10" t="s">
        <v>1484</v>
      </c>
      <c r="I1067" s="10" t="s">
        <v>11</v>
      </c>
      <c r="J1067" s="26">
        <v>190.41628000000003</v>
      </c>
      <c r="K1067" s="21"/>
      <c r="L1067" t="e">
        <f>VLOOKUP(A1067,Formulas!A:B,2,FALSE)</f>
        <v>#N/A</v>
      </c>
      <c r="M1067" s="32"/>
    </row>
    <row r="1068" spans="1:13" ht="42.5" customHeight="1">
      <c r="A1068" s="10">
        <v>7865</v>
      </c>
      <c r="B1068" s="11" t="s">
        <v>1332</v>
      </c>
      <c r="C1068" s="10" t="s">
        <v>10</v>
      </c>
      <c r="D1068" s="10" t="s">
        <v>780</v>
      </c>
      <c r="E1068" s="10">
        <v>150</v>
      </c>
      <c r="F1068" s="10" t="s">
        <v>1483</v>
      </c>
      <c r="G1068" s="10" t="s">
        <v>1484</v>
      </c>
      <c r="H1068" s="10" t="s">
        <v>1484</v>
      </c>
      <c r="I1068" s="10" t="s">
        <v>11</v>
      </c>
      <c r="J1068" s="26">
        <v>228.49953600000003</v>
      </c>
      <c r="K1068" s="21"/>
      <c r="L1068" t="e">
        <f>VLOOKUP(A1068,Formulas!A:B,2,FALSE)</f>
        <v>#N/A</v>
      </c>
      <c r="M1068" s="32"/>
    </row>
    <row r="1069" spans="1:13" ht="42.5" customHeight="1">
      <c r="A1069" s="10">
        <v>7866</v>
      </c>
      <c r="B1069" s="11" t="s">
        <v>1152</v>
      </c>
      <c r="C1069" s="10" t="s">
        <v>562</v>
      </c>
      <c r="D1069" s="12" t="s">
        <v>11</v>
      </c>
      <c r="E1069" s="12" t="s">
        <v>11</v>
      </c>
      <c r="F1069" s="10" t="s">
        <v>1414</v>
      </c>
      <c r="G1069" s="10" t="s">
        <v>208</v>
      </c>
      <c r="H1069" s="10" t="s">
        <v>291</v>
      </c>
      <c r="I1069" s="10" t="s">
        <v>91</v>
      </c>
      <c r="J1069" s="26">
        <v>306.34000000000003</v>
      </c>
      <c r="K1069" s="21"/>
      <c r="L1069" t="e">
        <f>VLOOKUP(A1069,Formulas!A:B,2,FALSE)</f>
        <v>#N/A</v>
      </c>
      <c r="M1069" s="32"/>
    </row>
    <row r="1070" spans="1:13" ht="42.5" customHeight="1">
      <c r="A1070" s="10">
        <v>7867</v>
      </c>
      <c r="B1070" s="11" t="s">
        <v>1153</v>
      </c>
      <c r="C1070" s="10" t="s">
        <v>562</v>
      </c>
      <c r="D1070" s="12" t="s">
        <v>11</v>
      </c>
      <c r="E1070" s="12" t="s">
        <v>11</v>
      </c>
      <c r="F1070" s="10" t="s">
        <v>1414</v>
      </c>
      <c r="G1070" s="10" t="s">
        <v>208</v>
      </c>
      <c r="H1070" s="10" t="s">
        <v>291</v>
      </c>
      <c r="I1070" s="10" t="s">
        <v>91</v>
      </c>
      <c r="J1070" s="26">
        <v>306.34000000000003</v>
      </c>
      <c r="K1070" s="21"/>
      <c r="L1070" t="e">
        <f>VLOOKUP(A1070,Formulas!A:B,2,FALSE)</f>
        <v>#N/A</v>
      </c>
      <c r="M1070" s="32"/>
    </row>
    <row r="1071" spans="1:13" ht="42.5" customHeight="1">
      <c r="A1071" s="10">
        <v>7868</v>
      </c>
      <c r="B1071" s="11" t="s">
        <v>1154</v>
      </c>
      <c r="C1071" s="10" t="s">
        <v>562</v>
      </c>
      <c r="D1071" s="12" t="s">
        <v>11</v>
      </c>
      <c r="E1071" s="12" t="s">
        <v>11</v>
      </c>
      <c r="F1071" s="10" t="s">
        <v>1414</v>
      </c>
      <c r="G1071" s="10" t="s">
        <v>208</v>
      </c>
      <c r="H1071" s="10" t="s">
        <v>291</v>
      </c>
      <c r="I1071" s="10" t="s">
        <v>91</v>
      </c>
      <c r="J1071" s="26">
        <v>367.608</v>
      </c>
      <c r="K1071" s="21"/>
      <c r="L1071" t="e">
        <f>VLOOKUP(A1071,Formulas!A:B,2,FALSE)</f>
        <v>#N/A</v>
      </c>
      <c r="M1071" s="32"/>
    </row>
    <row r="1072" spans="1:13" ht="42.5" customHeight="1">
      <c r="A1072" s="10">
        <v>7869</v>
      </c>
      <c r="B1072" s="11" t="s">
        <v>1155</v>
      </c>
      <c r="C1072" s="10" t="s">
        <v>562</v>
      </c>
      <c r="D1072" s="12" t="s">
        <v>11</v>
      </c>
      <c r="E1072" s="12" t="s">
        <v>11</v>
      </c>
      <c r="F1072" s="10" t="s">
        <v>1414</v>
      </c>
      <c r="G1072" s="10" t="s">
        <v>208</v>
      </c>
      <c r="H1072" s="10" t="s">
        <v>291</v>
      </c>
      <c r="I1072" s="10" t="s">
        <v>91</v>
      </c>
      <c r="J1072" s="26">
        <v>306.34000000000003</v>
      </c>
      <c r="K1072" s="21"/>
      <c r="L1072" t="e">
        <f>VLOOKUP(A1072,Formulas!A:B,2,FALSE)</f>
        <v>#N/A</v>
      </c>
      <c r="M1072" s="32"/>
    </row>
    <row r="1073" spans="1:13" ht="42.5" customHeight="1">
      <c r="A1073" s="10">
        <v>7870</v>
      </c>
      <c r="B1073" s="11" t="s">
        <v>1156</v>
      </c>
      <c r="C1073" s="10" t="s">
        <v>562</v>
      </c>
      <c r="D1073" s="12" t="s">
        <v>11</v>
      </c>
      <c r="E1073" s="12" t="s">
        <v>11</v>
      </c>
      <c r="F1073" s="10" t="s">
        <v>1414</v>
      </c>
      <c r="G1073" s="10" t="s">
        <v>208</v>
      </c>
      <c r="H1073" s="10" t="s">
        <v>291</v>
      </c>
      <c r="I1073" s="10" t="s">
        <v>91</v>
      </c>
      <c r="J1073" s="26">
        <v>306.34000000000003</v>
      </c>
      <c r="K1073" s="21"/>
      <c r="L1073" t="e">
        <f>VLOOKUP(A1073,Formulas!A:B,2,FALSE)</f>
        <v>#N/A</v>
      </c>
      <c r="M1073" s="32"/>
    </row>
    <row r="1074" spans="1:13" ht="42.5" customHeight="1">
      <c r="A1074" s="10">
        <v>7871</v>
      </c>
      <c r="B1074" s="11" t="s">
        <v>1157</v>
      </c>
      <c r="C1074" s="10" t="s">
        <v>1376</v>
      </c>
      <c r="D1074" s="12" t="s">
        <v>11</v>
      </c>
      <c r="E1074" s="12" t="s">
        <v>11</v>
      </c>
      <c r="F1074" s="10" t="s">
        <v>1399</v>
      </c>
      <c r="G1074" s="10" t="s">
        <v>208</v>
      </c>
      <c r="H1074" s="10" t="s">
        <v>291</v>
      </c>
      <c r="I1074" s="10" t="s">
        <v>91</v>
      </c>
      <c r="J1074" s="26">
        <v>422.94</v>
      </c>
      <c r="K1074" s="21"/>
      <c r="L1074" t="e">
        <f>VLOOKUP(A1074,Formulas!A:B,2,FALSE)</f>
        <v>#N/A</v>
      </c>
      <c r="M1074" s="32"/>
    </row>
    <row r="1075" spans="1:13" ht="42.5" customHeight="1">
      <c r="A1075" s="10">
        <v>7872</v>
      </c>
      <c r="B1075" s="11" t="s">
        <v>1158</v>
      </c>
      <c r="C1075" s="10" t="s">
        <v>1376</v>
      </c>
      <c r="D1075" s="12" t="s">
        <v>11</v>
      </c>
      <c r="E1075" s="12" t="s">
        <v>11</v>
      </c>
      <c r="F1075" s="10" t="s">
        <v>1399</v>
      </c>
      <c r="G1075" s="10" t="s">
        <v>208</v>
      </c>
      <c r="H1075" s="10" t="s">
        <v>291</v>
      </c>
      <c r="I1075" s="10" t="s">
        <v>91</v>
      </c>
      <c r="J1075" s="26">
        <v>422.94</v>
      </c>
      <c r="K1075" s="21"/>
      <c r="L1075" t="e">
        <f>VLOOKUP(A1075,Formulas!A:B,2,FALSE)</f>
        <v>#N/A</v>
      </c>
      <c r="M1075" s="32"/>
    </row>
    <row r="1076" spans="1:13" ht="42.5" customHeight="1">
      <c r="A1076" s="10">
        <v>7873</v>
      </c>
      <c r="B1076" s="11" t="s">
        <v>1159</v>
      </c>
      <c r="C1076" s="10" t="s">
        <v>1376</v>
      </c>
      <c r="D1076" s="12" t="s">
        <v>11</v>
      </c>
      <c r="E1076" s="12" t="s">
        <v>11</v>
      </c>
      <c r="F1076" s="10" t="s">
        <v>1399</v>
      </c>
      <c r="G1076" s="10" t="s">
        <v>208</v>
      </c>
      <c r="H1076" s="10" t="s">
        <v>291</v>
      </c>
      <c r="I1076" s="10" t="s">
        <v>91</v>
      </c>
      <c r="J1076" s="26">
        <v>507.52800000000002</v>
      </c>
      <c r="K1076" s="21"/>
      <c r="L1076" t="e">
        <f>VLOOKUP(A1076,Formulas!A:B,2,FALSE)</f>
        <v>#N/A</v>
      </c>
      <c r="M1076" s="32"/>
    </row>
    <row r="1077" spans="1:13" ht="86.5" customHeight="1">
      <c r="A1077" s="10">
        <v>7874</v>
      </c>
      <c r="B1077" s="11" t="s">
        <v>1160</v>
      </c>
      <c r="C1077" s="10" t="s">
        <v>1376</v>
      </c>
      <c r="D1077" s="12" t="s">
        <v>11</v>
      </c>
      <c r="E1077" s="12" t="s">
        <v>11</v>
      </c>
      <c r="F1077" s="10" t="s">
        <v>1399</v>
      </c>
      <c r="G1077" s="10" t="s">
        <v>208</v>
      </c>
      <c r="H1077" s="10" t="s">
        <v>291</v>
      </c>
      <c r="I1077" s="10" t="s">
        <v>91</v>
      </c>
      <c r="J1077" s="26">
        <v>422.94</v>
      </c>
      <c r="K1077" s="21"/>
      <c r="L1077" t="e">
        <f>VLOOKUP(A1077,Formulas!A:B,2,FALSE)</f>
        <v>#N/A</v>
      </c>
      <c r="M1077" s="32"/>
    </row>
    <row r="1078" spans="1:13" ht="86.5" customHeight="1">
      <c r="A1078" s="10">
        <v>7875</v>
      </c>
      <c r="B1078" s="11" t="s">
        <v>1161</v>
      </c>
      <c r="C1078" s="10" t="s">
        <v>1376</v>
      </c>
      <c r="D1078" s="12" t="s">
        <v>11</v>
      </c>
      <c r="E1078" s="12" t="s">
        <v>11</v>
      </c>
      <c r="F1078" s="10" t="s">
        <v>1399</v>
      </c>
      <c r="G1078" s="10" t="s">
        <v>208</v>
      </c>
      <c r="H1078" s="10" t="s">
        <v>291</v>
      </c>
      <c r="I1078" s="10" t="s">
        <v>91</v>
      </c>
      <c r="J1078" s="26">
        <v>422.94</v>
      </c>
      <c r="K1078" s="21"/>
      <c r="L1078" t="e">
        <f>VLOOKUP(A1078,Formulas!A:B,2,FALSE)</f>
        <v>#N/A</v>
      </c>
      <c r="M1078" s="32"/>
    </row>
    <row r="1079" spans="1:13" ht="42.5" customHeight="1">
      <c r="A1079" s="10">
        <v>7876</v>
      </c>
      <c r="B1079" s="11" t="s">
        <v>1218</v>
      </c>
      <c r="C1079" s="10" t="s">
        <v>10</v>
      </c>
      <c r="D1079" s="10" t="s">
        <v>1471</v>
      </c>
      <c r="E1079" s="10">
        <v>1260</v>
      </c>
      <c r="F1079" s="10" t="s">
        <v>850</v>
      </c>
      <c r="G1079" s="10" t="s">
        <v>1440</v>
      </c>
      <c r="H1079" s="10" t="s">
        <v>1440</v>
      </c>
      <c r="I1079" s="10" t="s">
        <v>11</v>
      </c>
      <c r="J1079" s="26">
        <v>122.82856000000001</v>
      </c>
      <c r="K1079" s="21"/>
      <c r="L1079" t="e">
        <f>VLOOKUP(A1079,Formulas!A:B,2,FALSE)</f>
        <v>#N/A</v>
      </c>
      <c r="M1079" s="32"/>
    </row>
    <row r="1080" spans="1:13" ht="42.5" customHeight="1">
      <c r="A1080" s="10">
        <v>7877</v>
      </c>
      <c r="B1080" s="11" t="s">
        <v>1219</v>
      </c>
      <c r="C1080" s="10" t="s">
        <v>10</v>
      </c>
      <c r="D1080" s="10" t="s">
        <v>1471</v>
      </c>
      <c r="E1080" s="10">
        <v>1260</v>
      </c>
      <c r="F1080" s="10" t="s">
        <v>850</v>
      </c>
      <c r="G1080" s="10" t="s">
        <v>1440</v>
      </c>
      <c r="H1080" s="10" t="s">
        <v>1440</v>
      </c>
      <c r="I1080" s="10" t="s">
        <v>11</v>
      </c>
      <c r="J1080" s="26">
        <v>122.82856000000001</v>
      </c>
      <c r="K1080" s="21"/>
      <c r="L1080" t="e">
        <f>VLOOKUP(A1080,Formulas!A:B,2,FALSE)</f>
        <v>#N/A</v>
      </c>
      <c r="M1080" s="32"/>
    </row>
    <row r="1081" spans="1:13" ht="42.5" customHeight="1">
      <c r="A1081" s="10">
        <v>7878</v>
      </c>
      <c r="B1081" s="11" t="s">
        <v>1220</v>
      </c>
      <c r="C1081" s="10" t="s">
        <v>10</v>
      </c>
      <c r="D1081" s="10" t="s">
        <v>1471</v>
      </c>
      <c r="E1081" s="10">
        <v>1260</v>
      </c>
      <c r="F1081" s="10" t="s">
        <v>850</v>
      </c>
      <c r="G1081" s="10" t="s">
        <v>1440</v>
      </c>
      <c r="H1081" s="10" t="s">
        <v>1440</v>
      </c>
      <c r="I1081" s="10" t="s">
        <v>11</v>
      </c>
      <c r="J1081" s="26">
        <v>147.394272</v>
      </c>
      <c r="K1081" s="21"/>
      <c r="L1081" t="e">
        <f>VLOOKUP(A1081,Formulas!A:B,2,FALSE)</f>
        <v>#N/A</v>
      </c>
      <c r="M1081" s="32"/>
    </row>
    <row r="1082" spans="1:13" ht="42.5" customHeight="1">
      <c r="A1082" s="10">
        <v>7879</v>
      </c>
      <c r="B1082" s="11" t="s">
        <v>1392</v>
      </c>
      <c r="C1082" s="10" t="s">
        <v>1379</v>
      </c>
      <c r="D1082" s="12" t="s">
        <v>11</v>
      </c>
      <c r="E1082" s="12" t="s">
        <v>11</v>
      </c>
      <c r="F1082" s="10" t="s">
        <v>1552</v>
      </c>
      <c r="G1082" s="10" t="s">
        <v>208</v>
      </c>
      <c r="H1082" s="10" t="s">
        <v>208</v>
      </c>
      <c r="I1082" s="10" t="s">
        <v>11</v>
      </c>
      <c r="J1082" s="26">
        <v>208.20202</v>
      </c>
      <c r="K1082" s="21"/>
      <c r="L1082" t="e">
        <f>VLOOKUP(A1082,Formulas!A:B,2,FALSE)</f>
        <v>#N/A</v>
      </c>
      <c r="M1082" s="32"/>
    </row>
    <row r="1083" spans="1:13" ht="42.5" hidden="1" customHeight="1">
      <c r="A1083" s="10">
        <v>7880</v>
      </c>
      <c r="B1083" s="11" t="s">
        <v>1393</v>
      </c>
      <c r="C1083" s="10" t="s">
        <v>1379</v>
      </c>
      <c r="D1083" s="12" t="s">
        <v>11</v>
      </c>
      <c r="E1083" s="12" t="s">
        <v>11</v>
      </c>
      <c r="F1083" s="10" t="s">
        <v>1552</v>
      </c>
      <c r="G1083" s="10" t="s">
        <v>208</v>
      </c>
      <c r="H1083" s="10" t="s">
        <v>208</v>
      </c>
      <c r="I1083" s="10" t="s">
        <v>11</v>
      </c>
      <c r="J1083" s="26">
        <v>208.20202</v>
      </c>
      <c r="K1083" s="21"/>
      <c r="L1083" t="str">
        <f>VLOOKUP(A1083,Formulas!A:B,2,FALSE)</f>
        <v>179391</v>
      </c>
      <c r="M1083" s="32"/>
    </row>
    <row r="1084" spans="1:13" ht="42.5" customHeight="1">
      <c r="A1084" s="10">
        <v>7881</v>
      </c>
      <c r="B1084" s="11" t="s">
        <v>1394</v>
      </c>
      <c r="C1084" s="10" t="s">
        <v>1379</v>
      </c>
      <c r="D1084" s="12" t="s">
        <v>11</v>
      </c>
      <c r="E1084" s="12" t="s">
        <v>11</v>
      </c>
      <c r="F1084" s="10" t="s">
        <v>1552</v>
      </c>
      <c r="G1084" s="10" t="s">
        <v>208</v>
      </c>
      <c r="H1084" s="10" t="s">
        <v>208</v>
      </c>
      <c r="I1084" s="10" t="s">
        <v>11</v>
      </c>
      <c r="J1084" s="26">
        <v>249.84200000000001</v>
      </c>
      <c r="K1084" s="21"/>
      <c r="L1084" t="e">
        <f>VLOOKUP(A1084,Formulas!A:B,2,FALSE)</f>
        <v>#N/A</v>
      </c>
      <c r="M1084" s="32"/>
    </row>
    <row r="1085" spans="1:13" ht="42.5" customHeight="1">
      <c r="A1085" s="10">
        <v>7882</v>
      </c>
      <c r="B1085" s="11" t="s">
        <v>1395</v>
      </c>
      <c r="C1085" s="10" t="s">
        <v>1379</v>
      </c>
      <c r="D1085" s="12" t="s">
        <v>11</v>
      </c>
      <c r="E1085" s="12" t="s">
        <v>11</v>
      </c>
      <c r="F1085" s="10" t="s">
        <v>1553</v>
      </c>
      <c r="G1085" s="10" t="s">
        <v>218</v>
      </c>
      <c r="H1085" s="10" t="s">
        <v>218</v>
      </c>
      <c r="I1085" s="10" t="s">
        <v>11</v>
      </c>
      <c r="J1085" s="26">
        <v>294.62170000000003</v>
      </c>
      <c r="K1085" s="21"/>
      <c r="L1085" t="e">
        <f>VLOOKUP(A1085,Formulas!A:B,2,FALSE)</f>
        <v>#N/A</v>
      </c>
      <c r="M1085" s="32"/>
    </row>
    <row r="1086" spans="1:13" ht="42.5" customHeight="1">
      <c r="A1086" s="10">
        <v>7883</v>
      </c>
      <c r="B1086" s="11" t="s">
        <v>1396</v>
      </c>
      <c r="C1086" s="10" t="s">
        <v>1379</v>
      </c>
      <c r="D1086" s="12" t="s">
        <v>11</v>
      </c>
      <c r="E1086" s="12" t="s">
        <v>11</v>
      </c>
      <c r="F1086" s="10" t="s">
        <v>1553</v>
      </c>
      <c r="G1086" s="10" t="s">
        <v>218</v>
      </c>
      <c r="H1086" s="10" t="s">
        <v>218</v>
      </c>
      <c r="I1086" s="10" t="s">
        <v>11</v>
      </c>
      <c r="J1086" s="26">
        <v>294.62170000000003</v>
      </c>
      <c r="K1086" s="21"/>
      <c r="L1086" t="e">
        <f>VLOOKUP(A1086,Formulas!A:B,2,FALSE)</f>
        <v>#N/A</v>
      </c>
      <c r="M1086" s="32"/>
    </row>
    <row r="1087" spans="1:13" ht="42.5" customHeight="1">
      <c r="A1087" s="10">
        <v>7884</v>
      </c>
      <c r="B1087" s="11" t="s">
        <v>1397</v>
      </c>
      <c r="C1087" s="10" t="s">
        <v>1379</v>
      </c>
      <c r="D1087" s="12" t="s">
        <v>11</v>
      </c>
      <c r="E1087" s="12" t="s">
        <v>11</v>
      </c>
      <c r="F1087" s="10" t="s">
        <v>1553</v>
      </c>
      <c r="G1087" s="10" t="s">
        <v>218</v>
      </c>
      <c r="H1087" s="10" t="s">
        <v>218</v>
      </c>
      <c r="I1087" s="10" t="s">
        <v>11</v>
      </c>
      <c r="J1087" s="26">
        <v>353.54604</v>
      </c>
      <c r="K1087" s="21"/>
      <c r="L1087" t="e">
        <f>VLOOKUP(A1087,Formulas!A:B,2,FALSE)</f>
        <v>#N/A</v>
      </c>
      <c r="M1087" s="32"/>
    </row>
    <row r="1088" spans="1:13" ht="42.5" hidden="1" customHeight="1">
      <c r="A1088" s="10">
        <v>7885</v>
      </c>
      <c r="B1088" s="11" t="s">
        <v>1162</v>
      </c>
      <c r="C1088" s="10" t="s">
        <v>10</v>
      </c>
      <c r="D1088" s="10" t="s">
        <v>768</v>
      </c>
      <c r="E1088" s="10">
        <v>375</v>
      </c>
      <c r="F1088" s="10" t="s">
        <v>1415</v>
      </c>
      <c r="G1088" s="10" t="s">
        <v>221</v>
      </c>
      <c r="H1088" s="10" t="s">
        <v>221</v>
      </c>
      <c r="I1088" s="10" t="s">
        <v>11</v>
      </c>
      <c r="J1088" s="26">
        <v>105.15836</v>
      </c>
      <c r="K1088" s="21"/>
      <c r="L1088" t="str">
        <f>VLOOKUP(A1088,Formulas!A:B,2,FALSE)</f>
        <v>179496</v>
      </c>
      <c r="M1088" s="32"/>
    </row>
    <row r="1089" spans="1:13" ht="42.5" customHeight="1">
      <c r="A1089" s="10">
        <v>7886</v>
      </c>
      <c r="B1089" s="11" t="s">
        <v>1163</v>
      </c>
      <c r="C1089" s="10" t="s">
        <v>10</v>
      </c>
      <c r="D1089" s="10" t="s">
        <v>768</v>
      </c>
      <c r="E1089" s="10">
        <v>375</v>
      </c>
      <c r="F1089" s="10" t="s">
        <v>1415</v>
      </c>
      <c r="G1089" s="10" t="s">
        <v>221</v>
      </c>
      <c r="H1089" s="10" t="s">
        <v>221</v>
      </c>
      <c r="I1089" s="10" t="s">
        <v>11</v>
      </c>
      <c r="J1089" s="26">
        <v>105.15836</v>
      </c>
      <c r="K1089" s="21"/>
      <c r="L1089" t="e">
        <f>VLOOKUP(A1089,Formulas!A:B,2,FALSE)</f>
        <v>#N/A</v>
      </c>
      <c r="M1089" s="32"/>
    </row>
    <row r="1090" spans="1:13" ht="42.5" customHeight="1">
      <c r="A1090" s="10">
        <v>7887</v>
      </c>
      <c r="B1090" s="11" t="s">
        <v>1164</v>
      </c>
      <c r="C1090" s="10" t="s">
        <v>10</v>
      </c>
      <c r="D1090" s="10" t="s">
        <v>768</v>
      </c>
      <c r="E1090" s="10">
        <v>375</v>
      </c>
      <c r="F1090" s="10" t="s">
        <v>1415</v>
      </c>
      <c r="G1090" s="10" t="s">
        <v>221</v>
      </c>
      <c r="H1090" s="10" t="s">
        <v>221</v>
      </c>
      <c r="I1090" s="10" t="s">
        <v>11</v>
      </c>
      <c r="J1090" s="26">
        <v>126.18982</v>
      </c>
      <c r="K1090" s="21"/>
      <c r="L1090" t="e">
        <f>VLOOKUP(A1090,Formulas!A:B,2,FALSE)</f>
        <v>#N/A</v>
      </c>
      <c r="M1090" s="32"/>
    </row>
    <row r="1091" spans="1:13" ht="42.5" customHeight="1">
      <c r="A1091" s="10">
        <v>7888</v>
      </c>
      <c r="B1091" s="11" t="s">
        <v>1165</v>
      </c>
      <c r="C1091" s="10" t="s">
        <v>10</v>
      </c>
      <c r="D1091" s="10" t="s">
        <v>768</v>
      </c>
      <c r="E1091" s="10">
        <v>375</v>
      </c>
      <c r="F1091" s="10" t="s">
        <v>1416</v>
      </c>
      <c r="G1091" s="10" t="s">
        <v>302</v>
      </c>
      <c r="H1091" s="10" t="s">
        <v>302</v>
      </c>
      <c r="I1091" s="10" t="s">
        <v>11</v>
      </c>
      <c r="J1091" s="26">
        <v>127.97168000000001</v>
      </c>
      <c r="K1091" s="21"/>
      <c r="L1091" t="e">
        <f>VLOOKUP(A1091,Formulas!A:B,2,FALSE)</f>
        <v>#N/A</v>
      </c>
      <c r="M1091" s="32"/>
    </row>
    <row r="1092" spans="1:13" ht="42.5" customHeight="1">
      <c r="A1092" s="10">
        <v>7889</v>
      </c>
      <c r="B1092" s="11" t="s">
        <v>1166</v>
      </c>
      <c r="C1092" s="10" t="s">
        <v>10</v>
      </c>
      <c r="D1092" s="10" t="s">
        <v>768</v>
      </c>
      <c r="E1092" s="10">
        <v>375</v>
      </c>
      <c r="F1092" s="10" t="s">
        <v>1416</v>
      </c>
      <c r="G1092" s="10" t="s">
        <v>302</v>
      </c>
      <c r="H1092" s="10" t="s">
        <v>302</v>
      </c>
      <c r="I1092" s="10" t="s">
        <v>11</v>
      </c>
      <c r="J1092" s="26">
        <v>127.97168000000001</v>
      </c>
      <c r="K1092" s="21"/>
      <c r="L1092" t="e">
        <f>VLOOKUP(A1092,Formulas!A:B,2,FALSE)</f>
        <v>#N/A</v>
      </c>
      <c r="M1092" s="32"/>
    </row>
    <row r="1093" spans="1:13" ht="42.5" customHeight="1">
      <c r="A1093" s="10">
        <v>7890</v>
      </c>
      <c r="B1093" s="11" t="s">
        <v>1167</v>
      </c>
      <c r="C1093" s="10" t="s">
        <v>10</v>
      </c>
      <c r="D1093" s="10" t="s">
        <v>768</v>
      </c>
      <c r="E1093" s="10">
        <v>375</v>
      </c>
      <c r="F1093" s="10" t="s">
        <v>1416</v>
      </c>
      <c r="G1093" s="10" t="s">
        <v>302</v>
      </c>
      <c r="H1093" s="10" t="s">
        <v>302</v>
      </c>
      <c r="I1093" s="10" t="s">
        <v>11</v>
      </c>
      <c r="J1093" s="26">
        <v>153.56538</v>
      </c>
      <c r="K1093" s="21"/>
      <c r="L1093" t="e">
        <f>VLOOKUP(A1093,Formulas!A:B,2,FALSE)</f>
        <v>#N/A</v>
      </c>
      <c r="M1093" s="32"/>
    </row>
    <row r="1094" spans="1:13" ht="42.5" customHeight="1">
      <c r="A1094" s="10">
        <v>7891</v>
      </c>
      <c r="B1094" s="11" t="s">
        <v>1168</v>
      </c>
      <c r="C1094" s="10" t="s">
        <v>10</v>
      </c>
      <c r="D1094" s="10" t="s">
        <v>988</v>
      </c>
      <c r="E1094" s="10">
        <v>750</v>
      </c>
      <c r="F1094" s="10" t="s">
        <v>1417</v>
      </c>
      <c r="G1094" s="10" t="s">
        <v>95</v>
      </c>
      <c r="H1094" s="10" t="s">
        <v>95</v>
      </c>
      <c r="I1094" s="10" t="s">
        <v>11</v>
      </c>
      <c r="J1094" s="26">
        <v>178.19236000000001</v>
      </c>
      <c r="K1094" s="21"/>
      <c r="L1094" t="e">
        <f>VLOOKUP(A1094,Formulas!A:B,2,FALSE)</f>
        <v>#N/A</v>
      </c>
      <c r="M1094" s="32"/>
    </row>
    <row r="1095" spans="1:13" ht="42.5" customHeight="1">
      <c r="A1095" s="10">
        <v>7892</v>
      </c>
      <c r="B1095" s="11" t="s">
        <v>1169</v>
      </c>
      <c r="C1095" s="10" t="s">
        <v>10</v>
      </c>
      <c r="D1095" s="10" t="s">
        <v>988</v>
      </c>
      <c r="E1095" s="10">
        <v>750</v>
      </c>
      <c r="F1095" s="10" t="s">
        <v>1417</v>
      </c>
      <c r="G1095" s="10" t="s">
        <v>95</v>
      </c>
      <c r="H1095" s="10" t="s">
        <v>95</v>
      </c>
      <c r="I1095" s="10" t="s">
        <v>11</v>
      </c>
      <c r="J1095" s="26">
        <v>178.19236000000001</v>
      </c>
      <c r="K1095" s="21"/>
      <c r="L1095" t="e">
        <f>VLOOKUP(A1095,Formulas!A:B,2,FALSE)</f>
        <v>#N/A</v>
      </c>
      <c r="M1095" s="32"/>
    </row>
    <row r="1096" spans="1:13" ht="42.5" customHeight="1">
      <c r="A1096" s="10">
        <v>7893</v>
      </c>
      <c r="B1096" s="11" t="s">
        <v>1170</v>
      </c>
      <c r="C1096" s="10" t="s">
        <v>10</v>
      </c>
      <c r="D1096" s="10" t="s">
        <v>988</v>
      </c>
      <c r="E1096" s="10">
        <v>750</v>
      </c>
      <c r="F1096" s="10" t="s">
        <v>1417</v>
      </c>
      <c r="G1096" s="10" t="s">
        <v>95</v>
      </c>
      <c r="H1096" s="10" t="s">
        <v>95</v>
      </c>
      <c r="I1096" s="10" t="s">
        <v>11</v>
      </c>
      <c r="J1096" s="26">
        <v>213.83062000000001</v>
      </c>
      <c r="K1096" s="21"/>
      <c r="L1096" t="e">
        <f>VLOOKUP(A1096,Formulas!A:B,2,FALSE)</f>
        <v>#N/A</v>
      </c>
      <c r="M1096" s="32"/>
    </row>
    <row r="1097" spans="1:13" ht="42.5" customHeight="1">
      <c r="A1097" s="10">
        <v>7894</v>
      </c>
      <c r="B1097" s="11" t="s">
        <v>1577</v>
      </c>
      <c r="C1097" s="10" t="s">
        <v>11</v>
      </c>
      <c r="D1097" s="12" t="s">
        <v>11</v>
      </c>
      <c r="E1097" s="10" t="s">
        <v>11</v>
      </c>
      <c r="F1097" s="10" t="s">
        <v>1046</v>
      </c>
      <c r="G1097" s="10" t="s">
        <v>1047</v>
      </c>
      <c r="H1097" s="10" t="s">
        <v>91</v>
      </c>
      <c r="I1097" s="10" t="s">
        <v>11</v>
      </c>
      <c r="J1097" s="13">
        <v>51.993000000000002</v>
      </c>
      <c r="K1097" s="21" t="s">
        <v>1020</v>
      </c>
      <c r="L1097" t="e">
        <f>VLOOKUP(A1097,Formulas!A:B,2,FALSE)</f>
        <v>#N/A</v>
      </c>
      <c r="M1097" s="32"/>
    </row>
    <row r="1098" spans="1:13" ht="42.5" customHeight="1">
      <c r="A1098" s="10">
        <v>7895</v>
      </c>
      <c r="B1098" s="11" t="s">
        <v>1578</v>
      </c>
      <c r="C1098" s="10" t="s">
        <v>11</v>
      </c>
      <c r="D1098" s="12" t="s">
        <v>11</v>
      </c>
      <c r="E1098" s="10" t="s">
        <v>11</v>
      </c>
      <c r="F1098" s="10" t="s">
        <v>1046</v>
      </c>
      <c r="G1098" s="10" t="s">
        <v>1047</v>
      </c>
      <c r="H1098" s="10" t="s">
        <v>1045</v>
      </c>
      <c r="I1098" s="10" t="s">
        <v>11</v>
      </c>
      <c r="J1098" s="13">
        <v>75.535600000000002</v>
      </c>
      <c r="K1098" s="21" t="s">
        <v>1020</v>
      </c>
      <c r="L1098" t="e">
        <f>VLOOKUP(A1098,Formulas!A:B,2,FALSE)</f>
        <v>#N/A</v>
      </c>
      <c r="M1098" s="32"/>
    </row>
    <row r="1099" spans="1:13" ht="42.5" customHeight="1">
      <c r="A1099" s="10">
        <v>7896</v>
      </c>
      <c r="B1099" s="11" t="s">
        <v>1579</v>
      </c>
      <c r="C1099" s="10" t="s">
        <v>11</v>
      </c>
      <c r="D1099" s="12" t="s">
        <v>11</v>
      </c>
      <c r="E1099" s="10" t="s">
        <v>11</v>
      </c>
      <c r="F1099" s="10" t="s">
        <v>1046</v>
      </c>
      <c r="G1099" s="10" t="s">
        <v>1047</v>
      </c>
      <c r="H1099" s="10" t="s">
        <v>91</v>
      </c>
      <c r="I1099" s="10" t="s">
        <v>11</v>
      </c>
      <c r="J1099" s="13">
        <v>80.56</v>
      </c>
      <c r="K1099" s="21" t="s">
        <v>1020</v>
      </c>
      <c r="L1099" t="e">
        <f>VLOOKUP(A1099,Formulas!A:B,2,FALSE)</f>
        <v>#N/A</v>
      </c>
      <c r="M1099" s="32"/>
    </row>
    <row r="1100" spans="1:13" ht="42.5" customHeight="1">
      <c r="A1100" s="10">
        <v>7897</v>
      </c>
      <c r="B1100" s="11" t="s">
        <v>1580</v>
      </c>
      <c r="C1100" s="10" t="s">
        <v>11</v>
      </c>
      <c r="D1100" s="12" t="s">
        <v>11</v>
      </c>
      <c r="E1100" s="10" t="s">
        <v>11</v>
      </c>
      <c r="F1100" s="10" t="s">
        <v>1046</v>
      </c>
      <c r="G1100" s="10" t="s">
        <v>1047</v>
      </c>
      <c r="H1100" s="10" t="s">
        <v>1045</v>
      </c>
      <c r="I1100" s="10" t="s">
        <v>11</v>
      </c>
      <c r="J1100" s="13">
        <v>118.74120000000001</v>
      </c>
      <c r="K1100" s="21" t="s">
        <v>1020</v>
      </c>
      <c r="L1100" t="e">
        <f>VLOOKUP(A1100,Formulas!A:B,2,FALSE)</f>
        <v>#N/A</v>
      </c>
      <c r="M1100" s="32"/>
    </row>
    <row r="1101" spans="1:13" ht="42.5" customHeight="1">
      <c r="A1101" s="10">
        <v>7902</v>
      </c>
      <c r="B1101" s="11" t="s">
        <v>1581</v>
      </c>
      <c r="C1101" s="10" t="s">
        <v>10</v>
      </c>
      <c r="D1101" s="12" t="s">
        <v>780</v>
      </c>
      <c r="E1101" s="10">
        <v>140</v>
      </c>
      <c r="F1101" s="10" t="s">
        <v>1490</v>
      </c>
      <c r="G1101" s="10" t="s">
        <v>1491</v>
      </c>
      <c r="H1101" s="10" t="s">
        <v>1491</v>
      </c>
      <c r="I1101" s="10" t="s">
        <v>11</v>
      </c>
      <c r="J1101" s="13">
        <v>94.34</v>
      </c>
      <c r="K1101" s="21" t="s">
        <v>1020</v>
      </c>
      <c r="L1101" t="e">
        <f>VLOOKUP(A1101,Formulas!A:B,2,FALSE)</f>
        <v>#N/A</v>
      </c>
      <c r="M1101" s="32"/>
    </row>
    <row r="1102" spans="1:13" ht="42.5" customHeight="1">
      <c r="A1102" s="10">
        <v>7903</v>
      </c>
      <c r="B1102" s="11" t="s">
        <v>1563</v>
      </c>
      <c r="C1102" s="10" t="s">
        <v>10</v>
      </c>
      <c r="D1102" s="12" t="s">
        <v>780</v>
      </c>
      <c r="E1102" s="10">
        <v>150</v>
      </c>
      <c r="F1102" s="10" t="s">
        <v>13</v>
      </c>
      <c r="G1102" s="10" t="s">
        <v>226</v>
      </c>
      <c r="H1102" s="10" t="s">
        <v>226</v>
      </c>
      <c r="I1102" s="10" t="s">
        <v>91</v>
      </c>
      <c r="J1102" s="13">
        <v>118.18364000000001</v>
      </c>
      <c r="K1102" s="21"/>
      <c r="L1102" t="e">
        <f>VLOOKUP(A1102,Formulas!A:B,2,FALSE)</f>
        <v>#N/A</v>
      </c>
      <c r="M1102" s="32"/>
    </row>
    <row r="1103" spans="1:13" ht="42.5" customHeight="1">
      <c r="A1103" s="10">
        <v>7904</v>
      </c>
      <c r="B1103" s="11" t="s">
        <v>1221</v>
      </c>
      <c r="C1103" s="10" t="s">
        <v>10</v>
      </c>
      <c r="D1103" s="12" t="s">
        <v>768</v>
      </c>
      <c r="E1103" s="10">
        <v>375</v>
      </c>
      <c r="F1103" s="10" t="s">
        <v>1441</v>
      </c>
      <c r="G1103" s="10" t="s">
        <v>1442</v>
      </c>
      <c r="H1103" s="10" t="s">
        <v>1442</v>
      </c>
      <c r="I1103" s="10" t="s">
        <v>11</v>
      </c>
      <c r="J1103" s="26">
        <v>230.47580000000002</v>
      </c>
      <c r="K1103" s="21"/>
      <c r="L1103" t="e">
        <f>VLOOKUP(A1103,Formulas!A:B,2,FALSE)</f>
        <v>#N/A</v>
      </c>
      <c r="M1103" s="32"/>
    </row>
    <row r="1104" spans="1:13" ht="42.5" customHeight="1">
      <c r="A1104" s="10">
        <v>7905</v>
      </c>
      <c r="B1104" s="11" t="s">
        <v>1222</v>
      </c>
      <c r="C1104" s="10" t="s">
        <v>10</v>
      </c>
      <c r="D1104" s="12" t="s">
        <v>768</v>
      </c>
      <c r="E1104" s="10">
        <v>375</v>
      </c>
      <c r="F1104" s="10" t="s">
        <v>1441</v>
      </c>
      <c r="G1104" s="10" t="s">
        <v>1442</v>
      </c>
      <c r="H1104" s="10" t="s">
        <v>1442</v>
      </c>
      <c r="I1104" s="10" t="s">
        <v>11</v>
      </c>
      <c r="J1104" s="26">
        <v>230.48004</v>
      </c>
      <c r="K1104" s="21"/>
      <c r="L1104" t="e">
        <f>VLOOKUP(A1104,Formulas!A:B,2,FALSE)</f>
        <v>#N/A</v>
      </c>
      <c r="M1104" s="32"/>
    </row>
    <row r="1105" spans="1:13" ht="42.5" customHeight="1">
      <c r="A1105" s="10">
        <v>7906</v>
      </c>
      <c r="B1105" s="11" t="s">
        <v>1223</v>
      </c>
      <c r="C1105" s="10" t="s">
        <v>10</v>
      </c>
      <c r="D1105" s="12" t="s">
        <v>768</v>
      </c>
      <c r="E1105" s="10">
        <v>375</v>
      </c>
      <c r="F1105" s="10" t="s">
        <v>1441</v>
      </c>
      <c r="G1105" s="10" t="s">
        <v>1442</v>
      </c>
      <c r="H1105" s="10" t="s">
        <v>1442</v>
      </c>
      <c r="I1105" s="10" t="s">
        <v>11</v>
      </c>
      <c r="J1105" s="26">
        <v>230.48004</v>
      </c>
      <c r="K1105" s="21"/>
      <c r="L1105" t="e">
        <f>VLOOKUP(A1105,Formulas!A:B,2,FALSE)</f>
        <v>#N/A</v>
      </c>
      <c r="M1105" s="32"/>
    </row>
    <row r="1106" spans="1:13" ht="42.5" customHeight="1">
      <c r="A1106" s="10">
        <v>7927</v>
      </c>
      <c r="B1106" s="11" t="s">
        <v>1224</v>
      </c>
      <c r="C1106" s="10" t="s">
        <v>10</v>
      </c>
      <c r="D1106" s="12" t="s">
        <v>768</v>
      </c>
      <c r="E1106" s="10">
        <v>375</v>
      </c>
      <c r="F1106" s="10" t="s">
        <v>1441</v>
      </c>
      <c r="G1106" s="10" t="s">
        <v>1442</v>
      </c>
      <c r="H1106" s="10" t="s">
        <v>1442</v>
      </c>
      <c r="I1106" s="10" t="s">
        <v>11</v>
      </c>
      <c r="J1106" s="26">
        <v>276.57604800000001</v>
      </c>
      <c r="K1106" s="21"/>
      <c r="L1106" t="e">
        <f>VLOOKUP(A1106,Formulas!A:B,2,FALSE)</f>
        <v>#N/A</v>
      </c>
      <c r="M1106" s="32"/>
    </row>
    <row r="1107" spans="1:13" ht="42.5" customHeight="1">
      <c r="A1107" s="10">
        <v>7928</v>
      </c>
      <c r="B1107" s="11" t="s">
        <v>1225</v>
      </c>
      <c r="C1107" s="10" t="s">
        <v>10</v>
      </c>
      <c r="D1107" s="12" t="s">
        <v>768</v>
      </c>
      <c r="E1107" s="10">
        <v>375</v>
      </c>
      <c r="F1107" s="10" t="s">
        <v>1441</v>
      </c>
      <c r="G1107" s="10" t="s">
        <v>1442</v>
      </c>
      <c r="H1107" s="10" t="s">
        <v>1442</v>
      </c>
      <c r="I1107" s="10" t="s">
        <v>11</v>
      </c>
      <c r="J1107" s="26">
        <v>230.48004</v>
      </c>
      <c r="K1107" s="21"/>
      <c r="L1107" t="e">
        <f>VLOOKUP(A1107,Formulas!A:B,2,FALSE)</f>
        <v>#N/A</v>
      </c>
      <c r="M1107" s="32"/>
    </row>
    <row r="1108" spans="1:13" ht="42.5" customHeight="1">
      <c r="A1108" s="10">
        <v>7929</v>
      </c>
      <c r="B1108" s="11" t="s">
        <v>1226</v>
      </c>
      <c r="C1108" s="10" t="s">
        <v>10</v>
      </c>
      <c r="D1108" s="12" t="s">
        <v>768</v>
      </c>
      <c r="E1108" s="10">
        <v>375</v>
      </c>
      <c r="F1108" s="10" t="s">
        <v>1441</v>
      </c>
      <c r="G1108" s="10" t="s">
        <v>1442</v>
      </c>
      <c r="H1108" s="10" t="s">
        <v>1442</v>
      </c>
      <c r="I1108" s="10" t="s">
        <v>11</v>
      </c>
      <c r="J1108" s="26">
        <v>230.48004</v>
      </c>
      <c r="K1108" s="21"/>
      <c r="L1108" t="e">
        <f>VLOOKUP(A1108,Formulas!A:B,2,FALSE)</f>
        <v>#N/A</v>
      </c>
      <c r="M1108" s="32"/>
    </row>
    <row r="1109" spans="1:13" ht="42.5" customHeight="1">
      <c r="A1109" s="10">
        <v>7930</v>
      </c>
      <c r="B1109" s="11" t="s">
        <v>1227</v>
      </c>
      <c r="C1109" s="10" t="s">
        <v>10</v>
      </c>
      <c r="D1109" s="12" t="s">
        <v>768</v>
      </c>
      <c r="E1109" s="10">
        <v>375</v>
      </c>
      <c r="F1109" s="10" t="s">
        <v>1441</v>
      </c>
      <c r="G1109" s="10" t="s">
        <v>1442</v>
      </c>
      <c r="H1109" s="10" t="s">
        <v>1442</v>
      </c>
      <c r="I1109" s="10" t="s">
        <v>11</v>
      </c>
      <c r="J1109" s="26">
        <v>230.48004</v>
      </c>
      <c r="K1109" s="21"/>
      <c r="L1109" t="e">
        <f>VLOOKUP(A1109,Formulas!A:B,2,FALSE)</f>
        <v>#N/A</v>
      </c>
      <c r="M1109" s="32"/>
    </row>
    <row r="1110" spans="1:13" ht="42.5" customHeight="1">
      <c r="A1110" s="10">
        <v>7931</v>
      </c>
      <c r="B1110" s="11" t="s">
        <v>1228</v>
      </c>
      <c r="C1110" s="10" t="s">
        <v>10</v>
      </c>
      <c r="D1110" s="12" t="s">
        <v>768</v>
      </c>
      <c r="E1110" s="10">
        <v>375</v>
      </c>
      <c r="F1110" s="10" t="s">
        <v>1441</v>
      </c>
      <c r="G1110" s="10" t="s">
        <v>1442</v>
      </c>
      <c r="H1110" s="10" t="s">
        <v>1442</v>
      </c>
      <c r="I1110" s="10" t="s">
        <v>11</v>
      </c>
      <c r="J1110" s="26">
        <v>276.57604800000001</v>
      </c>
      <c r="K1110" s="21"/>
      <c r="L1110" t="e">
        <f>VLOOKUP(A1110,Formulas!A:B,2,FALSE)</f>
        <v>#N/A</v>
      </c>
      <c r="M1110" s="32"/>
    </row>
    <row r="1111" spans="1:13" ht="42.5" hidden="1" customHeight="1">
      <c r="A1111" s="10">
        <v>7932</v>
      </c>
      <c r="B1111" s="11" t="s">
        <v>1229</v>
      </c>
      <c r="C1111" s="10" t="s">
        <v>10</v>
      </c>
      <c r="D1111" s="12" t="s">
        <v>768</v>
      </c>
      <c r="E1111" s="10">
        <v>375</v>
      </c>
      <c r="F1111" s="10" t="s">
        <v>1443</v>
      </c>
      <c r="G1111" s="10" t="s">
        <v>1442</v>
      </c>
      <c r="H1111" s="10" t="s">
        <v>1442</v>
      </c>
      <c r="I1111" s="10" t="s">
        <v>91</v>
      </c>
      <c r="J1111" s="26">
        <v>211.19651999999999</v>
      </c>
      <c r="K1111" s="21"/>
      <c r="L1111" t="str">
        <f>VLOOKUP(A1111,Formulas!A:B,2,FALSE)</f>
        <v>179286</v>
      </c>
      <c r="M1111" s="32"/>
    </row>
    <row r="1112" spans="1:13" ht="41.5" customHeight="1">
      <c r="A1112" s="10">
        <v>7933</v>
      </c>
      <c r="B1112" s="11" t="s">
        <v>1230</v>
      </c>
      <c r="C1112" s="10" t="s">
        <v>10</v>
      </c>
      <c r="D1112" s="12" t="s">
        <v>768</v>
      </c>
      <c r="E1112" s="10">
        <v>375</v>
      </c>
      <c r="F1112" s="10" t="s">
        <v>1443</v>
      </c>
      <c r="G1112" s="10" t="s">
        <v>1442</v>
      </c>
      <c r="H1112" s="10" t="s">
        <v>1442</v>
      </c>
      <c r="I1112" s="10" t="s">
        <v>91</v>
      </c>
      <c r="J1112" s="26">
        <v>211.19651999999999</v>
      </c>
      <c r="K1112" s="21"/>
      <c r="L1112" t="e">
        <f>VLOOKUP(A1112,Formulas!A:B,2,FALSE)</f>
        <v>#N/A</v>
      </c>
      <c r="M1112" s="32"/>
    </row>
    <row r="1113" spans="1:13" ht="41.5" customHeight="1">
      <c r="A1113" s="10">
        <v>7934</v>
      </c>
      <c r="B1113" s="11" t="s">
        <v>1231</v>
      </c>
      <c r="C1113" s="10" t="s">
        <v>10</v>
      </c>
      <c r="D1113" s="12" t="s">
        <v>768</v>
      </c>
      <c r="E1113" s="10">
        <v>375</v>
      </c>
      <c r="F1113" s="10" t="s">
        <v>1443</v>
      </c>
      <c r="G1113" s="10" t="s">
        <v>1442</v>
      </c>
      <c r="H1113" s="10" t="s">
        <v>1442</v>
      </c>
      <c r="I1113" s="10" t="s">
        <v>91</v>
      </c>
      <c r="J1113" s="26">
        <v>253.435824</v>
      </c>
      <c r="K1113" s="21"/>
      <c r="L1113" t="e">
        <f>VLOOKUP(A1113,Formulas!A:B,2,FALSE)</f>
        <v>#N/A</v>
      </c>
      <c r="M1113" s="32"/>
    </row>
    <row r="1114" spans="1:13" ht="41.5" customHeight="1">
      <c r="A1114" s="10">
        <v>7935</v>
      </c>
      <c r="B1114" s="11" t="s">
        <v>1232</v>
      </c>
      <c r="C1114" s="10" t="s">
        <v>10</v>
      </c>
      <c r="D1114" s="12" t="s">
        <v>768</v>
      </c>
      <c r="E1114" s="10">
        <v>375</v>
      </c>
      <c r="F1114" s="10" t="s">
        <v>1443</v>
      </c>
      <c r="G1114" s="10" t="s">
        <v>1442</v>
      </c>
      <c r="H1114" s="10" t="s">
        <v>1442</v>
      </c>
      <c r="I1114" s="10" t="s">
        <v>91</v>
      </c>
      <c r="J1114" s="26">
        <v>211.19651999999999</v>
      </c>
      <c r="K1114" s="21"/>
      <c r="L1114" t="e">
        <f>VLOOKUP(A1114,Formulas!A:B,2,FALSE)</f>
        <v>#N/A</v>
      </c>
      <c r="M1114" s="32"/>
    </row>
    <row r="1115" spans="1:13" s="9" customFormat="1" ht="41.5" customHeight="1">
      <c r="A1115" s="10">
        <v>7936</v>
      </c>
      <c r="B1115" s="11" t="s">
        <v>1233</v>
      </c>
      <c r="C1115" s="10" t="s">
        <v>10</v>
      </c>
      <c r="D1115" s="12" t="s">
        <v>768</v>
      </c>
      <c r="E1115" s="10">
        <v>375</v>
      </c>
      <c r="F1115" s="10" t="s">
        <v>1443</v>
      </c>
      <c r="G1115" s="10" t="s">
        <v>1442</v>
      </c>
      <c r="H1115" s="10" t="s">
        <v>1442</v>
      </c>
      <c r="I1115" s="10" t="s">
        <v>91</v>
      </c>
      <c r="J1115" s="26">
        <v>211.19651999999999</v>
      </c>
      <c r="K1115" s="21"/>
      <c r="L1115" t="e">
        <f>VLOOKUP(A1115,Formulas!A:B,2,FALSE)</f>
        <v>#N/A</v>
      </c>
      <c r="M1115" s="32"/>
    </row>
    <row r="1116" spans="1:13" ht="41.5" customHeight="1">
      <c r="A1116" s="10">
        <v>7937</v>
      </c>
      <c r="B1116" s="11" t="s">
        <v>1234</v>
      </c>
      <c r="C1116" s="10" t="s">
        <v>10</v>
      </c>
      <c r="D1116" s="12" t="s">
        <v>768</v>
      </c>
      <c r="E1116" s="10">
        <v>375</v>
      </c>
      <c r="F1116" s="10" t="s">
        <v>1443</v>
      </c>
      <c r="G1116" s="10" t="s">
        <v>1442</v>
      </c>
      <c r="H1116" s="10" t="s">
        <v>1442</v>
      </c>
      <c r="I1116" s="10" t="s">
        <v>91</v>
      </c>
      <c r="J1116" s="26">
        <v>253.435824</v>
      </c>
      <c r="K1116" s="21"/>
      <c r="L1116" t="e">
        <f>VLOOKUP(A1116,Formulas!A:B,2,FALSE)</f>
        <v>#N/A</v>
      </c>
      <c r="M1116" s="32"/>
    </row>
    <row r="1117" spans="1:13" ht="41.5" customHeight="1">
      <c r="A1117" s="10">
        <v>7938</v>
      </c>
      <c r="B1117" s="11" t="s">
        <v>1235</v>
      </c>
      <c r="C1117" s="10" t="s">
        <v>10</v>
      </c>
      <c r="D1117" s="12" t="s">
        <v>768</v>
      </c>
      <c r="E1117" s="10">
        <v>375</v>
      </c>
      <c r="F1117" s="10" t="s">
        <v>1444</v>
      </c>
      <c r="G1117" s="10" t="s">
        <v>1442</v>
      </c>
      <c r="H1117" s="10" t="s">
        <v>1442</v>
      </c>
      <c r="I1117" s="10" t="s">
        <v>11</v>
      </c>
      <c r="J1117" s="26">
        <v>159.77910000000003</v>
      </c>
      <c r="K1117" s="21"/>
      <c r="L1117" t="e">
        <f>VLOOKUP(A1117,Formulas!A:B,2,FALSE)</f>
        <v>#N/A</v>
      </c>
      <c r="M1117" s="32"/>
    </row>
    <row r="1118" spans="1:13" ht="41.5" customHeight="1">
      <c r="A1118" s="10">
        <v>7939</v>
      </c>
      <c r="B1118" s="11" t="s">
        <v>1236</v>
      </c>
      <c r="C1118" s="10" t="s">
        <v>10</v>
      </c>
      <c r="D1118" s="12" t="s">
        <v>768</v>
      </c>
      <c r="E1118" s="10">
        <v>375</v>
      </c>
      <c r="F1118" s="10" t="s">
        <v>1444</v>
      </c>
      <c r="G1118" s="10" t="s">
        <v>1442</v>
      </c>
      <c r="H1118" s="10" t="s">
        <v>1442</v>
      </c>
      <c r="I1118" s="10" t="s">
        <v>11</v>
      </c>
      <c r="J1118" s="26">
        <v>159.77910000000003</v>
      </c>
      <c r="K1118" s="21"/>
      <c r="L1118" t="e">
        <f>VLOOKUP(A1118,Formulas!A:B,2,FALSE)</f>
        <v>#N/A</v>
      </c>
      <c r="M1118" s="32"/>
    </row>
    <row r="1119" spans="1:13" ht="41.5" customHeight="1">
      <c r="A1119" s="10">
        <v>7940</v>
      </c>
      <c r="B1119" s="11" t="s">
        <v>1237</v>
      </c>
      <c r="C1119" s="10" t="s">
        <v>10</v>
      </c>
      <c r="D1119" s="12" t="s">
        <v>768</v>
      </c>
      <c r="E1119" s="10">
        <v>375</v>
      </c>
      <c r="F1119" s="10" t="s">
        <v>1444</v>
      </c>
      <c r="G1119" s="10" t="s">
        <v>1442</v>
      </c>
      <c r="H1119" s="10" t="s">
        <v>1442</v>
      </c>
      <c r="I1119" s="10" t="s">
        <v>11</v>
      </c>
      <c r="J1119" s="26">
        <v>191.73492000000002</v>
      </c>
      <c r="K1119" s="21"/>
      <c r="L1119" t="e">
        <f>VLOOKUP(A1119,Formulas!A:B,2,FALSE)</f>
        <v>#N/A</v>
      </c>
      <c r="M1119" s="32"/>
    </row>
    <row r="1120" spans="1:13" ht="41.5" customHeight="1">
      <c r="A1120" s="10">
        <v>7941</v>
      </c>
      <c r="B1120" s="11" t="s">
        <v>1238</v>
      </c>
      <c r="C1120" s="10" t="s">
        <v>10</v>
      </c>
      <c r="D1120" s="12" t="s">
        <v>768</v>
      </c>
      <c r="E1120" s="10">
        <v>375</v>
      </c>
      <c r="F1120" s="10" t="s">
        <v>1444</v>
      </c>
      <c r="G1120" s="10" t="s">
        <v>1442</v>
      </c>
      <c r="H1120" s="10" t="s">
        <v>1442</v>
      </c>
      <c r="I1120" s="10" t="s">
        <v>11</v>
      </c>
      <c r="J1120" s="26">
        <v>159.77910000000003</v>
      </c>
      <c r="K1120" s="21"/>
      <c r="L1120" t="e">
        <f>VLOOKUP(A1120,Formulas!A:B,2,FALSE)</f>
        <v>#N/A</v>
      </c>
      <c r="M1120" s="32"/>
    </row>
    <row r="1121" spans="1:13" ht="41.5" customHeight="1">
      <c r="A1121" s="10">
        <v>7942</v>
      </c>
      <c r="B1121" s="11" t="s">
        <v>1239</v>
      </c>
      <c r="C1121" s="10" t="s">
        <v>10</v>
      </c>
      <c r="D1121" s="12" t="s">
        <v>768</v>
      </c>
      <c r="E1121" s="10">
        <v>375</v>
      </c>
      <c r="F1121" s="10" t="s">
        <v>1444</v>
      </c>
      <c r="G1121" s="10" t="s">
        <v>1442</v>
      </c>
      <c r="H1121" s="10" t="s">
        <v>1442</v>
      </c>
      <c r="I1121" s="10" t="s">
        <v>11</v>
      </c>
      <c r="J1121" s="26">
        <v>159.77910000000003</v>
      </c>
      <c r="K1121" s="21"/>
      <c r="L1121" t="e">
        <f>VLOOKUP(A1121,Formulas!A:B,2,FALSE)</f>
        <v>#N/A</v>
      </c>
      <c r="M1121" s="32"/>
    </row>
    <row r="1122" spans="1:13" ht="41.5" customHeight="1">
      <c r="A1122" s="10">
        <v>7943</v>
      </c>
      <c r="B1122" s="11" t="s">
        <v>1240</v>
      </c>
      <c r="C1122" s="10" t="s">
        <v>10</v>
      </c>
      <c r="D1122" s="12" t="s">
        <v>768</v>
      </c>
      <c r="E1122" s="10">
        <v>375</v>
      </c>
      <c r="F1122" s="10" t="s">
        <v>1444</v>
      </c>
      <c r="G1122" s="10" t="s">
        <v>1442</v>
      </c>
      <c r="H1122" s="10" t="s">
        <v>1442</v>
      </c>
      <c r="I1122" s="10" t="s">
        <v>11</v>
      </c>
      <c r="J1122" s="26">
        <v>191.73492000000002</v>
      </c>
      <c r="K1122" s="21"/>
      <c r="L1122" t="e">
        <f>VLOOKUP(A1122,Formulas!A:B,2,FALSE)</f>
        <v>#N/A</v>
      </c>
      <c r="M1122" s="32"/>
    </row>
    <row r="1123" spans="1:13" ht="41.5" customHeight="1">
      <c r="A1123" s="10">
        <v>7944</v>
      </c>
      <c r="B1123" s="11" t="s">
        <v>1241</v>
      </c>
      <c r="C1123" s="10" t="s">
        <v>10</v>
      </c>
      <c r="D1123" s="12" t="s">
        <v>768</v>
      </c>
      <c r="E1123" s="10">
        <v>375</v>
      </c>
      <c r="F1123" s="10" t="s">
        <v>1445</v>
      </c>
      <c r="G1123" s="10" t="s">
        <v>1446</v>
      </c>
      <c r="H1123" s="10" t="s">
        <v>1446</v>
      </c>
      <c r="I1123" s="10" t="s">
        <v>91</v>
      </c>
      <c r="J1123" s="26">
        <v>178.93860000000001</v>
      </c>
      <c r="K1123" s="21"/>
      <c r="L1123" t="e">
        <f>VLOOKUP(A1123,Formulas!A:B,2,FALSE)</f>
        <v>#N/A</v>
      </c>
      <c r="M1123" s="32"/>
    </row>
    <row r="1124" spans="1:13" ht="41.5" customHeight="1">
      <c r="A1124" s="10">
        <v>7945</v>
      </c>
      <c r="B1124" s="11" t="s">
        <v>1242</v>
      </c>
      <c r="C1124" s="10" t="s">
        <v>10</v>
      </c>
      <c r="D1124" s="12" t="s">
        <v>768</v>
      </c>
      <c r="E1124" s="10">
        <v>375</v>
      </c>
      <c r="F1124" s="10" t="s">
        <v>1445</v>
      </c>
      <c r="G1124" s="10" t="s">
        <v>1446</v>
      </c>
      <c r="H1124" s="10" t="s">
        <v>1446</v>
      </c>
      <c r="I1124" s="10" t="s">
        <v>91</v>
      </c>
      <c r="J1124" s="26">
        <v>214.72632000000002</v>
      </c>
      <c r="K1124" s="21"/>
      <c r="L1124" t="e">
        <f>VLOOKUP(A1124,Formulas!A:B,2,FALSE)</f>
        <v>#N/A</v>
      </c>
      <c r="M1124" s="32"/>
    </row>
    <row r="1125" spans="1:13" ht="41.5" hidden="1" customHeight="1">
      <c r="A1125" s="10">
        <v>7946</v>
      </c>
      <c r="B1125" s="11" t="s">
        <v>1243</v>
      </c>
      <c r="C1125" s="10" t="s">
        <v>10</v>
      </c>
      <c r="D1125" s="12" t="s">
        <v>768</v>
      </c>
      <c r="E1125" s="10">
        <v>375</v>
      </c>
      <c r="F1125" s="10" t="s">
        <v>1445</v>
      </c>
      <c r="G1125" s="10" t="s">
        <v>1446</v>
      </c>
      <c r="H1125" s="10" t="s">
        <v>1446</v>
      </c>
      <c r="I1125" s="10" t="s">
        <v>91</v>
      </c>
      <c r="J1125" s="26">
        <v>214.72632000000002</v>
      </c>
      <c r="K1125" s="21"/>
      <c r="L1125" t="str">
        <f>VLOOKUP(A1125,Formulas!A:B,2,FALSE)</f>
        <v>178607</v>
      </c>
      <c r="M1125" s="32"/>
    </row>
    <row r="1126" spans="1:13" ht="41.5" customHeight="1">
      <c r="A1126" s="10">
        <v>7947</v>
      </c>
      <c r="B1126" s="11" t="s">
        <v>1244</v>
      </c>
      <c r="C1126" s="10" t="s">
        <v>10</v>
      </c>
      <c r="D1126" s="12" t="s">
        <v>768</v>
      </c>
      <c r="E1126" s="10">
        <v>375</v>
      </c>
      <c r="F1126" s="10" t="s">
        <v>1445</v>
      </c>
      <c r="G1126" s="10" t="s">
        <v>1446</v>
      </c>
      <c r="H1126" s="10" t="s">
        <v>1446</v>
      </c>
      <c r="I1126" s="10" t="s">
        <v>91</v>
      </c>
      <c r="J1126" s="26">
        <v>178.93860000000001</v>
      </c>
      <c r="K1126" s="21"/>
      <c r="L1126" t="e">
        <f>VLOOKUP(A1126,Formulas!A:B,2,FALSE)</f>
        <v>#N/A</v>
      </c>
      <c r="M1126" s="32"/>
    </row>
    <row r="1127" spans="1:13" ht="41.5" customHeight="1">
      <c r="A1127" s="10">
        <v>7948</v>
      </c>
      <c r="B1127" s="11" t="s">
        <v>1245</v>
      </c>
      <c r="C1127" s="10" t="s">
        <v>10</v>
      </c>
      <c r="D1127" s="12" t="s">
        <v>768</v>
      </c>
      <c r="E1127" s="10">
        <v>375</v>
      </c>
      <c r="F1127" s="10" t="s">
        <v>1445</v>
      </c>
      <c r="G1127" s="10" t="s">
        <v>1446</v>
      </c>
      <c r="H1127" s="10" t="s">
        <v>1446</v>
      </c>
      <c r="I1127" s="10" t="s">
        <v>91</v>
      </c>
      <c r="J1127" s="26">
        <v>214.72632000000002</v>
      </c>
      <c r="K1127" s="21"/>
      <c r="L1127" t="e">
        <f>VLOOKUP(A1127,Formulas!A:B,2,FALSE)</f>
        <v>#N/A</v>
      </c>
      <c r="M1127" s="32"/>
    </row>
    <row r="1128" spans="1:13" ht="41.5" customHeight="1">
      <c r="A1128" s="10">
        <v>7949</v>
      </c>
      <c r="B1128" s="11" t="s">
        <v>1246</v>
      </c>
      <c r="C1128" s="10" t="s">
        <v>10</v>
      </c>
      <c r="D1128" s="12" t="s">
        <v>768</v>
      </c>
      <c r="E1128" s="10">
        <v>375</v>
      </c>
      <c r="F1128" s="10" t="s">
        <v>1445</v>
      </c>
      <c r="G1128" s="10" t="s">
        <v>1446</v>
      </c>
      <c r="H1128" s="10" t="s">
        <v>1446</v>
      </c>
      <c r="I1128" s="10" t="s">
        <v>91</v>
      </c>
      <c r="J1128" s="26">
        <v>214.72632000000002</v>
      </c>
      <c r="K1128" s="21"/>
      <c r="L1128" t="e">
        <f>VLOOKUP(A1128,Formulas!A:B,2,FALSE)</f>
        <v>#N/A</v>
      </c>
      <c r="M1128" s="32"/>
    </row>
    <row r="1129" spans="1:13" ht="41.5" customHeight="1">
      <c r="A1129" s="10">
        <v>7950</v>
      </c>
      <c r="B1129" s="11" t="s">
        <v>1350</v>
      </c>
      <c r="C1129" s="10" t="s">
        <v>10</v>
      </c>
      <c r="D1129" s="12" t="s">
        <v>1472</v>
      </c>
      <c r="E1129" s="10">
        <v>2175</v>
      </c>
      <c r="F1129" s="10" t="s">
        <v>1469</v>
      </c>
      <c r="G1129" s="10" t="s">
        <v>1470</v>
      </c>
      <c r="H1129" s="10" t="s">
        <v>1470</v>
      </c>
      <c r="I1129" s="10" t="s">
        <v>11</v>
      </c>
      <c r="J1129" s="26">
        <v>273.21075999999999</v>
      </c>
      <c r="K1129" s="21"/>
      <c r="L1129" t="e">
        <f>VLOOKUP(A1129,Formulas!A:B,2,FALSE)</f>
        <v>#N/A</v>
      </c>
      <c r="M1129" s="32"/>
    </row>
    <row r="1130" spans="1:13" ht="41.5" customHeight="1">
      <c r="A1130" s="10">
        <v>7951</v>
      </c>
      <c r="B1130" s="11" t="s">
        <v>1351</v>
      </c>
      <c r="C1130" s="10" t="s">
        <v>10</v>
      </c>
      <c r="D1130" s="12" t="s">
        <v>1472</v>
      </c>
      <c r="E1130" s="10">
        <v>2175</v>
      </c>
      <c r="F1130" s="10" t="s">
        <v>1469</v>
      </c>
      <c r="G1130" s="10" t="s">
        <v>1470</v>
      </c>
      <c r="H1130" s="10" t="s">
        <v>1470</v>
      </c>
      <c r="I1130" s="10" t="s">
        <v>11</v>
      </c>
      <c r="J1130" s="26">
        <v>273.21075999999999</v>
      </c>
      <c r="K1130" s="21"/>
      <c r="L1130" t="e">
        <f>VLOOKUP(A1130,Formulas!A:B,2,FALSE)</f>
        <v>#N/A</v>
      </c>
      <c r="M1130" s="32"/>
    </row>
    <row r="1131" spans="1:13" ht="41.5" customHeight="1">
      <c r="A1131" s="10">
        <v>7952</v>
      </c>
      <c r="B1131" s="11" t="s">
        <v>1352</v>
      </c>
      <c r="C1131" s="10" t="s">
        <v>10</v>
      </c>
      <c r="D1131" s="12" t="s">
        <v>1472</v>
      </c>
      <c r="E1131" s="10">
        <v>2175</v>
      </c>
      <c r="F1131" s="10" t="s">
        <v>1469</v>
      </c>
      <c r="G1131" s="10" t="s">
        <v>1470</v>
      </c>
      <c r="H1131" s="10" t="s">
        <v>1470</v>
      </c>
      <c r="I1131" s="10" t="s">
        <v>11</v>
      </c>
      <c r="J1131" s="26">
        <v>327.85270000000003</v>
      </c>
      <c r="K1131" s="21"/>
      <c r="L1131" t="e">
        <f>VLOOKUP(A1131,Formulas!A:B,2,FALSE)</f>
        <v>#N/A</v>
      </c>
      <c r="M1131" s="32"/>
    </row>
    <row r="1132" spans="1:13" ht="41.5" customHeight="1">
      <c r="A1132" s="10">
        <v>7953</v>
      </c>
      <c r="B1132" s="11" t="s">
        <v>1353</v>
      </c>
      <c r="C1132" s="10" t="s">
        <v>10</v>
      </c>
      <c r="D1132" s="12" t="s">
        <v>1472</v>
      </c>
      <c r="E1132" s="10">
        <v>2175</v>
      </c>
      <c r="F1132" s="10" t="s">
        <v>1469</v>
      </c>
      <c r="G1132" s="10" t="s">
        <v>1470</v>
      </c>
      <c r="H1132" s="10" t="s">
        <v>1470</v>
      </c>
      <c r="I1132" s="10" t="s">
        <v>11</v>
      </c>
      <c r="J1132" s="26">
        <v>273.21075999999999</v>
      </c>
      <c r="K1132" s="21"/>
      <c r="L1132" t="e">
        <f>VLOOKUP(A1132,Formulas!A:B,2,FALSE)</f>
        <v>#N/A</v>
      </c>
      <c r="M1132" s="32"/>
    </row>
    <row r="1133" spans="1:13" ht="41.5" customHeight="1">
      <c r="A1133" s="10">
        <v>7954</v>
      </c>
      <c r="B1133" s="11" t="s">
        <v>1081</v>
      </c>
      <c r="C1133" s="10" t="s">
        <v>511</v>
      </c>
      <c r="D1133" s="12" t="s">
        <v>11</v>
      </c>
      <c r="E1133" s="12" t="s">
        <v>11</v>
      </c>
      <c r="F1133" s="10" t="s">
        <v>226</v>
      </c>
      <c r="G1133" s="10" t="s">
        <v>403</v>
      </c>
      <c r="H1133" s="10" t="s">
        <v>403</v>
      </c>
      <c r="I1133" s="10" t="s">
        <v>11</v>
      </c>
      <c r="J1133" s="13">
        <v>37.1</v>
      </c>
      <c r="K1133" s="21" t="s">
        <v>1020</v>
      </c>
      <c r="L1133" t="e">
        <f>VLOOKUP(A1133,Formulas!A:B,2,FALSE)</f>
        <v>#N/A</v>
      </c>
      <c r="M1133" s="32"/>
    </row>
    <row r="1134" spans="1:13" ht="41.5" customHeight="1">
      <c r="A1134" s="10">
        <v>7955</v>
      </c>
      <c r="B1134" s="11" t="s">
        <v>1082</v>
      </c>
      <c r="C1134" s="10" t="s">
        <v>1053</v>
      </c>
      <c r="D1134" s="12" t="s">
        <v>11</v>
      </c>
      <c r="E1134" s="12" t="s">
        <v>11</v>
      </c>
      <c r="F1134" s="10" t="s">
        <v>226</v>
      </c>
      <c r="G1134" s="10" t="s">
        <v>403</v>
      </c>
      <c r="H1134" s="10" t="s">
        <v>403</v>
      </c>
      <c r="I1134" s="10" t="s">
        <v>11</v>
      </c>
      <c r="J1134" s="13">
        <v>32.86</v>
      </c>
      <c r="K1134" s="21" t="s">
        <v>1020</v>
      </c>
      <c r="L1134" t="e">
        <f>VLOOKUP(A1134,Formulas!A:B,2,FALSE)</f>
        <v>#N/A</v>
      </c>
      <c r="M1134" s="32"/>
    </row>
    <row r="1135" spans="1:13" ht="90" customHeight="1">
      <c r="A1135" s="10">
        <v>7956</v>
      </c>
      <c r="B1135" s="11" t="s">
        <v>1083</v>
      </c>
      <c r="C1135" s="10" t="s">
        <v>1054</v>
      </c>
      <c r="D1135" s="12" t="s">
        <v>11</v>
      </c>
      <c r="E1135" s="12" t="s">
        <v>11</v>
      </c>
      <c r="F1135" s="10" t="s">
        <v>226</v>
      </c>
      <c r="G1135" s="10" t="s">
        <v>403</v>
      </c>
      <c r="H1135" s="10" t="s">
        <v>403</v>
      </c>
      <c r="I1135" s="10" t="s">
        <v>11</v>
      </c>
      <c r="J1135" s="13">
        <v>33.92</v>
      </c>
      <c r="K1135" s="21" t="s">
        <v>1020</v>
      </c>
      <c r="L1135" t="e">
        <f>VLOOKUP(A1135,Formulas!A:B,2,FALSE)</f>
        <v>#N/A</v>
      </c>
      <c r="M1135" s="32"/>
    </row>
    <row r="1136" spans="1:13" ht="90" customHeight="1">
      <c r="A1136" s="10">
        <v>7957</v>
      </c>
      <c r="B1136" s="11" t="s">
        <v>1067</v>
      </c>
      <c r="C1136" s="10" t="s">
        <v>102</v>
      </c>
      <c r="D1136" s="12" t="s">
        <v>11</v>
      </c>
      <c r="E1136" s="12" t="s">
        <v>11</v>
      </c>
      <c r="F1136" s="10" t="s">
        <v>1492</v>
      </c>
      <c r="G1136" s="10" t="s">
        <v>226</v>
      </c>
      <c r="H1136" s="10" t="s">
        <v>226</v>
      </c>
      <c r="I1136" s="10" t="s">
        <v>11</v>
      </c>
      <c r="J1136" s="13">
        <v>66.037999999999997</v>
      </c>
      <c r="K1136" s="21" t="s">
        <v>1020</v>
      </c>
      <c r="L1136" t="e">
        <f>VLOOKUP(A1136,Formulas!A:B,2,FALSE)</f>
        <v>#N/A</v>
      </c>
      <c r="M1136" s="32"/>
    </row>
    <row r="1137" spans="1:13" ht="90" customHeight="1">
      <c r="A1137" s="10">
        <v>7958</v>
      </c>
      <c r="B1137" s="11" t="s">
        <v>1068</v>
      </c>
      <c r="C1137" s="10" t="s">
        <v>102</v>
      </c>
      <c r="D1137" s="12" t="s">
        <v>11</v>
      </c>
      <c r="E1137" s="10" t="s">
        <v>11</v>
      </c>
      <c r="F1137" s="10" t="s">
        <v>1492</v>
      </c>
      <c r="G1137" s="10" t="s">
        <v>226</v>
      </c>
      <c r="H1137" s="10" t="s">
        <v>226</v>
      </c>
      <c r="I1137" s="10" t="s">
        <v>11</v>
      </c>
      <c r="J1137" s="13">
        <v>66.037999999999997</v>
      </c>
      <c r="K1137" s="21" t="s">
        <v>1020</v>
      </c>
      <c r="L1137" t="e">
        <f>VLOOKUP(A1137,Formulas!A:B,2,FALSE)</f>
        <v>#N/A</v>
      </c>
      <c r="M1137" s="32"/>
    </row>
    <row r="1138" spans="1:13" ht="58.5" customHeight="1">
      <c r="A1138" s="10">
        <v>7959</v>
      </c>
      <c r="B1138" s="11" t="s">
        <v>1069</v>
      </c>
      <c r="C1138" s="10" t="s">
        <v>102</v>
      </c>
      <c r="D1138" s="12" t="s">
        <v>11</v>
      </c>
      <c r="E1138" s="12" t="s">
        <v>11</v>
      </c>
      <c r="F1138" s="10" t="s">
        <v>1492</v>
      </c>
      <c r="G1138" s="10" t="s">
        <v>226</v>
      </c>
      <c r="H1138" s="10" t="s">
        <v>226</v>
      </c>
      <c r="I1138" s="10" t="s">
        <v>11</v>
      </c>
      <c r="J1138" s="13">
        <v>66.037999999999997</v>
      </c>
      <c r="K1138" s="21" t="s">
        <v>1020</v>
      </c>
      <c r="L1138" t="e">
        <f>VLOOKUP(A1138,Formulas!A:B,2,FALSE)</f>
        <v>#N/A</v>
      </c>
      <c r="M1138" s="32"/>
    </row>
    <row r="1139" spans="1:13" ht="58.5" customHeight="1">
      <c r="A1139" s="10">
        <v>7960</v>
      </c>
      <c r="B1139" s="11" t="s">
        <v>1070</v>
      </c>
      <c r="C1139" s="10" t="s">
        <v>511</v>
      </c>
      <c r="D1139" s="12" t="s">
        <v>11</v>
      </c>
      <c r="E1139" s="10" t="s">
        <v>11</v>
      </c>
      <c r="F1139" s="10" t="s">
        <v>1493</v>
      </c>
      <c r="G1139" s="10" t="s">
        <v>226</v>
      </c>
      <c r="H1139" s="10" t="s">
        <v>226</v>
      </c>
      <c r="I1139" s="10" t="s">
        <v>11</v>
      </c>
      <c r="J1139" s="13">
        <v>72.35560000000001</v>
      </c>
      <c r="K1139" s="21" t="s">
        <v>1020</v>
      </c>
      <c r="L1139" t="e">
        <f>VLOOKUP(A1139,Formulas!A:B,2,FALSE)</f>
        <v>#N/A</v>
      </c>
      <c r="M1139" s="32"/>
    </row>
    <row r="1140" spans="1:13" ht="58.5" customHeight="1">
      <c r="A1140" s="10">
        <v>7961</v>
      </c>
      <c r="B1140" s="11" t="s">
        <v>1071</v>
      </c>
      <c r="C1140" s="10" t="s">
        <v>511</v>
      </c>
      <c r="D1140" s="12" t="s">
        <v>11</v>
      </c>
      <c r="E1140" s="12" t="s">
        <v>11</v>
      </c>
      <c r="F1140" s="10" t="s">
        <v>1493</v>
      </c>
      <c r="G1140" s="10" t="s">
        <v>226</v>
      </c>
      <c r="H1140" s="10" t="s">
        <v>226</v>
      </c>
      <c r="I1140" s="10" t="s">
        <v>11</v>
      </c>
      <c r="J1140" s="13">
        <v>72.35560000000001</v>
      </c>
      <c r="K1140" s="21" t="s">
        <v>1020</v>
      </c>
      <c r="L1140" t="e">
        <f>VLOOKUP(A1140,Formulas!A:B,2,FALSE)</f>
        <v>#N/A</v>
      </c>
      <c r="M1140" s="32"/>
    </row>
    <row r="1141" spans="1:13" ht="58.5" customHeight="1">
      <c r="A1141" s="10">
        <v>7962</v>
      </c>
      <c r="B1141" s="11" t="s">
        <v>1072</v>
      </c>
      <c r="C1141" s="10" t="s">
        <v>511</v>
      </c>
      <c r="D1141" s="12" t="s">
        <v>11</v>
      </c>
      <c r="E1141" s="10" t="s">
        <v>11</v>
      </c>
      <c r="F1141" s="10" t="s">
        <v>1493</v>
      </c>
      <c r="G1141" s="10" t="s">
        <v>226</v>
      </c>
      <c r="H1141" s="10" t="s">
        <v>226</v>
      </c>
      <c r="I1141" s="10" t="s">
        <v>11</v>
      </c>
      <c r="J1141" s="13">
        <v>72.35560000000001</v>
      </c>
      <c r="K1141" s="21" t="s">
        <v>1020</v>
      </c>
      <c r="L1141" t="e">
        <f>VLOOKUP(A1141,Formulas!A:B,2,FALSE)</f>
        <v>#N/A</v>
      </c>
      <c r="M1141" s="32"/>
    </row>
    <row r="1142" spans="1:13" ht="80.25" customHeight="1">
      <c r="A1142" s="10">
        <v>7963</v>
      </c>
      <c r="B1142" s="11" t="s">
        <v>1073</v>
      </c>
      <c r="C1142" s="10" t="s">
        <v>102</v>
      </c>
      <c r="D1142" s="12" t="s">
        <v>11</v>
      </c>
      <c r="E1142" s="12" t="s">
        <v>11</v>
      </c>
      <c r="F1142" s="10" t="s">
        <v>1494</v>
      </c>
      <c r="G1142" s="10" t="s">
        <v>415</v>
      </c>
      <c r="H1142" s="10" t="s">
        <v>415</v>
      </c>
      <c r="I1142" s="10" t="s">
        <v>11</v>
      </c>
      <c r="J1142" s="13">
        <v>62.762600000000006</v>
      </c>
      <c r="K1142" s="21" t="s">
        <v>1020</v>
      </c>
      <c r="L1142" t="e">
        <f>VLOOKUP(A1142,Formulas!A:B,2,FALSE)</f>
        <v>#N/A</v>
      </c>
      <c r="M1142" s="32"/>
    </row>
    <row r="1143" spans="1:13" ht="80.25" customHeight="1">
      <c r="A1143" s="10">
        <v>7964</v>
      </c>
      <c r="B1143" s="11" t="s">
        <v>1074</v>
      </c>
      <c r="C1143" s="10" t="s">
        <v>102</v>
      </c>
      <c r="D1143" s="12" t="s">
        <v>11</v>
      </c>
      <c r="E1143" s="10" t="s">
        <v>11</v>
      </c>
      <c r="F1143" s="10" t="s">
        <v>1494</v>
      </c>
      <c r="G1143" s="10" t="s">
        <v>415</v>
      </c>
      <c r="H1143" s="10" t="s">
        <v>415</v>
      </c>
      <c r="I1143" s="10" t="s">
        <v>11</v>
      </c>
      <c r="J1143" s="13">
        <v>62.762600000000006</v>
      </c>
      <c r="K1143" s="21" t="s">
        <v>1020</v>
      </c>
      <c r="L1143" t="e">
        <f>VLOOKUP(A1143,Formulas!A:B,2,FALSE)</f>
        <v>#N/A</v>
      </c>
      <c r="M1143" s="32"/>
    </row>
    <row r="1144" spans="1:13" ht="80.25" customHeight="1">
      <c r="A1144" s="10">
        <v>7965</v>
      </c>
      <c r="B1144" s="11" t="s">
        <v>1075</v>
      </c>
      <c r="C1144" s="10" t="s">
        <v>102</v>
      </c>
      <c r="D1144" s="12" t="s">
        <v>11</v>
      </c>
      <c r="E1144" s="12" t="s">
        <v>11</v>
      </c>
      <c r="F1144" s="10" t="s">
        <v>1494</v>
      </c>
      <c r="G1144" s="10" t="s">
        <v>415</v>
      </c>
      <c r="H1144" s="10" t="s">
        <v>415</v>
      </c>
      <c r="I1144" s="10" t="s">
        <v>11</v>
      </c>
      <c r="J1144" s="13">
        <v>62.762600000000006</v>
      </c>
      <c r="K1144" s="21" t="s">
        <v>1020</v>
      </c>
      <c r="L1144" t="e">
        <f>VLOOKUP(A1144,Formulas!A:B,2,FALSE)</f>
        <v>#N/A</v>
      </c>
      <c r="M1144" s="32"/>
    </row>
    <row r="1145" spans="1:13" ht="41.5" customHeight="1">
      <c r="A1145" s="10">
        <v>7966</v>
      </c>
      <c r="B1145" s="11" t="s">
        <v>1076</v>
      </c>
      <c r="C1145" s="10" t="s">
        <v>511</v>
      </c>
      <c r="D1145" s="12" t="s">
        <v>11</v>
      </c>
      <c r="E1145" s="10" t="s">
        <v>11</v>
      </c>
      <c r="F1145" s="10" t="s">
        <v>1495</v>
      </c>
      <c r="G1145" s="10" t="s">
        <v>415</v>
      </c>
      <c r="H1145" s="10" t="s">
        <v>415</v>
      </c>
      <c r="I1145" s="10" t="s">
        <v>11</v>
      </c>
      <c r="J1145" s="13">
        <v>60.95</v>
      </c>
      <c r="K1145" s="21" t="s">
        <v>1020</v>
      </c>
      <c r="L1145" t="e">
        <f>VLOOKUP(A1145,Formulas!A:B,2,FALSE)</f>
        <v>#N/A</v>
      </c>
      <c r="M1145" s="32"/>
    </row>
    <row r="1146" spans="1:13" ht="41.5" customHeight="1">
      <c r="A1146" s="10">
        <v>7967</v>
      </c>
      <c r="B1146" s="11" t="s">
        <v>1077</v>
      </c>
      <c r="C1146" s="10" t="s">
        <v>511</v>
      </c>
      <c r="D1146" s="12" t="s">
        <v>11</v>
      </c>
      <c r="E1146" s="12" t="s">
        <v>11</v>
      </c>
      <c r="F1146" s="10" t="s">
        <v>1495</v>
      </c>
      <c r="G1146" s="10" t="s">
        <v>415</v>
      </c>
      <c r="H1146" s="10" t="s">
        <v>415</v>
      </c>
      <c r="I1146" s="10" t="s">
        <v>11</v>
      </c>
      <c r="J1146" s="13">
        <v>60.95</v>
      </c>
      <c r="K1146" s="21" t="s">
        <v>1020</v>
      </c>
      <c r="L1146" t="e">
        <f>VLOOKUP(A1146,Formulas!A:B,2,FALSE)</f>
        <v>#N/A</v>
      </c>
      <c r="M1146" s="32"/>
    </row>
    <row r="1147" spans="1:13" ht="41.5" customHeight="1">
      <c r="A1147" s="10">
        <v>7968</v>
      </c>
      <c r="B1147" s="11" t="s">
        <v>1078</v>
      </c>
      <c r="C1147" s="10" t="s">
        <v>511</v>
      </c>
      <c r="D1147" s="12" t="s">
        <v>11</v>
      </c>
      <c r="E1147" s="10" t="s">
        <v>11</v>
      </c>
      <c r="F1147" s="10" t="s">
        <v>1495</v>
      </c>
      <c r="G1147" s="10" t="s">
        <v>415</v>
      </c>
      <c r="H1147" s="10" t="s">
        <v>415</v>
      </c>
      <c r="I1147" s="10" t="s">
        <v>11</v>
      </c>
      <c r="J1147" s="13">
        <v>60.95</v>
      </c>
      <c r="K1147" s="21" t="s">
        <v>1020</v>
      </c>
      <c r="L1147" t="e">
        <f>VLOOKUP(A1147,Formulas!A:B,2,FALSE)</f>
        <v>#N/A</v>
      </c>
      <c r="M1147" s="32"/>
    </row>
    <row r="1148" spans="1:13" ht="41.5" customHeight="1">
      <c r="A1148" s="10">
        <v>7969</v>
      </c>
      <c r="B1148" s="11" t="s">
        <v>1207</v>
      </c>
      <c r="C1148" s="10" t="s">
        <v>10</v>
      </c>
      <c r="D1148" s="10" t="s">
        <v>770</v>
      </c>
      <c r="E1148" s="10">
        <v>900</v>
      </c>
      <c r="F1148" s="10" t="s">
        <v>1432</v>
      </c>
      <c r="G1148" s="10" t="s">
        <v>288</v>
      </c>
      <c r="H1148" s="10" t="s">
        <v>288</v>
      </c>
      <c r="I1148" s="10" t="s">
        <v>91</v>
      </c>
      <c r="J1148" s="26">
        <v>183.85805999999999</v>
      </c>
      <c r="K1148" s="21"/>
      <c r="L1148" t="e">
        <f>VLOOKUP(A1148,Formulas!A:B,2,FALSE)</f>
        <v>#N/A</v>
      </c>
      <c r="M1148" s="32"/>
    </row>
    <row r="1149" spans="1:13" ht="41.5" customHeight="1">
      <c r="A1149" s="10">
        <v>7970</v>
      </c>
      <c r="B1149" s="11" t="s">
        <v>1208</v>
      </c>
      <c r="C1149" s="10" t="s">
        <v>10</v>
      </c>
      <c r="D1149" s="10" t="s">
        <v>770</v>
      </c>
      <c r="E1149" s="10">
        <v>900</v>
      </c>
      <c r="F1149" s="10" t="s">
        <v>1432</v>
      </c>
      <c r="G1149" s="10" t="s">
        <v>288</v>
      </c>
      <c r="H1149" s="10" t="s">
        <v>288</v>
      </c>
      <c r="I1149" s="10" t="s">
        <v>91</v>
      </c>
      <c r="J1149" s="26">
        <v>220.62945999999999</v>
      </c>
      <c r="K1149" s="21"/>
      <c r="L1149" t="e">
        <f>VLOOKUP(A1149,Formulas!A:B,2,FALSE)</f>
        <v>#N/A</v>
      </c>
      <c r="M1149" s="32"/>
    </row>
    <row r="1150" spans="1:13" ht="41.5" customHeight="1">
      <c r="A1150" s="10">
        <v>7971</v>
      </c>
      <c r="B1150" s="11" t="s">
        <v>1209</v>
      </c>
      <c r="C1150" s="10" t="s">
        <v>10</v>
      </c>
      <c r="D1150" s="10" t="s">
        <v>770</v>
      </c>
      <c r="E1150" s="10">
        <v>900</v>
      </c>
      <c r="F1150" s="10" t="s">
        <v>1432</v>
      </c>
      <c r="G1150" s="10" t="s">
        <v>288</v>
      </c>
      <c r="H1150" s="10" t="s">
        <v>288</v>
      </c>
      <c r="I1150" s="10" t="s">
        <v>91</v>
      </c>
      <c r="J1150" s="26">
        <v>183.85805999999999</v>
      </c>
      <c r="K1150" s="21"/>
      <c r="L1150" t="e">
        <f>VLOOKUP(A1150,Formulas!A:B,2,FALSE)</f>
        <v>#N/A</v>
      </c>
      <c r="M1150" s="32"/>
    </row>
    <row r="1151" spans="1:13" ht="41.5" customHeight="1">
      <c r="A1151" s="10">
        <v>7972</v>
      </c>
      <c r="B1151" s="11" t="s">
        <v>1210</v>
      </c>
      <c r="C1151" s="10" t="s">
        <v>10</v>
      </c>
      <c r="D1151" s="10" t="s">
        <v>770</v>
      </c>
      <c r="E1151" s="10">
        <v>900</v>
      </c>
      <c r="F1151" s="10" t="s">
        <v>1432</v>
      </c>
      <c r="G1151" s="10" t="s">
        <v>288</v>
      </c>
      <c r="H1151" s="10" t="s">
        <v>288</v>
      </c>
      <c r="I1151" s="10" t="s">
        <v>91</v>
      </c>
      <c r="J1151" s="26">
        <v>183.85805999999999</v>
      </c>
      <c r="K1151" s="21"/>
      <c r="L1151" t="e">
        <f>VLOOKUP(A1151,Formulas!A:B,2,FALSE)</f>
        <v>#N/A</v>
      </c>
      <c r="M1151" s="32"/>
    </row>
    <row r="1152" spans="1:13" ht="41.5" customHeight="1">
      <c r="A1152" s="10">
        <v>7973</v>
      </c>
      <c r="B1152" s="11" t="s">
        <v>1247</v>
      </c>
      <c r="C1152" s="10" t="s">
        <v>10</v>
      </c>
      <c r="D1152" s="10" t="s">
        <v>134</v>
      </c>
      <c r="E1152" s="10">
        <v>225</v>
      </c>
      <c r="F1152" s="10" t="s">
        <v>1449</v>
      </c>
      <c r="G1152" s="10" t="s">
        <v>1448</v>
      </c>
      <c r="H1152" s="10" t="s">
        <v>1447</v>
      </c>
      <c r="I1152" s="10" t="s">
        <v>11</v>
      </c>
      <c r="J1152" s="26">
        <v>173.45203999999998</v>
      </c>
      <c r="K1152" s="21"/>
      <c r="L1152" t="e">
        <f>VLOOKUP(A1152,Formulas!A:B,2,FALSE)</f>
        <v>#N/A</v>
      </c>
      <c r="M1152" s="32"/>
    </row>
    <row r="1153" spans="1:13" ht="42.5" customHeight="1">
      <c r="A1153" s="10">
        <v>7974</v>
      </c>
      <c r="B1153" s="11" t="s">
        <v>1248</v>
      </c>
      <c r="C1153" s="10" t="s">
        <v>10</v>
      </c>
      <c r="D1153" s="10" t="s">
        <v>134</v>
      </c>
      <c r="E1153" s="10">
        <v>225</v>
      </c>
      <c r="F1153" s="10" t="s">
        <v>1449</v>
      </c>
      <c r="G1153" s="10" t="s">
        <v>1448</v>
      </c>
      <c r="H1153" s="10" t="s">
        <v>1447</v>
      </c>
      <c r="I1153" s="10" t="s">
        <v>11</v>
      </c>
      <c r="J1153" s="26">
        <v>173.45203999999998</v>
      </c>
      <c r="K1153" s="21"/>
      <c r="L1153" t="e">
        <f>VLOOKUP(A1153,Formulas!A:B,2,FALSE)</f>
        <v>#N/A</v>
      </c>
      <c r="M1153" s="32"/>
    </row>
    <row r="1154" spans="1:13" ht="42.5" customHeight="1">
      <c r="A1154" s="10">
        <v>7975</v>
      </c>
      <c r="B1154" s="11" t="s">
        <v>1249</v>
      </c>
      <c r="C1154" s="10" t="s">
        <v>10</v>
      </c>
      <c r="D1154" s="10" t="s">
        <v>134</v>
      </c>
      <c r="E1154" s="10">
        <v>225</v>
      </c>
      <c r="F1154" s="10" t="s">
        <v>1449</v>
      </c>
      <c r="G1154" s="10" t="s">
        <v>1448</v>
      </c>
      <c r="H1154" s="10" t="s">
        <v>1447</v>
      </c>
      <c r="I1154" s="10" t="s">
        <v>11</v>
      </c>
      <c r="J1154" s="26">
        <v>208.14160000000001</v>
      </c>
      <c r="K1154" s="21"/>
      <c r="L1154" t="e">
        <f>VLOOKUP(A1154,Formulas!A:B,2,FALSE)</f>
        <v>#N/A</v>
      </c>
      <c r="M1154" s="32"/>
    </row>
    <row r="1155" spans="1:13" ht="42.5" hidden="1" customHeight="1">
      <c r="A1155" s="10">
        <v>7976</v>
      </c>
      <c r="B1155" s="11" t="s">
        <v>1250</v>
      </c>
      <c r="C1155" s="10" t="s">
        <v>10</v>
      </c>
      <c r="D1155" s="10" t="s">
        <v>784</v>
      </c>
      <c r="E1155" s="10">
        <v>300</v>
      </c>
      <c r="F1155" s="10" t="s">
        <v>1449</v>
      </c>
      <c r="G1155" s="10" t="s">
        <v>1450</v>
      </c>
      <c r="H1155" s="10" t="s">
        <v>1447</v>
      </c>
      <c r="I1155" s="10" t="s">
        <v>11</v>
      </c>
      <c r="J1155" s="26">
        <v>193.81040000000002</v>
      </c>
      <c r="K1155" s="21"/>
      <c r="L1155" t="str">
        <f>VLOOKUP(A1155,Formulas!A:B,2,FALSE)</f>
        <v>178818</v>
      </c>
      <c r="M1155" s="32"/>
    </row>
    <row r="1156" spans="1:13" ht="42.5" customHeight="1">
      <c r="A1156" s="10">
        <v>7977</v>
      </c>
      <c r="B1156" s="11" t="s">
        <v>1251</v>
      </c>
      <c r="C1156" s="10" t="s">
        <v>10</v>
      </c>
      <c r="D1156" s="10" t="s">
        <v>784</v>
      </c>
      <c r="E1156" s="10">
        <v>300</v>
      </c>
      <c r="F1156" s="10" t="s">
        <v>1449</v>
      </c>
      <c r="G1156" s="10" t="s">
        <v>1450</v>
      </c>
      <c r="H1156" s="10" t="s">
        <v>1447</v>
      </c>
      <c r="I1156" s="10" t="s">
        <v>11</v>
      </c>
      <c r="J1156" s="26">
        <v>193.81040000000002</v>
      </c>
      <c r="K1156" s="21"/>
      <c r="L1156" t="e">
        <f>VLOOKUP(A1156,Formulas!A:B,2,FALSE)</f>
        <v>#N/A</v>
      </c>
      <c r="M1156" s="32"/>
    </row>
    <row r="1157" spans="1:13" ht="42.5" customHeight="1">
      <c r="A1157" s="10">
        <v>7978</v>
      </c>
      <c r="B1157" s="11" t="s">
        <v>1252</v>
      </c>
      <c r="C1157" s="10" t="s">
        <v>10</v>
      </c>
      <c r="D1157" s="10" t="s">
        <v>784</v>
      </c>
      <c r="E1157" s="10">
        <v>300</v>
      </c>
      <c r="F1157" s="10" t="s">
        <v>1449</v>
      </c>
      <c r="G1157" s="10" t="s">
        <v>1450</v>
      </c>
      <c r="H1157" s="10" t="s">
        <v>1447</v>
      </c>
      <c r="I1157" s="10" t="s">
        <v>11</v>
      </c>
      <c r="J1157" s="26">
        <v>232.57247999999998</v>
      </c>
      <c r="K1157" s="21"/>
      <c r="L1157" t="e">
        <f>VLOOKUP(A1157,Formulas!A:B,2,FALSE)</f>
        <v>#N/A</v>
      </c>
      <c r="M1157" s="32"/>
    </row>
    <row r="1158" spans="1:13" ht="42.5" customHeight="1">
      <c r="A1158" s="10">
        <v>7979</v>
      </c>
      <c r="B1158" s="11" t="s">
        <v>1259</v>
      </c>
      <c r="C1158" s="10" t="s">
        <v>10</v>
      </c>
      <c r="D1158" s="12" t="s">
        <v>768</v>
      </c>
      <c r="E1158" s="10">
        <v>375</v>
      </c>
      <c r="F1158" s="10" t="s">
        <v>1455</v>
      </c>
      <c r="G1158" s="10" t="s">
        <v>270</v>
      </c>
      <c r="H1158" s="10" t="s">
        <v>270</v>
      </c>
      <c r="I1158" s="10" t="s">
        <v>91</v>
      </c>
      <c r="J1158" s="13">
        <v>177.15780000000001</v>
      </c>
      <c r="K1158" s="21"/>
      <c r="L1158" t="e">
        <f>VLOOKUP(A1158,Formulas!A:B,2,FALSE)</f>
        <v>#N/A</v>
      </c>
      <c r="M1158" s="32"/>
    </row>
    <row r="1159" spans="1:13" ht="42.5" customHeight="1">
      <c r="A1159" s="10">
        <v>7980</v>
      </c>
      <c r="B1159" s="11" t="s">
        <v>1260</v>
      </c>
      <c r="C1159" s="10" t="s">
        <v>10</v>
      </c>
      <c r="D1159" s="12" t="s">
        <v>768</v>
      </c>
      <c r="E1159" s="10">
        <v>375</v>
      </c>
      <c r="F1159" s="10" t="s">
        <v>1455</v>
      </c>
      <c r="G1159" s="10" t="s">
        <v>270</v>
      </c>
      <c r="H1159" s="10" t="s">
        <v>270</v>
      </c>
      <c r="I1159" s="10" t="s">
        <v>91</v>
      </c>
      <c r="J1159" s="13">
        <v>177.15780000000001</v>
      </c>
      <c r="K1159" s="21"/>
      <c r="L1159" t="e">
        <f>VLOOKUP(A1159,Formulas!A:B,2,FALSE)</f>
        <v>#N/A</v>
      </c>
      <c r="M1159" s="32"/>
    </row>
    <row r="1160" spans="1:13" ht="42.5" hidden="1" customHeight="1">
      <c r="A1160" s="10">
        <v>7981</v>
      </c>
      <c r="B1160" s="11" t="s">
        <v>1261</v>
      </c>
      <c r="C1160" s="10" t="s">
        <v>10</v>
      </c>
      <c r="D1160" s="10" t="s">
        <v>770</v>
      </c>
      <c r="E1160" s="10">
        <v>900</v>
      </c>
      <c r="F1160" s="10" t="s">
        <v>1455</v>
      </c>
      <c r="G1160" s="10" t="s">
        <v>95</v>
      </c>
      <c r="H1160" s="10" t="s">
        <v>95</v>
      </c>
      <c r="I1160" s="10" t="s">
        <v>91</v>
      </c>
      <c r="J1160" s="26">
        <v>210.08034000000001</v>
      </c>
      <c r="K1160" s="21"/>
      <c r="L1160" t="str">
        <f>VLOOKUP(A1160,Formulas!A:B,2,FALSE)</f>
        <v>179450</v>
      </c>
      <c r="M1160" s="32"/>
    </row>
    <row r="1161" spans="1:13" ht="42.5" customHeight="1">
      <c r="A1161" s="10">
        <v>7982</v>
      </c>
      <c r="B1161" s="11" t="s">
        <v>1262</v>
      </c>
      <c r="C1161" s="10" t="s">
        <v>10</v>
      </c>
      <c r="D1161" s="10" t="s">
        <v>770</v>
      </c>
      <c r="E1161" s="10">
        <v>900</v>
      </c>
      <c r="F1161" s="10" t="s">
        <v>1455</v>
      </c>
      <c r="G1161" s="10" t="s">
        <v>95</v>
      </c>
      <c r="H1161" s="10" t="s">
        <v>95</v>
      </c>
      <c r="I1161" s="10" t="s">
        <v>91</v>
      </c>
      <c r="J1161" s="26">
        <v>210.08034000000001</v>
      </c>
      <c r="K1161" s="21"/>
      <c r="L1161" t="e">
        <f>VLOOKUP(A1161,Formulas!A:B,2,FALSE)</f>
        <v>#N/A</v>
      </c>
      <c r="M1161" s="32"/>
    </row>
    <row r="1162" spans="1:13" ht="42.5" customHeight="1">
      <c r="A1162" s="10">
        <v>7983</v>
      </c>
      <c r="B1162" s="11" t="s">
        <v>1263</v>
      </c>
      <c r="C1162" s="10" t="s">
        <v>10</v>
      </c>
      <c r="D1162" s="10" t="s">
        <v>770</v>
      </c>
      <c r="E1162" s="10">
        <v>900</v>
      </c>
      <c r="F1162" s="10" t="s">
        <v>1455</v>
      </c>
      <c r="G1162" s="10" t="s">
        <v>95</v>
      </c>
      <c r="H1162" s="10" t="s">
        <v>95</v>
      </c>
      <c r="I1162" s="10" t="s">
        <v>91</v>
      </c>
      <c r="J1162" s="26">
        <v>252.09556000000001</v>
      </c>
      <c r="K1162" s="21"/>
      <c r="L1162" t="e">
        <f>VLOOKUP(A1162,Formulas!A:B,2,FALSE)</f>
        <v>#N/A</v>
      </c>
      <c r="M1162" s="32"/>
    </row>
    <row r="1163" spans="1:13" ht="42.5" customHeight="1">
      <c r="A1163" s="10">
        <v>7984</v>
      </c>
      <c r="B1163" s="11" t="s">
        <v>1264</v>
      </c>
      <c r="C1163" s="10" t="s">
        <v>10</v>
      </c>
      <c r="D1163" s="10" t="s">
        <v>770</v>
      </c>
      <c r="E1163" s="10">
        <v>900</v>
      </c>
      <c r="F1163" s="10" t="s">
        <v>1455</v>
      </c>
      <c r="G1163" s="10" t="s">
        <v>95</v>
      </c>
      <c r="H1163" s="10" t="s">
        <v>95</v>
      </c>
      <c r="I1163" s="10" t="s">
        <v>91</v>
      </c>
      <c r="J1163" s="26">
        <v>210.08034000000001</v>
      </c>
      <c r="K1163" s="21"/>
      <c r="L1163" t="e">
        <f>VLOOKUP(A1163,Formulas!A:B,2,FALSE)</f>
        <v>#N/A</v>
      </c>
      <c r="M1163" s="32"/>
    </row>
    <row r="1164" spans="1:13" ht="42.5" customHeight="1">
      <c r="A1164" s="10">
        <v>7985</v>
      </c>
      <c r="B1164" s="11" t="s">
        <v>1265</v>
      </c>
      <c r="C1164" s="10" t="s">
        <v>10</v>
      </c>
      <c r="D1164" s="10" t="s">
        <v>770</v>
      </c>
      <c r="E1164" s="10">
        <v>900</v>
      </c>
      <c r="F1164" s="10" t="s">
        <v>1455</v>
      </c>
      <c r="G1164" s="10" t="s">
        <v>95</v>
      </c>
      <c r="H1164" s="10" t="s">
        <v>95</v>
      </c>
      <c r="I1164" s="10" t="s">
        <v>91</v>
      </c>
      <c r="J1164" s="26">
        <v>210.08034000000001</v>
      </c>
      <c r="K1164" s="21"/>
      <c r="L1164" t="e">
        <f>VLOOKUP(A1164,Formulas!A:B,2,FALSE)</f>
        <v>#N/A</v>
      </c>
      <c r="M1164" s="32"/>
    </row>
    <row r="1165" spans="1:13" ht="42.5" customHeight="1">
      <c r="A1165" s="10">
        <v>7986</v>
      </c>
      <c r="B1165" s="11" t="s">
        <v>1171</v>
      </c>
      <c r="C1165" s="10" t="s">
        <v>10</v>
      </c>
      <c r="D1165" s="12" t="s">
        <v>784</v>
      </c>
      <c r="E1165" s="10">
        <v>300</v>
      </c>
      <c r="F1165" s="10" t="s">
        <v>1418</v>
      </c>
      <c r="G1165" s="10" t="s">
        <v>280</v>
      </c>
      <c r="H1165" s="10" t="s">
        <v>280</v>
      </c>
      <c r="I1165" s="10" t="s">
        <v>91</v>
      </c>
      <c r="J1165" s="26">
        <v>132.82436000000001</v>
      </c>
      <c r="K1165" s="21"/>
      <c r="L1165" t="e">
        <f>VLOOKUP(A1165,Formulas!A:B,2,FALSE)</f>
        <v>#N/A</v>
      </c>
      <c r="M1165" s="32"/>
    </row>
    <row r="1166" spans="1:13" ht="42.5" hidden="1" customHeight="1">
      <c r="A1166" s="10">
        <v>7987</v>
      </c>
      <c r="B1166" s="11" t="s">
        <v>1172</v>
      </c>
      <c r="C1166" s="10" t="s">
        <v>10</v>
      </c>
      <c r="D1166" s="12" t="s">
        <v>784</v>
      </c>
      <c r="E1166" s="10">
        <v>300</v>
      </c>
      <c r="F1166" s="10" t="s">
        <v>1418</v>
      </c>
      <c r="G1166" s="10" t="s">
        <v>280</v>
      </c>
      <c r="H1166" s="10" t="s">
        <v>280</v>
      </c>
      <c r="I1166" s="10" t="s">
        <v>91</v>
      </c>
      <c r="J1166" s="26">
        <v>132.82436000000001</v>
      </c>
      <c r="K1166" s="21"/>
      <c r="L1166" t="str">
        <f>VLOOKUP(A1166,Formulas!A:B,2,FALSE)</f>
        <v>179426</v>
      </c>
      <c r="M1166" s="32"/>
    </row>
    <row r="1167" spans="1:13" ht="42.5" customHeight="1">
      <c r="A1167" s="10">
        <v>7988</v>
      </c>
      <c r="B1167" s="11" t="s">
        <v>1173</v>
      </c>
      <c r="C1167" s="10" t="s">
        <v>10</v>
      </c>
      <c r="D1167" s="12" t="s">
        <v>784</v>
      </c>
      <c r="E1167" s="10">
        <v>300</v>
      </c>
      <c r="F1167" s="10" t="s">
        <v>1418</v>
      </c>
      <c r="G1167" s="10" t="s">
        <v>280</v>
      </c>
      <c r="H1167" s="10" t="s">
        <v>280</v>
      </c>
      <c r="I1167" s="10" t="s">
        <v>91</v>
      </c>
      <c r="J1167" s="26">
        <v>159.38923199999999</v>
      </c>
      <c r="K1167" s="21"/>
      <c r="L1167" t="e">
        <f>VLOOKUP(A1167,Formulas!A:B,2,FALSE)</f>
        <v>#N/A</v>
      </c>
      <c r="M1167" s="32"/>
    </row>
    <row r="1168" spans="1:13" ht="42.5" customHeight="1">
      <c r="A1168" s="10">
        <v>7989</v>
      </c>
      <c r="B1168" s="11" t="s">
        <v>1338</v>
      </c>
      <c r="C1168" s="10" t="s">
        <v>182</v>
      </c>
      <c r="D1168" s="12" t="s">
        <v>11</v>
      </c>
      <c r="E1168" s="12" t="s">
        <v>11</v>
      </c>
      <c r="F1168" s="10" t="s">
        <v>1486</v>
      </c>
      <c r="G1168" s="10" t="s">
        <v>94</v>
      </c>
      <c r="H1168" s="10" t="s">
        <v>94</v>
      </c>
      <c r="I1168" s="10" t="s">
        <v>91</v>
      </c>
      <c r="J1168" s="26">
        <v>211.28344000000001</v>
      </c>
      <c r="K1168" s="21"/>
      <c r="L1168" t="e">
        <f>VLOOKUP(A1168,Formulas!A:B,2,FALSE)</f>
        <v>#N/A</v>
      </c>
      <c r="M1168" s="32"/>
    </row>
    <row r="1169" spans="1:13" ht="42.5" customHeight="1">
      <c r="A1169" s="10">
        <v>7990</v>
      </c>
      <c r="B1169" s="11" t="s">
        <v>1339</v>
      </c>
      <c r="C1169" s="10" t="s">
        <v>182</v>
      </c>
      <c r="D1169" s="12" t="s">
        <v>11</v>
      </c>
      <c r="E1169" s="12" t="s">
        <v>11</v>
      </c>
      <c r="F1169" s="10" t="s">
        <v>1486</v>
      </c>
      <c r="G1169" s="10" t="s">
        <v>94</v>
      </c>
      <c r="H1169" s="10" t="s">
        <v>94</v>
      </c>
      <c r="I1169" s="10" t="s">
        <v>91</v>
      </c>
      <c r="J1169" s="26">
        <v>211.28344000000001</v>
      </c>
      <c r="K1169" s="21"/>
      <c r="L1169" t="e">
        <f>VLOOKUP(A1169,Formulas!A:B,2,FALSE)</f>
        <v>#N/A</v>
      </c>
      <c r="M1169" s="32"/>
    </row>
    <row r="1170" spans="1:13" ht="42.5" customHeight="1">
      <c r="A1170" s="10">
        <v>7991</v>
      </c>
      <c r="B1170" s="11" t="s">
        <v>1340</v>
      </c>
      <c r="C1170" s="10" t="s">
        <v>182</v>
      </c>
      <c r="D1170" s="12" t="s">
        <v>11</v>
      </c>
      <c r="E1170" s="12" t="s">
        <v>11</v>
      </c>
      <c r="F1170" s="10" t="s">
        <v>1486</v>
      </c>
      <c r="G1170" s="10" t="s">
        <v>94</v>
      </c>
      <c r="H1170" s="10" t="s">
        <v>94</v>
      </c>
      <c r="I1170" s="10" t="s">
        <v>91</v>
      </c>
      <c r="J1170" s="26">
        <v>211.28344000000001</v>
      </c>
      <c r="K1170" s="21"/>
      <c r="L1170" t="e">
        <f>VLOOKUP(A1170,Formulas!A:B,2,FALSE)</f>
        <v>#N/A</v>
      </c>
      <c r="M1170" s="32"/>
    </row>
    <row r="1171" spans="1:13" ht="42.5" customHeight="1">
      <c r="A1171" s="10">
        <v>7992</v>
      </c>
      <c r="B1171" s="11" t="s">
        <v>1341</v>
      </c>
      <c r="C1171" s="10" t="s">
        <v>182</v>
      </c>
      <c r="D1171" s="12" t="s">
        <v>11</v>
      </c>
      <c r="E1171" s="12" t="s">
        <v>11</v>
      </c>
      <c r="F1171" s="10" t="s">
        <v>1486</v>
      </c>
      <c r="G1171" s="10" t="s">
        <v>94</v>
      </c>
      <c r="H1171" s="10" t="s">
        <v>94</v>
      </c>
      <c r="I1171" s="10" t="s">
        <v>91</v>
      </c>
      <c r="J1171" s="26">
        <v>211.28344000000001</v>
      </c>
      <c r="K1171" s="21"/>
      <c r="L1171" t="e">
        <f>VLOOKUP(A1171,Formulas!A:B,2,FALSE)</f>
        <v>#N/A</v>
      </c>
      <c r="M1171" s="32"/>
    </row>
    <row r="1172" spans="1:13" ht="42.5" customHeight="1">
      <c r="A1172" s="10">
        <v>7993</v>
      </c>
      <c r="B1172" s="11" t="s">
        <v>1342</v>
      </c>
      <c r="C1172" s="10" t="s">
        <v>182</v>
      </c>
      <c r="D1172" s="12" t="s">
        <v>11</v>
      </c>
      <c r="E1172" s="12" t="s">
        <v>11</v>
      </c>
      <c r="F1172" s="10" t="s">
        <v>1486</v>
      </c>
      <c r="G1172" s="10" t="s">
        <v>94</v>
      </c>
      <c r="H1172" s="10" t="s">
        <v>94</v>
      </c>
      <c r="I1172" s="10" t="s">
        <v>91</v>
      </c>
      <c r="J1172" s="26">
        <v>253.54012800000004</v>
      </c>
      <c r="K1172" s="21"/>
      <c r="L1172" t="e">
        <f>VLOOKUP(A1172,Formulas!A:B,2,FALSE)</f>
        <v>#N/A</v>
      </c>
      <c r="M1172" s="32"/>
    </row>
    <row r="1173" spans="1:13" ht="42.5" customHeight="1">
      <c r="A1173" s="10">
        <v>7994</v>
      </c>
      <c r="B1173" s="11" t="s">
        <v>1343</v>
      </c>
      <c r="C1173" s="10" t="s">
        <v>10</v>
      </c>
      <c r="D1173" s="10" t="s">
        <v>1489</v>
      </c>
      <c r="E1173" s="10">
        <v>1875</v>
      </c>
      <c r="F1173" s="10" t="s">
        <v>1487</v>
      </c>
      <c r="G1173" s="10" t="s">
        <v>1488</v>
      </c>
      <c r="H1173" s="10" t="s">
        <v>1488</v>
      </c>
      <c r="I1173" s="10" t="s">
        <v>11</v>
      </c>
      <c r="J1173" s="26">
        <v>167.58600000000001</v>
      </c>
      <c r="K1173" s="21"/>
      <c r="L1173" t="e">
        <f>VLOOKUP(A1173,Formulas!A:B,2,FALSE)</f>
        <v>#N/A</v>
      </c>
      <c r="M1173" s="32"/>
    </row>
    <row r="1174" spans="1:13" ht="42.5" customHeight="1">
      <c r="A1174" s="10">
        <v>7995</v>
      </c>
      <c r="B1174" s="11" t="s">
        <v>1344</v>
      </c>
      <c r="C1174" s="10" t="s">
        <v>10</v>
      </c>
      <c r="D1174" s="10" t="s">
        <v>1489</v>
      </c>
      <c r="E1174" s="10">
        <v>1875</v>
      </c>
      <c r="F1174" s="10" t="s">
        <v>1487</v>
      </c>
      <c r="G1174" s="10" t="s">
        <v>1488</v>
      </c>
      <c r="H1174" s="10" t="s">
        <v>1488</v>
      </c>
      <c r="I1174" s="10" t="s">
        <v>11</v>
      </c>
      <c r="J1174" s="26">
        <v>167.58600000000001</v>
      </c>
      <c r="K1174" s="21"/>
      <c r="L1174" t="e">
        <f>VLOOKUP(A1174,Formulas!A:B,2,FALSE)</f>
        <v>#N/A</v>
      </c>
      <c r="M1174" s="32"/>
    </row>
    <row r="1175" spans="1:13" ht="42.5" customHeight="1">
      <c r="A1175" s="10">
        <v>7996</v>
      </c>
      <c r="B1175" s="11" t="s">
        <v>1345</v>
      </c>
      <c r="C1175" s="10" t="s">
        <v>10</v>
      </c>
      <c r="D1175" s="10" t="s">
        <v>1489</v>
      </c>
      <c r="E1175" s="10">
        <v>1875</v>
      </c>
      <c r="F1175" s="10" t="s">
        <v>1487</v>
      </c>
      <c r="G1175" s="10" t="s">
        <v>1488</v>
      </c>
      <c r="H1175" s="10" t="s">
        <v>1488</v>
      </c>
      <c r="I1175" s="10" t="s">
        <v>11</v>
      </c>
      <c r="J1175" s="26">
        <v>201.10320000000002</v>
      </c>
      <c r="K1175" s="21"/>
      <c r="L1175" t="e">
        <f>VLOOKUP(A1175,Formulas!A:B,2,FALSE)</f>
        <v>#N/A</v>
      </c>
      <c r="M1175" s="32"/>
    </row>
    <row r="1176" spans="1:13" ht="42.5" hidden="1" customHeight="1">
      <c r="A1176" s="10">
        <v>7997</v>
      </c>
      <c r="B1176" s="11" t="s">
        <v>1266</v>
      </c>
      <c r="C1176" s="10" t="s">
        <v>10</v>
      </c>
      <c r="D1176" s="10" t="s">
        <v>768</v>
      </c>
      <c r="E1176" s="10">
        <v>375</v>
      </c>
      <c r="F1176" s="10" t="s">
        <v>1456</v>
      </c>
      <c r="G1176" s="10" t="s">
        <v>1548</v>
      </c>
      <c r="H1176" s="10" t="s">
        <v>1457</v>
      </c>
      <c r="I1176" s="10" t="s">
        <v>11</v>
      </c>
      <c r="J1176" s="26">
        <v>230.48004</v>
      </c>
      <c r="K1176" s="21"/>
      <c r="L1176" t="str">
        <f>VLOOKUP(A1176,Formulas!A:B,2,FALSE)</f>
        <v>179480</v>
      </c>
      <c r="M1176" s="32"/>
    </row>
    <row r="1177" spans="1:13" ht="42.5" customHeight="1">
      <c r="A1177" s="10">
        <v>7998</v>
      </c>
      <c r="B1177" s="11" t="s">
        <v>1267</v>
      </c>
      <c r="C1177" s="10" t="s">
        <v>10</v>
      </c>
      <c r="D1177" s="10" t="s">
        <v>768</v>
      </c>
      <c r="E1177" s="10">
        <v>375</v>
      </c>
      <c r="F1177" s="10" t="s">
        <v>1456</v>
      </c>
      <c r="G1177" s="10" t="s">
        <v>1548</v>
      </c>
      <c r="H1177" s="10" t="s">
        <v>1457</v>
      </c>
      <c r="I1177" s="10" t="s">
        <v>11</v>
      </c>
      <c r="J1177" s="26">
        <v>230.48004</v>
      </c>
      <c r="K1177" s="21"/>
      <c r="L1177" t="e">
        <f>VLOOKUP(A1177,Formulas!A:B,2,FALSE)</f>
        <v>#N/A</v>
      </c>
      <c r="M1177" s="32"/>
    </row>
    <row r="1178" spans="1:13" ht="64.5" customHeight="1">
      <c r="A1178" s="10">
        <v>7999</v>
      </c>
      <c r="B1178" s="11" t="s">
        <v>1268</v>
      </c>
      <c r="C1178" s="10" t="s">
        <v>10</v>
      </c>
      <c r="D1178" s="10" t="s">
        <v>768</v>
      </c>
      <c r="E1178" s="10">
        <v>375</v>
      </c>
      <c r="F1178" s="10" t="s">
        <v>1456</v>
      </c>
      <c r="G1178" s="10" t="s">
        <v>1548</v>
      </c>
      <c r="H1178" s="10" t="s">
        <v>1457</v>
      </c>
      <c r="I1178" s="10" t="s">
        <v>11</v>
      </c>
      <c r="J1178" s="26">
        <v>276.57604800000001</v>
      </c>
      <c r="K1178" s="21"/>
      <c r="L1178" t="e">
        <f>VLOOKUP(A1178,Formulas!A:B,2,FALSE)</f>
        <v>#N/A</v>
      </c>
      <c r="M1178" s="32"/>
    </row>
    <row r="1179" spans="1:13" ht="64.5" customHeight="1">
      <c r="A1179" s="10">
        <v>8000</v>
      </c>
      <c r="B1179" s="11" t="s">
        <v>1269</v>
      </c>
      <c r="C1179" s="10" t="s">
        <v>10</v>
      </c>
      <c r="D1179" s="10" t="s">
        <v>768</v>
      </c>
      <c r="E1179" s="10">
        <v>375</v>
      </c>
      <c r="F1179" s="10" t="s">
        <v>1456</v>
      </c>
      <c r="G1179" s="10" t="s">
        <v>1548</v>
      </c>
      <c r="H1179" s="10" t="s">
        <v>1457</v>
      </c>
      <c r="I1179" s="10" t="s">
        <v>11</v>
      </c>
      <c r="J1179" s="26">
        <v>230.48004</v>
      </c>
      <c r="K1179" s="21"/>
      <c r="L1179" t="e">
        <f>VLOOKUP(A1179,Formulas!A:B,2,FALSE)</f>
        <v>#N/A</v>
      </c>
      <c r="M1179" s="32"/>
    </row>
    <row r="1180" spans="1:13" ht="64.5" customHeight="1">
      <c r="A1180" s="10">
        <v>8001</v>
      </c>
      <c r="B1180" s="11" t="s">
        <v>1270</v>
      </c>
      <c r="C1180" s="10" t="s">
        <v>10</v>
      </c>
      <c r="D1180" s="10" t="s">
        <v>768</v>
      </c>
      <c r="E1180" s="10">
        <v>375</v>
      </c>
      <c r="F1180" s="10" t="s">
        <v>1456</v>
      </c>
      <c r="G1180" s="10" t="s">
        <v>1548</v>
      </c>
      <c r="H1180" s="10" t="s">
        <v>1457</v>
      </c>
      <c r="I1180" s="10" t="s">
        <v>11</v>
      </c>
      <c r="J1180" s="26">
        <v>230.48004</v>
      </c>
      <c r="K1180" s="21"/>
      <c r="L1180" t="e">
        <f>VLOOKUP(A1180,Formulas!A:B,2,FALSE)</f>
        <v>#N/A</v>
      </c>
      <c r="M1180" s="32"/>
    </row>
    <row r="1181" spans="1:13" ht="42.5" customHeight="1">
      <c r="A1181" s="10">
        <v>8002</v>
      </c>
      <c r="B1181" s="11" t="s">
        <v>1381</v>
      </c>
      <c r="C1181" s="10" t="s">
        <v>10</v>
      </c>
      <c r="D1181" s="12" t="s">
        <v>770</v>
      </c>
      <c r="E1181" s="10">
        <v>1350</v>
      </c>
      <c r="F1181" s="10" t="s">
        <v>1497</v>
      </c>
      <c r="G1181" s="10" t="s">
        <v>1497</v>
      </c>
      <c r="H1181" s="10" t="s">
        <v>1496</v>
      </c>
      <c r="I1181" s="10" t="s">
        <v>91</v>
      </c>
      <c r="J1181" s="13">
        <v>126.14</v>
      </c>
      <c r="K1181" s="21"/>
      <c r="L1181" t="e">
        <f>VLOOKUP(A1181,Formulas!A:B,2,FALSE)</f>
        <v>#N/A</v>
      </c>
      <c r="M1181" s="32"/>
    </row>
    <row r="1182" spans="1:13" ht="42.5" customHeight="1">
      <c r="A1182" s="10">
        <v>8003</v>
      </c>
      <c r="B1182" s="11" t="s">
        <v>1382</v>
      </c>
      <c r="C1182" s="10" t="s">
        <v>10</v>
      </c>
      <c r="D1182" s="12" t="s">
        <v>770</v>
      </c>
      <c r="E1182" s="10">
        <v>1350</v>
      </c>
      <c r="F1182" s="10" t="s">
        <v>1497</v>
      </c>
      <c r="G1182" s="10" t="s">
        <v>1497</v>
      </c>
      <c r="H1182" s="10" t="s">
        <v>1496</v>
      </c>
      <c r="I1182" s="10" t="s">
        <v>91</v>
      </c>
      <c r="J1182" s="13">
        <v>126.14</v>
      </c>
      <c r="K1182" s="21"/>
      <c r="L1182" t="e">
        <f>VLOOKUP(A1182,Formulas!A:B,2,FALSE)</f>
        <v>#N/A</v>
      </c>
      <c r="M1182" s="32"/>
    </row>
    <row r="1183" spans="1:13" ht="42.5" customHeight="1">
      <c r="A1183" s="10">
        <v>8004</v>
      </c>
      <c r="B1183" s="11" t="s">
        <v>1290</v>
      </c>
      <c r="C1183" s="10" t="s">
        <v>511</v>
      </c>
      <c r="D1183" s="12" t="s">
        <v>11</v>
      </c>
      <c r="E1183" s="12" t="s">
        <v>11</v>
      </c>
      <c r="F1183" s="10" t="s">
        <v>1461</v>
      </c>
      <c r="G1183" s="10" t="s">
        <v>1462</v>
      </c>
      <c r="H1183" s="10" t="s">
        <v>1463</v>
      </c>
      <c r="I1183" s="10" t="s">
        <v>11</v>
      </c>
      <c r="J1183" s="26">
        <v>218.22750000000002</v>
      </c>
      <c r="K1183" s="21"/>
      <c r="L1183" t="e">
        <f>VLOOKUP(A1183,Formulas!A:B,2,FALSE)</f>
        <v>#N/A</v>
      </c>
      <c r="M1183" s="32"/>
    </row>
    <row r="1184" spans="1:13" ht="42.5" customHeight="1">
      <c r="A1184" s="10">
        <v>8005</v>
      </c>
      <c r="B1184" s="11" t="s">
        <v>1291</v>
      </c>
      <c r="C1184" s="10" t="s">
        <v>511</v>
      </c>
      <c r="D1184" s="12" t="s">
        <v>11</v>
      </c>
      <c r="E1184" s="12" t="s">
        <v>11</v>
      </c>
      <c r="F1184" s="10" t="s">
        <v>1461</v>
      </c>
      <c r="G1184" s="10" t="s">
        <v>1462</v>
      </c>
      <c r="H1184" s="10" t="s">
        <v>1463</v>
      </c>
      <c r="I1184" s="10" t="s">
        <v>11</v>
      </c>
      <c r="J1184" s="26">
        <v>218.22750000000002</v>
      </c>
      <c r="K1184" s="21"/>
      <c r="L1184" t="e">
        <f>VLOOKUP(A1184,Formulas!A:B,2,FALSE)</f>
        <v>#N/A</v>
      </c>
      <c r="M1184" s="32"/>
    </row>
    <row r="1185" spans="1:13" ht="42.5" customHeight="1">
      <c r="A1185" s="10">
        <v>8006</v>
      </c>
      <c r="B1185" s="11" t="s">
        <v>1292</v>
      </c>
      <c r="C1185" s="10" t="s">
        <v>511</v>
      </c>
      <c r="D1185" s="12" t="s">
        <v>11</v>
      </c>
      <c r="E1185" s="12" t="s">
        <v>11</v>
      </c>
      <c r="F1185" s="10" t="s">
        <v>1461</v>
      </c>
      <c r="G1185" s="10" t="s">
        <v>1462</v>
      </c>
      <c r="H1185" s="10" t="s">
        <v>1463</v>
      </c>
      <c r="I1185" s="10" t="s">
        <v>11</v>
      </c>
      <c r="J1185" s="26">
        <v>261.87300000000005</v>
      </c>
      <c r="K1185" s="21"/>
      <c r="L1185" t="e">
        <f>VLOOKUP(A1185,Formulas!A:B,2,FALSE)</f>
        <v>#N/A</v>
      </c>
      <c r="M1185" s="32"/>
    </row>
    <row r="1186" spans="1:13" ht="42.5" customHeight="1">
      <c r="A1186" s="10">
        <v>8007</v>
      </c>
      <c r="B1186" s="11" t="s">
        <v>1293</v>
      </c>
      <c r="C1186" s="10" t="s">
        <v>511</v>
      </c>
      <c r="D1186" s="12" t="s">
        <v>11</v>
      </c>
      <c r="E1186" s="12" t="s">
        <v>11</v>
      </c>
      <c r="F1186" s="10" t="s">
        <v>1461</v>
      </c>
      <c r="G1186" s="10" t="s">
        <v>1462</v>
      </c>
      <c r="H1186" s="10" t="s">
        <v>1463</v>
      </c>
      <c r="I1186" s="10" t="s">
        <v>11</v>
      </c>
      <c r="J1186" s="26">
        <v>210.36336</v>
      </c>
      <c r="K1186" s="21"/>
      <c r="L1186" t="e">
        <f>VLOOKUP(A1186,Formulas!A:B,2,FALSE)</f>
        <v>#N/A</v>
      </c>
      <c r="M1186" s="32"/>
    </row>
    <row r="1187" spans="1:13" ht="41.5" customHeight="1">
      <c r="A1187" s="10">
        <v>8008</v>
      </c>
      <c r="B1187" s="11" t="s">
        <v>1294</v>
      </c>
      <c r="C1187" s="10" t="s">
        <v>511</v>
      </c>
      <c r="D1187" s="12" t="s">
        <v>11</v>
      </c>
      <c r="E1187" s="12" t="s">
        <v>11</v>
      </c>
      <c r="F1187" s="10" t="s">
        <v>1461</v>
      </c>
      <c r="G1187" s="10" t="s">
        <v>1462</v>
      </c>
      <c r="H1187" s="10" t="s">
        <v>1463</v>
      </c>
      <c r="I1187" s="10" t="s">
        <v>11</v>
      </c>
      <c r="J1187" s="26">
        <v>210.36336</v>
      </c>
      <c r="K1187" s="21"/>
      <c r="L1187" t="e">
        <f>VLOOKUP(A1187,Formulas!A:B,2,FALSE)</f>
        <v>#N/A</v>
      </c>
      <c r="M1187" s="32"/>
    </row>
    <row r="1188" spans="1:13" ht="41.5" customHeight="1">
      <c r="A1188" s="10">
        <v>8009</v>
      </c>
      <c r="B1188" s="11" t="s">
        <v>1295</v>
      </c>
      <c r="C1188" s="10" t="s">
        <v>511</v>
      </c>
      <c r="D1188" s="12" t="s">
        <v>11</v>
      </c>
      <c r="E1188" s="12" t="s">
        <v>11</v>
      </c>
      <c r="F1188" s="10" t="s">
        <v>1461</v>
      </c>
      <c r="G1188" s="10" t="s">
        <v>1462</v>
      </c>
      <c r="H1188" s="10" t="s">
        <v>1463</v>
      </c>
      <c r="I1188" s="10" t="s">
        <v>11</v>
      </c>
      <c r="J1188" s="26">
        <v>252.43582000000001</v>
      </c>
      <c r="K1188" s="21"/>
      <c r="L1188" t="e">
        <f>VLOOKUP(A1188,Formulas!A:B,2,FALSE)</f>
        <v>#N/A</v>
      </c>
      <c r="M1188" s="32"/>
    </row>
    <row r="1189" spans="1:13" ht="41.5" customHeight="1">
      <c r="A1189" s="10">
        <v>8156</v>
      </c>
      <c r="B1189" s="11" t="s">
        <v>1564</v>
      </c>
      <c r="C1189" s="10" t="s">
        <v>10</v>
      </c>
      <c r="D1189" s="12" t="s">
        <v>770</v>
      </c>
      <c r="E1189" s="10">
        <v>1350</v>
      </c>
      <c r="F1189" s="10" t="s">
        <v>1497</v>
      </c>
      <c r="G1189" s="10" t="s">
        <v>1497</v>
      </c>
      <c r="H1189" s="10" t="s">
        <v>1496</v>
      </c>
      <c r="I1189" s="10" t="s">
        <v>91</v>
      </c>
      <c r="J1189" s="13">
        <v>126.14</v>
      </c>
      <c r="K1189" s="21"/>
      <c r="L1189" t="e">
        <f>VLOOKUP(A1189,Formulas!A:B,2,FALSE)</f>
        <v>#N/A</v>
      </c>
      <c r="M1189" s="32"/>
    </row>
    <row r="1190" spans="1:13" ht="41.5" customHeight="1">
      <c r="A1190" s="10">
        <v>8157</v>
      </c>
      <c r="B1190" s="11" t="s">
        <v>1203</v>
      </c>
      <c r="C1190" s="10" t="s">
        <v>1377</v>
      </c>
      <c r="D1190" s="10" t="s">
        <v>11</v>
      </c>
      <c r="E1190" s="10" t="s">
        <v>11</v>
      </c>
      <c r="F1190" s="10" t="s">
        <v>1429</v>
      </c>
      <c r="G1190" s="10" t="s">
        <v>1428</v>
      </c>
      <c r="H1190" s="10" t="s">
        <v>1428</v>
      </c>
      <c r="I1190" s="10" t="s">
        <v>91</v>
      </c>
      <c r="J1190" s="26">
        <v>932.08450000000005</v>
      </c>
      <c r="K1190" s="21"/>
      <c r="L1190" t="e">
        <f>VLOOKUP(A1190,Formulas!A:B,2,FALSE)</f>
        <v>#N/A</v>
      </c>
      <c r="M1190" s="32"/>
    </row>
    <row r="1191" spans="1:13" ht="61.5" customHeight="1">
      <c r="A1191" s="10">
        <v>8158</v>
      </c>
      <c r="B1191" s="11" t="s">
        <v>1204</v>
      </c>
      <c r="C1191" s="10" t="s">
        <v>1377</v>
      </c>
      <c r="D1191" s="10" t="s">
        <v>11</v>
      </c>
      <c r="E1191" s="10" t="s">
        <v>11</v>
      </c>
      <c r="F1191" s="10" t="s">
        <v>1429</v>
      </c>
      <c r="G1191" s="10" t="s">
        <v>1428</v>
      </c>
      <c r="H1191" s="10" t="s">
        <v>1428</v>
      </c>
      <c r="I1191" s="10" t="s">
        <v>91</v>
      </c>
      <c r="J1191" s="26">
        <v>1118.5014000000001</v>
      </c>
      <c r="K1191" s="21"/>
      <c r="L1191" t="e">
        <f>VLOOKUP(A1191,Formulas!A:B,2,FALSE)</f>
        <v>#N/A</v>
      </c>
      <c r="M1191" s="32"/>
    </row>
    <row r="1192" spans="1:13" ht="61.5" customHeight="1">
      <c r="A1192" s="10">
        <v>8159</v>
      </c>
      <c r="B1192" s="11" t="s">
        <v>1205</v>
      </c>
      <c r="C1192" s="10" t="s">
        <v>1378</v>
      </c>
      <c r="D1192" s="10" t="s">
        <v>11</v>
      </c>
      <c r="E1192" s="10" t="s">
        <v>11</v>
      </c>
      <c r="F1192" s="10" t="s">
        <v>1430</v>
      </c>
      <c r="G1192" s="10" t="s">
        <v>1431</v>
      </c>
      <c r="H1192" s="10" t="s">
        <v>1431</v>
      </c>
      <c r="I1192" s="10" t="s">
        <v>91</v>
      </c>
      <c r="J1192" s="26">
        <v>1406.461</v>
      </c>
      <c r="K1192" s="21"/>
      <c r="L1192" t="e">
        <f>VLOOKUP(A1192,Formulas!A:B,2,FALSE)</f>
        <v>#N/A</v>
      </c>
      <c r="M1192" s="32"/>
    </row>
    <row r="1193" spans="1:13" ht="61.5" customHeight="1">
      <c r="A1193" s="10">
        <v>8160</v>
      </c>
      <c r="B1193" s="11" t="s">
        <v>1206</v>
      </c>
      <c r="C1193" s="10" t="s">
        <v>1378</v>
      </c>
      <c r="D1193" s="10" t="s">
        <v>11</v>
      </c>
      <c r="E1193" s="10" t="s">
        <v>11</v>
      </c>
      <c r="F1193" s="10" t="s">
        <v>1430</v>
      </c>
      <c r="G1193" s="10" t="s">
        <v>1431</v>
      </c>
      <c r="H1193" s="10" t="s">
        <v>1431</v>
      </c>
      <c r="I1193" s="10" t="s">
        <v>91</v>
      </c>
      <c r="J1193" s="26">
        <v>1687.7531999999999</v>
      </c>
      <c r="K1193" s="21"/>
      <c r="L1193" t="e">
        <f>VLOOKUP(A1193,Formulas!A:B,2,FALSE)</f>
        <v>#N/A</v>
      </c>
      <c r="M1193" s="32"/>
    </row>
    <row r="1194" spans="1:13" ht="41.5" customHeight="1">
      <c r="A1194" s="27">
        <v>8161</v>
      </c>
      <c r="B1194" s="28" t="s">
        <v>1354</v>
      </c>
      <c r="C1194" s="27" t="s">
        <v>10</v>
      </c>
      <c r="D1194" s="27" t="s">
        <v>107</v>
      </c>
      <c r="E1194" s="27">
        <v>1350</v>
      </c>
      <c r="F1194" s="27" t="s">
        <v>1528</v>
      </c>
      <c r="G1194" s="27" t="s">
        <v>1529</v>
      </c>
      <c r="H1194" s="27" t="s">
        <v>1529</v>
      </c>
      <c r="I1194" s="27" t="s">
        <v>91</v>
      </c>
      <c r="J1194" s="29">
        <v>380.62904000000003</v>
      </c>
      <c r="K1194" s="30"/>
      <c r="L1194" t="e">
        <f>VLOOKUP(A1194,Formulas!A:B,2,FALSE)</f>
        <v>#N/A</v>
      </c>
      <c r="M1194" s="32"/>
    </row>
    <row r="1195" spans="1:13" ht="41.5" customHeight="1">
      <c r="A1195" s="27">
        <v>8162</v>
      </c>
      <c r="B1195" s="28" t="s">
        <v>1355</v>
      </c>
      <c r="C1195" s="27" t="s">
        <v>10</v>
      </c>
      <c r="D1195" s="27" t="s">
        <v>107</v>
      </c>
      <c r="E1195" s="27">
        <v>1350</v>
      </c>
      <c r="F1195" s="27" t="s">
        <v>1528</v>
      </c>
      <c r="G1195" s="27" t="s">
        <v>1529</v>
      </c>
      <c r="H1195" s="27" t="s">
        <v>1529</v>
      </c>
      <c r="I1195" s="27" t="s">
        <v>91</v>
      </c>
      <c r="J1195" s="29">
        <v>317.19122000000004</v>
      </c>
      <c r="K1195" s="30"/>
      <c r="L1195" t="e">
        <f>VLOOKUP(A1195,Formulas!A:B,2,FALSE)</f>
        <v>#N/A</v>
      </c>
      <c r="M1195" s="32"/>
    </row>
    <row r="1196" spans="1:13" ht="41.5" customHeight="1">
      <c r="A1196" s="27">
        <v>8163</v>
      </c>
      <c r="B1196" s="28" t="s">
        <v>1356</v>
      </c>
      <c r="C1196" s="27" t="s">
        <v>10</v>
      </c>
      <c r="D1196" s="27" t="s">
        <v>107</v>
      </c>
      <c r="E1196" s="27">
        <v>1350</v>
      </c>
      <c r="F1196" s="27" t="s">
        <v>1528</v>
      </c>
      <c r="G1196" s="27" t="s">
        <v>1529</v>
      </c>
      <c r="H1196" s="27" t="s">
        <v>1529</v>
      </c>
      <c r="I1196" s="27" t="s">
        <v>91</v>
      </c>
      <c r="J1196" s="29">
        <v>317.19122000000004</v>
      </c>
      <c r="K1196" s="30"/>
      <c r="L1196" t="e">
        <f>VLOOKUP(A1196,Formulas!A:B,2,FALSE)</f>
        <v>#N/A</v>
      </c>
      <c r="M1196" s="32"/>
    </row>
    <row r="1197" spans="1:13" ht="41.5" customHeight="1">
      <c r="A1197" s="27">
        <v>8164</v>
      </c>
      <c r="B1197" s="28" t="s">
        <v>1357</v>
      </c>
      <c r="C1197" s="27" t="s">
        <v>10</v>
      </c>
      <c r="D1197" s="27" t="s">
        <v>770</v>
      </c>
      <c r="E1197" s="31">
        <v>900</v>
      </c>
      <c r="F1197" s="27" t="s">
        <v>1530</v>
      </c>
      <c r="G1197" s="27" t="s">
        <v>1531</v>
      </c>
      <c r="H1197" s="27" t="s">
        <v>1531</v>
      </c>
      <c r="I1197" s="27" t="s">
        <v>91</v>
      </c>
      <c r="J1197" s="29">
        <v>361.40806000000003</v>
      </c>
      <c r="K1197" s="30"/>
      <c r="L1197" t="e">
        <f>VLOOKUP(A1197,Formulas!A:B,2,FALSE)</f>
        <v>#N/A</v>
      </c>
      <c r="M1197" s="32"/>
    </row>
    <row r="1198" spans="1:13" ht="41.5" customHeight="1">
      <c r="A1198" s="27">
        <v>8165</v>
      </c>
      <c r="B1198" s="28" t="s">
        <v>1358</v>
      </c>
      <c r="C1198" s="27" t="s">
        <v>10</v>
      </c>
      <c r="D1198" s="27" t="s">
        <v>770</v>
      </c>
      <c r="E1198" s="31">
        <v>900</v>
      </c>
      <c r="F1198" s="27" t="s">
        <v>1530</v>
      </c>
      <c r="G1198" s="27" t="s">
        <v>1531</v>
      </c>
      <c r="H1198" s="27" t="s">
        <v>1531</v>
      </c>
      <c r="I1198" s="27" t="s">
        <v>91</v>
      </c>
      <c r="J1198" s="29">
        <v>301.17356000000001</v>
      </c>
      <c r="K1198" s="30"/>
      <c r="L1198" t="e">
        <f>VLOOKUP(A1198,Formulas!A:B,2,FALSE)</f>
        <v>#N/A</v>
      </c>
      <c r="M1198" s="32"/>
    </row>
    <row r="1199" spans="1:13" ht="41.5" customHeight="1">
      <c r="A1199" s="27">
        <v>8166</v>
      </c>
      <c r="B1199" s="28" t="s">
        <v>1359</v>
      </c>
      <c r="C1199" s="27" t="s">
        <v>10</v>
      </c>
      <c r="D1199" s="27" t="s">
        <v>770</v>
      </c>
      <c r="E1199" s="31">
        <v>900</v>
      </c>
      <c r="F1199" s="27" t="s">
        <v>1530</v>
      </c>
      <c r="G1199" s="27" t="s">
        <v>1531</v>
      </c>
      <c r="H1199" s="27" t="s">
        <v>1531</v>
      </c>
      <c r="I1199" s="27" t="s">
        <v>91</v>
      </c>
      <c r="J1199" s="29">
        <v>301.17356000000001</v>
      </c>
      <c r="K1199" s="30"/>
      <c r="L1199" t="e">
        <f>VLOOKUP(A1199,Formulas!A:B,2,FALSE)</f>
        <v>#N/A</v>
      </c>
      <c r="M1199" s="32"/>
    </row>
    <row r="1200" spans="1:13" ht="41.5" customHeight="1">
      <c r="A1200" s="27">
        <v>8167</v>
      </c>
      <c r="B1200" s="28" t="s">
        <v>1360</v>
      </c>
      <c r="C1200" s="27" t="s">
        <v>10</v>
      </c>
      <c r="D1200" s="27" t="s">
        <v>770</v>
      </c>
      <c r="E1200" s="27">
        <v>900</v>
      </c>
      <c r="F1200" s="27" t="s">
        <v>1434</v>
      </c>
      <c r="G1200" s="27" t="s">
        <v>1435</v>
      </c>
      <c r="H1200" s="27" t="s">
        <v>1435</v>
      </c>
      <c r="I1200" s="27" t="s">
        <v>11</v>
      </c>
      <c r="J1200" s="29">
        <v>405.10020000000003</v>
      </c>
      <c r="K1200" s="30"/>
      <c r="L1200" t="e">
        <f>VLOOKUP(A1200,Formulas!A:B,2,FALSE)</f>
        <v>#N/A</v>
      </c>
      <c r="M1200" s="32"/>
    </row>
    <row r="1201" spans="1:13" ht="41.5" customHeight="1">
      <c r="A1201" s="27">
        <v>8168</v>
      </c>
      <c r="B1201" s="28" t="s">
        <v>1361</v>
      </c>
      <c r="C1201" s="27" t="s">
        <v>10</v>
      </c>
      <c r="D1201" s="27" t="s">
        <v>770</v>
      </c>
      <c r="E1201" s="27">
        <v>900</v>
      </c>
      <c r="F1201" s="27" t="s">
        <v>1434</v>
      </c>
      <c r="G1201" s="27" t="s">
        <v>1435</v>
      </c>
      <c r="H1201" s="27" t="s">
        <v>1435</v>
      </c>
      <c r="I1201" s="27" t="s">
        <v>11</v>
      </c>
      <c r="J1201" s="29">
        <v>486.12024000000002</v>
      </c>
      <c r="K1201" s="30"/>
      <c r="L1201" t="e">
        <f>VLOOKUP(A1201,Formulas!A:B,2,FALSE)</f>
        <v>#N/A</v>
      </c>
      <c r="M1201" s="32"/>
    </row>
    <row r="1202" spans="1:13" ht="41.5" customHeight="1">
      <c r="A1202" s="27">
        <v>8169</v>
      </c>
      <c r="B1202" s="28" t="s">
        <v>1362</v>
      </c>
      <c r="C1202" s="27" t="s">
        <v>10</v>
      </c>
      <c r="D1202" s="27" t="s">
        <v>770</v>
      </c>
      <c r="E1202" s="27">
        <v>900</v>
      </c>
      <c r="F1202" s="27" t="s">
        <v>1434</v>
      </c>
      <c r="G1202" s="27" t="s">
        <v>1435</v>
      </c>
      <c r="H1202" s="27" t="s">
        <v>1435</v>
      </c>
      <c r="I1202" s="27" t="s">
        <v>11</v>
      </c>
      <c r="J1202" s="29">
        <v>405.10020000000003</v>
      </c>
      <c r="K1202" s="30"/>
      <c r="L1202" t="e">
        <f>VLOOKUP(A1202,Formulas!A:B,2,FALSE)</f>
        <v>#N/A</v>
      </c>
      <c r="M1202" s="32"/>
    </row>
    <row r="1203" spans="1:13" ht="41.5" customHeight="1">
      <c r="A1203" s="27">
        <v>8170</v>
      </c>
      <c r="B1203" s="28" t="s">
        <v>1363</v>
      </c>
      <c r="C1203" s="27" t="s">
        <v>10</v>
      </c>
      <c r="D1203" s="27" t="s">
        <v>768</v>
      </c>
      <c r="E1203" s="31">
        <v>375</v>
      </c>
      <c r="F1203" s="27" t="s">
        <v>1436</v>
      </c>
      <c r="G1203" s="27" t="s">
        <v>1437</v>
      </c>
      <c r="H1203" s="27" t="s">
        <v>1437</v>
      </c>
      <c r="I1203" s="27" t="s">
        <v>11</v>
      </c>
      <c r="J1203" s="29">
        <v>215.29978</v>
      </c>
      <c r="K1203" s="30"/>
      <c r="L1203" t="e">
        <f>VLOOKUP(A1203,Formulas!A:B,2,FALSE)</f>
        <v>#N/A</v>
      </c>
      <c r="M1203" s="32"/>
    </row>
    <row r="1204" spans="1:13" ht="41.5" customHeight="1">
      <c r="A1204" s="27">
        <v>8171</v>
      </c>
      <c r="B1204" s="28" t="s">
        <v>1364</v>
      </c>
      <c r="C1204" s="27" t="s">
        <v>10</v>
      </c>
      <c r="D1204" s="27" t="s">
        <v>768</v>
      </c>
      <c r="E1204" s="31">
        <v>375</v>
      </c>
      <c r="F1204" s="27" t="s">
        <v>1436</v>
      </c>
      <c r="G1204" s="27" t="s">
        <v>1437</v>
      </c>
      <c r="H1204" s="27" t="s">
        <v>1437</v>
      </c>
      <c r="I1204" s="27" t="s">
        <v>11</v>
      </c>
      <c r="J1204" s="29">
        <v>258.38454000000002</v>
      </c>
      <c r="K1204" s="30"/>
      <c r="L1204" t="e">
        <f>VLOOKUP(A1204,Formulas!A:B,2,FALSE)</f>
        <v>#N/A</v>
      </c>
      <c r="M1204" s="32"/>
    </row>
    <row r="1205" spans="1:13" ht="41.5" customHeight="1">
      <c r="A1205" s="27">
        <v>8172</v>
      </c>
      <c r="B1205" s="28" t="s">
        <v>1365</v>
      </c>
      <c r="C1205" s="27" t="s">
        <v>10</v>
      </c>
      <c r="D1205" s="27" t="s">
        <v>768</v>
      </c>
      <c r="E1205" s="31">
        <v>375</v>
      </c>
      <c r="F1205" s="27" t="s">
        <v>1436</v>
      </c>
      <c r="G1205" s="27" t="s">
        <v>1437</v>
      </c>
      <c r="H1205" s="27" t="s">
        <v>1437</v>
      </c>
      <c r="I1205" s="27" t="s">
        <v>11</v>
      </c>
      <c r="J1205" s="29">
        <v>215.29978</v>
      </c>
      <c r="K1205" s="30"/>
      <c r="L1205" t="e">
        <f>VLOOKUP(A1205,Formulas!A:B,2,FALSE)</f>
        <v>#N/A</v>
      </c>
      <c r="M1205" s="32"/>
    </row>
    <row r="1206" spans="1:13" ht="41.5" customHeight="1">
      <c r="A1206" s="10">
        <v>8173</v>
      </c>
      <c r="B1206" s="11" t="s">
        <v>1211</v>
      </c>
      <c r="C1206" s="10" t="s">
        <v>10</v>
      </c>
      <c r="D1206" s="10" t="s">
        <v>765</v>
      </c>
      <c r="E1206" s="10">
        <v>2400</v>
      </c>
      <c r="F1206" s="10" t="s">
        <v>1433</v>
      </c>
      <c r="G1206" s="10" t="s">
        <v>94</v>
      </c>
      <c r="H1206" s="10" t="s">
        <v>94</v>
      </c>
      <c r="I1206" s="10" t="s">
        <v>91</v>
      </c>
      <c r="J1206" s="26">
        <v>349.6728</v>
      </c>
      <c r="K1206" s="21"/>
      <c r="L1206" t="e">
        <f>VLOOKUP(A1206,Formulas!A:B,2,FALSE)</f>
        <v>#N/A</v>
      </c>
      <c r="M1206" s="32"/>
    </row>
    <row r="1207" spans="1:13" ht="41.5" customHeight="1">
      <c r="A1207" s="10">
        <v>8174</v>
      </c>
      <c r="B1207" s="11" t="s">
        <v>1212</v>
      </c>
      <c r="C1207" s="10" t="s">
        <v>10</v>
      </c>
      <c r="D1207" s="10" t="s">
        <v>765</v>
      </c>
      <c r="E1207" s="10">
        <v>2400</v>
      </c>
      <c r="F1207" s="10" t="s">
        <v>1433</v>
      </c>
      <c r="G1207" s="10" t="s">
        <v>94</v>
      </c>
      <c r="H1207" s="10" t="s">
        <v>94</v>
      </c>
      <c r="I1207" s="10" t="s">
        <v>91</v>
      </c>
      <c r="J1207" s="26">
        <v>419.60736000000003</v>
      </c>
      <c r="K1207" s="21"/>
      <c r="L1207" t="e">
        <f>VLOOKUP(A1207,Formulas!A:B,2,FALSE)</f>
        <v>#N/A</v>
      </c>
      <c r="M1207" s="32"/>
    </row>
    <row r="1208" spans="1:13" ht="41.5" customHeight="1">
      <c r="A1208" s="10">
        <v>8175</v>
      </c>
      <c r="B1208" s="11" t="s">
        <v>1213</v>
      </c>
      <c r="C1208" s="10" t="s">
        <v>10</v>
      </c>
      <c r="D1208" s="10" t="s">
        <v>765</v>
      </c>
      <c r="E1208" s="10">
        <v>2400</v>
      </c>
      <c r="F1208" s="10" t="s">
        <v>1433</v>
      </c>
      <c r="G1208" s="10" t="s">
        <v>94</v>
      </c>
      <c r="H1208" s="10" t="s">
        <v>94</v>
      </c>
      <c r="I1208" s="10" t="s">
        <v>91</v>
      </c>
      <c r="J1208" s="26">
        <v>349.6728</v>
      </c>
      <c r="K1208" s="21"/>
      <c r="L1208" t="e">
        <f>VLOOKUP(A1208,Formulas!A:B,2,FALSE)</f>
        <v>#N/A</v>
      </c>
      <c r="M1208" s="32"/>
    </row>
    <row r="1209" spans="1:13" ht="41.5" customHeight="1">
      <c r="A1209" s="10">
        <v>8176</v>
      </c>
      <c r="B1209" s="11" t="s">
        <v>1214</v>
      </c>
      <c r="C1209" s="10" t="s">
        <v>10</v>
      </c>
      <c r="D1209" s="10" t="s">
        <v>765</v>
      </c>
      <c r="E1209" s="10">
        <v>2400</v>
      </c>
      <c r="F1209" s="10" t="s">
        <v>1433</v>
      </c>
      <c r="G1209" s="10" t="s">
        <v>94</v>
      </c>
      <c r="H1209" s="10" t="s">
        <v>94</v>
      </c>
      <c r="I1209" s="10" t="s">
        <v>91</v>
      </c>
      <c r="J1209" s="26">
        <v>349.6728</v>
      </c>
      <c r="K1209" s="21"/>
      <c r="L1209" t="e">
        <f>VLOOKUP(A1209,Formulas!A:B,2,FALSE)</f>
        <v>#N/A</v>
      </c>
      <c r="M1209" s="32"/>
    </row>
    <row r="1210" spans="1:13" ht="41.5" customHeight="1">
      <c r="A1210" s="10">
        <v>8177</v>
      </c>
      <c r="B1210" s="11" t="s">
        <v>1333</v>
      </c>
      <c r="C1210" s="10" t="s">
        <v>1498</v>
      </c>
      <c r="D1210" s="12" t="s">
        <v>11</v>
      </c>
      <c r="E1210" s="12" t="s">
        <v>11</v>
      </c>
      <c r="F1210" s="10" t="s">
        <v>1485</v>
      </c>
      <c r="G1210" s="10" t="s">
        <v>1400</v>
      </c>
      <c r="H1210" s="10" t="s">
        <v>1400</v>
      </c>
      <c r="I1210" s="10" t="s">
        <v>11</v>
      </c>
      <c r="J1210" s="26">
        <v>180.95260000000002</v>
      </c>
      <c r="K1210" s="21"/>
      <c r="L1210" t="e">
        <f>VLOOKUP(A1210,Formulas!A:B,2,FALSE)</f>
        <v>#N/A</v>
      </c>
      <c r="M1210" s="32"/>
    </row>
    <row r="1211" spans="1:13" ht="41.5" customHeight="1">
      <c r="A1211" s="10">
        <v>8178</v>
      </c>
      <c r="B1211" s="11" t="s">
        <v>1334</v>
      </c>
      <c r="C1211" s="10" t="s">
        <v>1498</v>
      </c>
      <c r="D1211" s="12" t="s">
        <v>11</v>
      </c>
      <c r="E1211" s="12" t="s">
        <v>11</v>
      </c>
      <c r="F1211" s="10" t="s">
        <v>1485</v>
      </c>
      <c r="G1211" s="10" t="s">
        <v>1400</v>
      </c>
      <c r="H1211" s="10" t="s">
        <v>1400</v>
      </c>
      <c r="I1211" s="10" t="s">
        <v>11</v>
      </c>
      <c r="J1211" s="26">
        <v>180.95260000000002</v>
      </c>
      <c r="K1211" s="21"/>
      <c r="L1211" t="e">
        <f>VLOOKUP(A1211,Formulas!A:B,2,FALSE)</f>
        <v>#N/A</v>
      </c>
      <c r="M1211" s="32"/>
    </row>
    <row r="1212" spans="1:13" ht="41.5" customHeight="1">
      <c r="A1212" s="10">
        <v>8179</v>
      </c>
      <c r="B1212" s="11" t="s">
        <v>1335</v>
      </c>
      <c r="C1212" s="10" t="s">
        <v>1498</v>
      </c>
      <c r="D1212" s="12" t="s">
        <v>11</v>
      </c>
      <c r="E1212" s="12" t="s">
        <v>11</v>
      </c>
      <c r="F1212" s="10" t="s">
        <v>1485</v>
      </c>
      <c r="G1212" s="10" t="s">
        <v>1400</v>
      </c>
      <c r="H1212" s="10" t="s">
        <v>1400</v>
      </c>
      <c r="I1212" s="10" t="s">
        <v>11</v>
      </c>
      <c r="J1212" s="26">
        <v>217.14099999999999</v>
      </c>
      <c r="K1212" s="21"/>
      <c r="L1212" t="e">
        <f>VLOOKUP(A1212,Formulas!A:B,2,FALSE)</f>
        <v>#N/A</v>
      </c>
      <c r="M1212" s="32"/>
    </row>
    <row r="1213" spans="1:13" ht="41.5" customHeight="1">
      <c r="A1213" s="10">
        <v>8180</v>
      </c>
      <c r="B1213" s="11" t="s">
        <v>1336</v>
      </c>
      <c r="C1213" s="10" t="s">
        <v>1498</v>
      </c>
      <c r="D1213" s="12" t="s">
        <v>11</v>
      </c>
      <c r="E1213" s="12" t="s">
        <v>11</v>
      </c>
      <c r="F1213" s="10" t="s">
        <v>1485</v>
      </c>
      <c r="G1213" s="10" t="s">
        <v>1400</v>
      </c>
      <c r="H1213" s="10" t="s">
        <v>1400</v>
      </c>
      <c r="I1213" s="10" t="s">
        <v>11</v>
      </c>
      <c r="J1213" s="26">
        <v>180.95260000000002</v>
      </c>
      <c r="K1213" s="21"/>
      <c r="L1213" t="e">
        <f>VLOOKUP(A1213,Formulas!A:B,2,FALSE)</f>
        <v>#N/A</v>
      </c>
      <c r="M1213" s="32"/>
    </row>
    <row r="1214" spans="1:13" ht="78.75" customHeight="1">
      <c r="A1214" s="10">
        <v>8181</v>
      </c>
      <c r="B1214" s="11" t="s">
        <v>1337</v>
      </c>
      <c r="C1214" s="10" t="s">
        <v>1498</v>
      </c>
      <c r="D1214" s="12" t="s">
        <v>11</v>
      </c>
      <c r="E1214" s="12" t="s">
        <v>11</v>
      </c>
      <c r="F1214" s="10" t="s">
        <v>1485</v>
      </c>
      <c r="G1214" s="10" t="s">
        <v>1400</v>
      </c>
      <c r="H1214" s="10" t="s">
        <v>1400</v>
      </c>
      <c r="I1214" s="10" t="s">
        <v>11</v>
      </c>
      <c r="J1214" s="26">
        <v>180.95260000000002</v>
      </c>
      <c r="K1214" s="21"/>
      <c r="L1214" t="e">
        <f>VLOOKUP(A1214,Formulas!A:B,2,FALSE)</f>
        <v>#N/A</v>
      </c>
      <c r="M1214" s="32"/>
    </row>
    <row r="1215" spans="1:13" ht="78.75" customHeight="1">
      <c r="A1215" s="10">
        <v>8182</v>
      </c>
      <c r="B1215" s="11" t="s">
        <v>1271</v>
      </c>
      <c r="C1215" s="10" t="s">
        <v>10</v>
      </c>
      <c r="D1215" s="12" t="s">
        <v>768</v>
      </c>
      <c r="E1215" s="10">
        <v>375</v>
      </c>
      <c r="F1215" s="10" t="s">
        <v>1455</v>
      </c>
      <c r="G1215" s="10" t="s">
        <v>270</v>
      </c>
      <c r="H1215" s="10" t="s">
        <v>270</v>
      </c>
      <c r="I1215" s="10" t="s">
        <v>91</v>
      </c>
      <c r="J1215" s="13">
        <v>177.15780000000001</v>
      </c>
      <c r="K1215" s="21"/>
      <c r="L1215" t="e">
        <f>VLOOKUP(A1215,Formulas!A:B,2,FALSE)</f>
        <v>#N/A</v>
      </c>
      <c r="M1215" s="32"/>
    </row>
    <row r="1216" spans="1:13" ht="78.75" customHeight="1">
      <c r="A1216" s="10">
        <v>8245</v>
      </c>
      <c r="B1216" s="11" t="s">
        <v>1383</v>
      </c>
      <c r="C1216" s="10" t="s">
        <v>102</v>
      </c>
      <c r="D1216" s="12" t="s">
        <v>11</v>
      </c>
      <c r="E1216" s="12" t="s">
        <v>11</v>
      </c>
      <c r="F1216" s="12" t="s">
        <v>11</v>
      </c>
      <c r="G1216" s="12" t="s">
        <v>11</v>
      </c>
      <c r="H1216" s="12" t="s">
        <v>11</v>
      </c>
      <c r="I1216" s="10" t="s">
        <v>11</v>
      </c>
      <c r="J1216" s="13">
        <v>62.762600000000006</v>
      </c>
      <c r="K1216" s="21" t="s">
        <v>1020</v>
      </c>
      <c r="L1216" t="e">
        <f>VLOOKUP(A1216,Formulas!A:B,2,FALSE)</f>
        <v>#N/A</v>
      </c>
      <c r="M1216" s="32"/>
    </row>
    <row r="1217" spans="1:13" ht="41.5" customHeight="1">
      <c r="A1217" s="10">
        <v>8247</v>
      </c>
      <c r="B1217" s="11" t="s">
        <v>1384</v>
      </c>
      <c r="C1217" s="10" t="s">
        <v>102</v>
      </c>
      <c r="D1217" s="12" t="s">
        <v>11</v>
      </c>
      <c r="E1217" s="10" t="s">
        <v>11</v>
      </c>
      <c r="F1217" s="10" t="s">
        <v>11</v>
      </c>
      <c r="G1217" s="10" t="s">
        <v>11</v>
      </c>
      <c r="H1217" s="10" t="s">
        <v>11</v>
      </c>
      <c r="I1217" s="10" t="s">
        <v>11</v>
      </c>
      <c r="J1217" s="13">
        <v>62.762600000000006</v>
      </c>
      <c r="K1217" s="21" t="s">
        <v>1020</v>
      </c>
      <c r="L1217" t="e">
        <f>VLOOKUP(A1217,Formulas!A:B,2,FALSE)</f>
        <v>#N/A</v>
      </c>
      <c r="M1217" s="32"/>
    </row>
    <row r="1218" spans="1:13" ht="41.5" customHeight="1">
      <c r="A1218" s="10">
        <v>8248</v>
      </c>
      <c r="B1218" s="11" t="s">
        <v>1385</v>
      </c>
      <c r="C1218" s="10" t="s">
        <v>102</v>
      </c>
      <c r="D1218" s="12" t="s">
        <v>11</v>
      </c>
      <c r="E1218" s="12" t="s">
        <v>11</v>
      </c>
      <c r="F1218" s="12" t="s">
        <v>11</v>
      </c>
      <c r="G1218" s="12" t="s">
        <v>11</v>
      </c>
      <c r="H1218" s="12" t="s">
        <v>11</v>
      </c>
      <c r="I1218" s="10" t="s">
        <v>11</v>
      </c>
      <c r="J1218" s="13">
        <v>62.762600000000006</v>
      </c>
      <c r="K1218" s="21" t="s">
        <v>1020</v>
      </c>
      <c r="L1218" t="e">
        <f>VLOOKUP(A1218,Formulas!A:B,2,FALSE)</f>
        <v>#N/A</v>
      </c>
      <c r="M1218" s="32"/>
    </row>
    <row r="1219" spans="1:13" ht="41.5" customHeight="1">
      <c r="A1219" s="10">
        <v>8249</v>
      </c>
      <c r="B1219" s="11" t="s">
        <v>1386</v>
      </c>
      <c r="C1219" s="10" t="s">
        <v>511</v>
      </c>
      <c r="D1219" s="12" t="s">
        <v>11</v>
      </c>
      <c r="E1219" s="10" t="s">
        <v>11</v>
      </c>
      <c r="F1219" s="10" t="s">
        <v>11</v>
      </c>
      <c r="G1219" s="10" t="s">
        <v>11</v>
      </c>
      <c r="H1219" s="10" t="s">
        <v>11</v>
      </c>
      <c r="I1219" s="10" t="s">
        <v>11</v>
      </c>
      <c r="J1219" s="13">
        <v>60.95</v>
      </c>
      <c r="K1219" s="21" t="s">
        <v>1020</v>
      </c>
      <c r="L1219" t="e">
        <f>VLOOKUP(A1219,Formulas!A:B,2,FALSE)</f>
        <v>#N/A</v>
      </c>
      <c r="M1219" s="32"/>
    </row>
    <row r="1220" spans="1:13" ht="41.5" customHeight="1">
      <c r="A1220" s="10">
        <v>8250</v>
      </c>
      <c r="B1220" s="11" t="s">
        <v>1387</v>
      </c>
      <c r="C1220" s="10" t="s">
        <v>511</v>
      </c>
      <c r="D1220" s="12" t="s">
        <v>11</v>
      </c>
      <c r="E1220" s="12" t="s">
        <v>11</v>
      </c>
      <c r="F1220" s="12" t="s">
        <v>11</v>
      </c>
      <c r="G1220" s="12" t="s">
        <v>11</v>
      </c>
      <c r="H1220" s="12" t="s">
        <v>11</v>
      </c>
      <c r="I1220" s="10" t="s">
        <v>11</v>
      </c>
      <c r="J1220" s="13">
        <v>60.95</v>
      </c>
      <c r="K1220" s="21" t="s">
        <v>1020</v>
      </c>
      <c r="L1220" t="e">
        <f>VLOOKUP(A1220,Formulas!A:B,2,FALSE)</f>
        <v>#N/A</v>
      </c>
      <c r="M1220" s="32"/>
    </row>
    <row r="1221" spans="1:13" ht="41.5" customHeight="1">
      <c r="A1221" s="10">
        <v>8251</v>
      </c>
      <c r="B1221" s="11" t="s">
        <v>1388</v>
      </c>
      <c r="C1221" s="10" t="s">
        <v>511</v>
      </c>
      <c r="D1221" s="12" t="s">
        <v>11</v>
      </c>
      <c r="E1221" s="10" t="s">
        <v>11</v>
      </c>
      <c r="F1221" s="10" t="s">
        <v>11</v>
      </c>
      <c r="G1221" s="10" t="s">
        <v>11</v>
      </c>
      <c r="H1221" s="10" t="s">
        <v>11</v>
      </c>
      <c r="I1221" s="10" t="s">
        <v>11</v>
      </c>
      <c r="J1221" s="13">
        <v>60.95</v>
      </c>
      <c r="K1221" s="21" t="s">
        <v>1020</v>
      </c>
      <c r="L1221" t="e">
        <f>VLOOKUP(A1221,Formulas!A:B,2,FALSE)</f>
        <v>#N/A</v>
      </c>
      <c r="M1221" s="32"/>
    </row>
    <row r="1222" spans="1:13" ht="41.5" customHeight="1">
      <c r="A1222" s="27">
        <v>8269</v>
      </c>
      <c r="B1222" s="28" t="s">
        <v>1366</v>
      </c>
      <c r="C1222" s="27" t="s">
        <v>10</v>
      </c>
      <c r="D1222" s="27" t="s">
        <v>770</v>
      </c>
      <c r="E1222" s="31">
        <v>900</v>
      </c>
      <c r="F1222" s="27" t="s">
        <v>1530</v>
      </c>
      <c r="G1222" s="27" t="s">
        <v>1531</v>
      </c>
      <c r="H1222" s="27" t="s">
        <v>1531</v>
      </c>
      <c r="I1222" s="27" t="s">
        <v>91</v>
      </c>
      <c r="J1222" s="29">
        <v>361.40806000000003</v>
      </c>
      <c r="K1222" s="30"/>
      <c r="L1222" t="e">
        <f>VLOOKUP(A1222,Formulas!A:B,2,FALSE)</f>
        <v>#N/A</v>
      </c>
      <c r="M1222" s="32"/>
    </row>
    <row r="1223" spans="1:13" ht="41.5" customHeight="1">
      <c r="A1223" s="27">
        <v>8270</v>
      </c>
      <c r="B1223" s="28" t="s">
        <v>1367</v>
      </c>
      <c r="C1223" s="27" t="s">
        <v>10</v>
      </c>
      <c r="D1223" s="27" t="s">
        <v>770</v>
      </c>
      <c r="E1223" s="31">
        <v>900</v>
      </c>
      <c r="F1223" s="27" t="s">
        <v>1530</v>
      </c>
      <c r="G1223" s="27" t="s">
        <v>1531</v>
      </c>
      <c r="H1223" s="27" t="s">
        <v>1531</v>
      </c>
      <c r="I1223" s="27" t="s">
        <v>91</v>
      </c>
      <c r="J1223" s="29">
        <v>361.40806000000003</v>
      </c>
      <c r="K1223" s="30"/>
      <c r="L1223" t="e">
        <f>VLOOKUP(A1223,Formulas!A:B,2,FALSE)</f>
        <v>#N/A</v>
      </c>
      <c r="M1223" s="32"/>
    </row>
    <row r="1224" spans="1:13" ht="41.5" customHeight="1">
      <c r="A1224" s="27">
        <v>8271</v>
      </c>
      <c r="B1224" s="28" t="s">
        <v>1368</v>
      </c>
      <c r="C1224" s="27" t="s">
        <v>10</v>
      </c>
      <c r="D1224" s="27" t="s">
        <v>770</v>
      </c>
      <c r="E1224" s="31">
        <v>900</v>
      </c>
      <c r="F1224" s="27" t="s">
        <v>1530</v>
      </c>
      <c r="G1224" s="27" t="s">
        <v>1531</v>
      </c>
      <c r="H1224" s="27" t="s">
        <v>1531</v>
      </c>
      <c r="I1224" s="27" t="s">
        <v>91</v>
      </c>
      <c r="J1224" s="29">
        <v>361.40806000000003</v>
      </c>
      <c r="K1224" s="30"/>
      <c r="L1224" t="e">
        <f>VLOOKUP(A1224,Formulas!A:B,2,FALSE)</f>
        <v>#N/A</v>
      </c>
      <c r="M1224" s="32"/>
    </row>
    <row r="1225" spans="1:13" ht="41.5" customHeight="1">
      <c r="A1225" s="27">
        <v>8272</v>
      </c>
      <c r="B1225" s="28" t="s">
        <v>1369</v>
      </c>
      <c r="C1225" s="27" t="s">
        <v>10</v>
      </c>
      <c r="D1225" s="27" t="s">
        <v>107</v>
      </c>
      <c r="E1225" s="27">
        <v>1350</v>
      </c>
      <c r="F1225" s="27" t="s">
        <v>1528</v>
      </c>
      <c r="G1225" s="27" t="s">
        <v>1529</v>
      </c>
      <c r="H1225" s="27" t="s">
        <v>1529</v>
      </c>
      <c r="I1225" s="27" t="s">
        <v>91</v>
      </c>
      <c r="J1225" s="29">
        <v>380.62904000000003</v>
      </c>
      <c r="K1225" s="30"/>
      <c r="L1225" t="e">
        <f>VLOOKUP(A1225,Formulas!A:B,2,FALSE)</f>
        <v>#N/A</v>
      </c>
      <c r="M1225" s="32"/>
    </row>
    <row r="1226" spans="1:13" ht="41.5" customHeight="1">
      <c r="A1226" s="27">
        <v>8273</v>
      </c>
      <c r="B1226" s="28" t="s">
        <v>1370</v>
      </c>
      <c r="C1226" s="27" t="s">
        <v>10</v>
      </c>
      <c r="D1226" s="27" t="s">
        <v>107</v>
      </c>
      <c r="E1226" s="27">
        <v>1350</v>
      </c>
      <c r="F1226" s="27" t="s">
        <v>1528</v>
      </c>
      <c r="G1226" s="27" t="s">
        <v>1529</v>
      </c>
      <c r="H1226" s="27" t="s">
        <v>1529</v>
      </c>
      <c r="I1226" s="27" t="s">
        <v>91</v>
      </c>
      <c r="J1226" s="29">
        <v>380.62904000000003</v>
      </c>
      <c r="K1226" s="30"/>
      <c r="L1226" t="e">
        <f>VLOOKUP(A1226,Formulas!A:B,2,FALSE)</f>
        <v>#N/A</v>
      </c>
      <c r="M1226" s="32"/>
    </row>
    <row r="1227" spans="1:13" ht="41.5" customHeight="1">
      <c r="A1227" s="27">
        <v>8274</v>
      </c>
      <c r="B1227" s="28" t="s">
        <v>1371</v>
      </c>
      <c r="C1227" s="27" t="s">
        <v>10</v>
      </c>
      <c r="D1227" s="27" t="s">
        <v>107</v>
      </c>
      <c r="E1227" s="27">
        <v>1350</v>
      </c>
      <c r="F1227" s="27" t="s">
        <v>1528</v>
      </c>
      <c r="G1227" s="27" t="s">
        <v>1529</v>
      </c>
      <c r="H1227" s="27" t="s">
        <v>1529</v>
      </c>
      <c r="I1227" s="27" t="s">
        <v>91</v>
      </c>
      <c r="J1227" s="29">
        <v>380.62904000000003</v>
      </c>
      <c r="K1227" s="30"/>
      <c r="L1227" t="e">
        <f>VLOOKUP(A1227,Formulas!A:B,2,FALSE)</f>
        <v>#N/A</v>
      </c>
      <c r="M1227" s="32"/>
    </row>
    <row r="1228" spans="1:13" ht="42.5" customHeight="1">
      <c r="A1228" s="27">
        <v>8275</v>
      </c>
      <c r="B1228" s="28" t="s">
        <v>1372</v>
      </c>
      <c r="C1228" s="27" t="s">
        <v>10</v>
      </c>
      <c r="D1228" s="27" t="s">
        <v>770</v>
      </c>
      <c r="E1228" s="27">
        <v>900</v>
      </c>
      <c r="F1228" s="27" t="s">
        <v>1434</v>
      </c>
      <c r="G1228" s="27" t="s">
        <v>1435</v>
      </c>
      <c r="H1228" s="27" t="s">
        <v>1435</v>
      </c>
      <c r="I1228" s="27" t="s">
        <v>11</v>
      </c>
      <c r="J1228" s="29">
        <v>486.12024000000002</v>
      </c>
      <c r="K1228" s="30"/>
      <c r="L1228" t="e">
        <f>VLOOKUP(A1228,Formulas!A:B,2,FALSE)</f>
        <v>#N/A</v>
      </c>
      <c r="M1228" s="32"/>
    </row>
    <row r="1229" spans="1:13" ht="42.5" customHeight="1">
      <c r="A1229" s="27">
        <v>8276</v>
      </c>
      <c r="B1229" s="28" t="s">
        <v>1373</v>
      </c>
      <c r="C1229" s="27" t="s">
        <v>10</v>
      </c>
      <c r="D1229" s="27" t="s">
        <v>770</v>
      </c>
      <c r="E1229" s="27">
        <v>900</v>
      </c>
      <c r="F1229" s="27" t="s">
        <v>1434</v>
      </c>
      <c r="G1229" s="27" t="s">
        <v>1435</v>
      </c>
      <c r="H1229" s="27" t="s">
        <v>1435</v>
      </c>
      <c r="I1229" s="27" t="s">
        <v>11</v>
      </c>
      <c r="J1229" s="29">
        <v>486.12024000000002</v>
      </c>
      <c r="K1229" s="30"/>
      <c r="L1229" t="e">
        <f>VLOOKUP(A1229,Formulas!A:B,2,FALSE)</f>
        <v>#N/A</v>
      </c>
      <c r="M1229" s="32"/>
    </row>
    <row r="1230" spans="1:13" ht="42.5" customHeight="1">
      <c r="A1230" s="27">
        <v>8277</v>
      </c>
      <c r="B1230" s="28" t="s">
        <v>1374</v>
      </c>
      <c r="C1230" s="27" t="s">
        <v>10</v>
      </c>
      <c r="D1230" s="27" t="s">
        <v>768</v>
      </c>
      <c r="E1230" s="31">
        <v>375</v>
      </c>
      <c r="F1230" s="27" t="s">
        <v>1436</v>
      </c>
      <c r="G1230" s="27" t="s">
        <v>1437</v>
      </c>
      <c r="H1230" s="27" t="s">
        <v>1437</v>
      </c>
      <c r="I1230" s="27" t="s">
        <v>11</v>
      </c>
      <c r="J1230" s="29">
        <v>258.38454000000002</v>
      </c>
      <c r="K1230" s="30"/>
      <c r="L1230" t="e">
        <f>VLOOKUP(A1230,Formulas!A:B,2,FALSE)</f>
        <v>#N/A</v>
      </c>
      <c r="M1230" s="32"/>
    </row>
    <row r="1231" spans="1:13" ht="42.5" customHeight="1">
      <c r="A1231" s="27">
        <v>8278</v>
      </c>
      <c r="B1231" s="28" t="s">
        <v>1375</v>
      </c>
      <c r="C1231" s="27" t="s">
        <v>10</v>
      </c>
      <c r="D1231" s="27" t="s">
        <v>768</v>
      </c>
      <c r="E1231" s="31">
        <v>375</v>
      </c>
      <c r="F1231" s="27" t="s">
        <v>1436</v>
      </c>
      <c r="G1231" s="27" t="s">
        <v>1437</v>
      </c>
      <c r="H1231" s="27" t="s">
        <v>1437</v>
      </c>
      <c r="I1231" s="27" t="s">
        <v>11</v>
      </c>
      <c r="J1231" s="29">
        <v>258.38454000000002</v>
      </c>
      <c r="K1231" s="30"/>
      <c r="L1231" t="e">
        <f>VLOOKUP(A1231,Formulas!A:B,2,FALSE)</f>
        <v>#N/A</v>
      </c>
      <c r="M1231" s="32"/>
    </row>
    <row r="1232" spans="1:13" ht="42.5" customHeight="1">
      <c r="A1232" s="10">
        <v>8287</v>
      </c>
      <c r="B1232" s="11" t="s">
        <v>1389</v>
      </c>
      <c r="C1232" s="10" t="s">
        <v>10</v>
      </c>
      <c r="D1232" s="10" t="s">
        <v>844</v>
      </c>
      <c r="E1232" s="10">
        <v>1725</v>
      </c>
      <c r="F1232" s="10" t="s">
        <v>1497</v>
      </c>
      <c r="G1232" s="10" t="s">
        <v>1497</v>
      </c>
      <c r="H1232" s="10" t="s">
        <v>318</v>
      </c>
      <c r="I1232" s="10" t="s">
        <v>91</v>
      </c>
      <c r="J1232" s="13">
        <v>136.74</v>
      </c>
      <c r="K1232" s="21" t="s">
        <v>1020</v>
      </c>
      <c r="L1232" t="e">
        <f>VLOOKUP(A1232,Formulas!A:B,2,FALSE)</f>
        <v>#N/A</v>
      </c>
      <c r="M1232" s="32"/>
    </row>
    <row r="1233" spans="1:13" ht="42.5" customHeight="1">
      <c r="A1233" s="10">
        <v>8288</v>
      </c>
      <c r="B1233" s="11" t="s">
        <v>1390</v>
      </c>
      <c r="C1233" s="10" t="s">
        <v>10</v>
      </c>
      <c r="D1233" s="10" t="s">
        <v>844</v>
      </c>
      <c r="E1233" s="10">
        <v>1725</v>
      </c>
      <c r="F1233" s="10" t="s">
        <v>1497</v>
      </c>
      <c r="G1233" s="10" t="s">
        <v>1497</v>
      </c>
      <c r="H1233" s="10" t="s">
        <v>318</v>
      </c>
      <c r="I1233" s="10" t="s">
        <v>91</v>
      </c>
      <c r="J1233" s="13">
        <v>136.74</v>
      </c>
      <c r="K1233" s="21" t="s">
        <v>1020</v>
      </c>
      <c r="L1233" t="e">
        <f>VLOOKUP(A1233,Formulas!A:B,2,FALSE)</f>
        <v>#N/A</v>
      </c>
      <c r="M1233" s="32"/>
    </row>
    <row r="1234" spans="1:13" ht="42.5" customHeight="1">
      <c r="A1234" s="10">
        <v>8289</v>
      </c>
      <c r="B1234" s="11" t="s">
        <v>1391</v>
      </c>
      <c r="C1234" s="10" t="s">
        <v>10</v>
      </c>
      <c r="D1234" s="10" t="s">
        <v>844</v>
      </c>
      <c r="E1234" s="10">
        <v>1725</v>
      </c>
      <c r="F1234" s="10" t="s">
        <v>1497</v>
      </c>
      <c r="G1234" s="10" t="s">
        <v>1497</v>
      </c>
      <c r="H1234" s="10" t="s">
        <v>318</v>
      </c>
      <c r="I1234" s="10" t="s">
        <v>91</v>
      </c>
      <c r="J1234" s="13">
        <v>136.74</v>
      </c>
      <c r="K1234" s="21" t="s">
        <v>1020</v>
      </c>
      <c r="L1234" t="e">
        <f>VLOOKUP(A1234,Formulas!A:B,2,FALSE)</f>
        <v>#N/A</v>
      </c>
      <c r="M1234" s="32"/>
    </row>
    <row r="1235" spans="1:13" ht="42.5" customHeight="1">
      <c r="A1235" s="10">
        <v>8332</v>
      </c>
      <c r="B1235" s="11" t="s">
        <v>1501</v>
      </c>
      <c r="C1235" s="10" t="s">
        <v>10</v>
      </c>
      <c r="D1235" s="12" t="s">
        <v>772</v>
      </c>
      <c r="E1235" s="12">
        <v>900</v>
      </c>
      <c r="F1235" s="10" t="s">
        <v>850</v>
      </c>
      <c r="G1235" s="10" t="s">
        <v>289</v>
      </c>
      <c r="H1235" s="10" t="s">
        <v>289</v>
      </c>
      <c r="I1235" s="10" t="s">
        <v>11</v>
      </c>
      <c r="J1235" s="13">
        <v>163.1764</v>
      </c>
      <c r="K1235" s="14"/>
      <c r="L1235" t="e">
        <f>VLOOKUP(A1235,Formulas!A:B,2,FALSE)</f>
        <v>#N/A</v>
      </c>
      <c r="M1235" s="32"/>
    </row>
    <row r="1236" spans="1:13" ht="42.5" customHeight="1">
      <c r="A1236" s="10">
        <v>8333</v>
      </c>
      <c r="B1236" s="11" t="s">
        <v>1510</v>
      </c>
      <c r="C1236" s="10" t="s">
        <v>10</v>
      </c>
      <c r="D1236" s="12" t="s">
        <v>772</v>
      </c>
      <c r="E1236" s="10">
        <v>900</v>
      </c>
      <c r="F1236" s="10" t="s">
        <v>850</v>
      </c>
      <c r="G1236" s="10" t="s">
        <v>289</v>
      </c>
      <c r="H1236" s="10" t="s">
        <v>289</v>
      </c>
      <c r="I1236" s="10" t="s">
        <v>11</v>
      </c>
      <c r="J1236" s="13">
        <v>163.1764</v>
      </c>
      <c r="K1236" s="14"/>
      <c r="L1236" t="e">
        <f>VLOOKUP(A1236,Formulas!A:B,2,FALSE)</f>
        <v>#N/A</v>
      </c>
      <c r="M1236" s="32"/>
    </row>
    <row r="1237" spans="1:13" ht="41.5" customHeight="1">
      <c r="A1237" s="10">
        <v>8334</v>
      </c>
      <c r="B1237" s="11" t="s">
        <v>1511</v>
      </c>
      <c r="C1237" s="10" t="s">
        <v>10</v>
      </c>
      <c r="D1237" s="12" t="s">
        <v>772</v>
      </c>
      <c r="E1237" s="12">
        <v>900</v>
      </c>
      <c r="F1237" s="10" t="s">
        <v>850</v>
      </c>
      <c r="G1237" s="10" t="s">
        <v>289</v>
      </c>
      <c r="H1237" s="10" t="s">
        <v>289</v>
      </c>
      <c r="I1237" s="10" t="s">
        <v>11</v>
      </c>
      <c r="J1237" s="13">
        <v>163.1764</v>
      </c>
      <c r="K1237" s="14"/>
      <c r="L1237" t="e">
        <f>VLOOKUP(A1237,Formulas!A:B,2,FALSE)</f>
        <v>#N/A</v>
      </c>
      <c r="M1237" s="32"/>
    </row>
    <row r="1238" spans="1:13" ht="41.5" customHeight="1">
      <c r="A1238" s="10">
        <v>8335</v>
      </c>
      <c r="B1238" s="11" t="s">
        <v>1512</v>
      </c>
      <c r="C1238" s="10" t="s">
        <v>10</v>
      </c>
      <c r="D1238" s="12" t="s">
        <v>772</v>
      </c>
      <c r="E1238" s="12">
        <v>900</v>
      </c>
      <c r="F1238" s="10" t="s">
        <v>850</v>
      </c>
      <c r="G1238" s="10" t="s">
        <v>289</v>
      </c>
      <c r="H1238" s="10" t="s">
        <v>289</v>
      </c>
      <c r="I1238" s="10" t="s">
        <v>11</v>
      </c>
      <c r="J1238" s="13">
        <v>163.1764</v>
      </c>
      <c r="K1238" s="14"/>
      <c r="L1238" t="e">
        <f>VLOOKUP(A1238,Formulas!A:B,2,FALSE)</f>
        <v>#N/A</v>
      </c>
      <c r="M1238" s="32"/>
    </row>
    <row r="1239" spans="1:13" ht="41.5" customHeight="1">
      <c r="A1239" s="10">
        <v>8336</v>
      </c>
      <c r="B1239" s="11" t="s">
        <v>1513</v>
      </c>
      <c r="C1239" s="10" t="s">
        <v>10</v>
      </c>
      <c r="D1239" s="12" t="s">
        <v>772</v>
      </c>
      <c r="E1239" s="10">
        <v>900</v>
      </c>
      <c r="F1239" s="10" t="s">
        <v>850</v>
      </c>
      <c r="G1239" s="10" t="s">
        <v>289</v>
      </c>
      <c r="H1239" s="10" t="s">
        <v>289</v>
      </c>
      <c r="I1239" s="10" t="s">
        <v>11</v>
      </c>
      <c r="J1239" s="13">
        <v>163.1764</v>
      </c>
      <c r="K1239" s="14"/>
      <c r="L1239" t="e">
        <f>VLOOKUP(A1239,Formulas!A:B,2,FALSE)</f>
        <v>#N/A</v>
      </c>
      <c r="M1239" s="32"/>
    </row>
    <row r="1240" spans="1:13" ht="41.5" customHeight="1">
      <c r="A1240" s="10">
        <v>8337</v>
      </c>
      <c r="B1240" s="11" t="s">
        <v>1514</v>
      </c>
      <c r="C1240" s="10" t="s">
        <v>10</v>
      </c>
      <c r="D1240" s="12" t="s">
        <v>772</v>
      </c>
      <c r="E1240" s="12">
        <v>900</v>
      </c>
      <c r="F1240" s="10" t="s">
        <v>850</v>
      </c>
      <c r="G1240" s="10" t="s">
        <v>289</v>
      </c>
      <c r="H1240" s="10" t="s">
        <v>289</v>
      </c>
      <c r="I1240" s="10" t="s">
        <v>11</v>
      </c>
      <c r="J1240" s="13">
        <v>163.1764</v>
      </c>
      <c r="K1240" s="14"/>
      <c r="L1240" t="e">
        <f>VLOOKUP(A1240,Formulas!A:B,2,FALSE)</f>
        <v>#N/A</v>
      </c>
      <c r="M1240" s="32"/>
    </row>
    <row r="1241" spans="1:13" ht="41.5" customHeight="1">
      <c r="A1241" s="10">
        <v>8338</v>
      </c>
      <c r="B1241" s="11" t="s">
        <v>1515</v>
      </c>
      <c r="C1241" s="10" t="s">
        <v>10</v>
      </c>
      <c r="D1241" s="12" t="s">
        <v>772</v>
      </c>
      <c r="E1241" s="10">
        <v>900</v>
      </c>
      <c r="F1241" s="10" t="s">
        <v>850</v>
      </c>
      <c r="G1241" s="10" t="s">
        <v>289</v>
      </c>
      <c r="H1241" s="10" t="s">
        <v>289</v>
      </c>
      <c r="I1241" s="10" t="s">
        <v>11</v>
      </c>
      <c r="J1241" s="13">
        <v>163.1764</v>
      </c>
      <c r="K1241" s="14"/>
      <c r="L1241" t="e">
        <f>VLOOKUP(A1241,Formulas!A:B,2,FALSE)</f>
        <v>#N/A</v>
      </c>
      <c r="M1241" s="32"/>
    </row>
    <row r="1242" spans="1:13" ht="41.5" customHeight="1">
      <c r="A1242" s="10">
        <v>8339</v>
      </c>
      <c r="B1242" s="11" t="s">
        <v>1503</v>
      </c>
      <c r="C1242" s="10" t="s">
        <v>10</v>
      </c>
      <c r="D1242" s="12" t="s">
        <v>772</v>
      </c>
      <c r="E1242" s="12">
        <v>900</v>
      </c>
      <c r="F1242" s="10" t="s">
        <v>850</v>
      </c>
      <c r="G1242" s="10" t="s">
        <v>289</v>
      </c>
      <c r="H1242" s="10" t="s">
        <v>289</v>
      </c>
      <c r="I1242" s="10" t="s">
        <v>11</v>
      </c>
      <c r="J1242" s="13">
        <v>154.70699999999999</v>
      </c>
      <c r="K1242" s="14"/>
      <c r="L1242" t="e">
        <f>VLOOKUP(A1242,Formulas!A:B,2,FALSE)</f>
        <v>#N/A</v>
      </c>
      <c r="M1242" s="32"/>
    </row>
    <row r="1243" spans="1:13" ht="41.5" customHeight="1">
      <c r="A1243" s="10">
        <v>8340</v>
      </c>
      <c r="B1243" s="11" t="s">
        <v>1522</v>
      </c>
      <c r="C1243" s="10" t="s">
        <v>10</v>
      </c>
      <c r="D1243" s="12" t="s">
        <v>772</v>
      </c>
      <c r="E1243" s="10">
        <v>900</v>
      </c>
      <c r="F1243" s="10" t="s">
        <v>850</v>
      </c>
      <c r="G1243" s="10" t="s">
        <v>289</v>
      </c>
      <c r="H1243" s="10" t="s">
        <v>289</v>
      </c>
      <c r="I1243" s="10" t="s">
        <v>11</v>
      </c>
      <c r="J1243" s="13">
        <v>154.70699999999999</v>
      </c>
      <c r="K1243" s="14"/>
      <c r="L1243" t="e">
        <f>VLOOKUP(A1243,Formulas!A:B,2,FALSE)</f>
        <v>#N/A</v>
      </c>
      <c r="M1243" s="32"/>
    </row>
    <row r="1244" spans="1:13" ht="41.5" customHeight="1">
      <c r="A1244" s="10">
        <v>8341</v>
      </c>
      <c r="B1244" s="11" t="s">
        <v>1523</v>
      </c>
      <c r="C1244" s="10" t="s">
        <v>10</v>
      </c>
      <c r="D1244" s="12" t="s">
        <v>772</v>
      </c>
      <c r="E1244" s="12">
        <v>900</v>
      </c>
      <c r="F1244" s="10" t="s">
        <v>850</v>
      </c>
      <c r="G1244" s="10" t="s">
        <v>289</v>
      </c>
      <c r="H1244" s="10" t="s">
        <v>289</v>
      </c>
      <c r="I1244" s="10" t="s">
        <v>11</v>
      </c>
      <c r="J1244" s="13">
        <v>154.70699999999999</v>
      </c>
      <c r="K1244" s="14"/>
      <c r="L1244" t="e">
        <f>VLOOKUP(A1244,Formulas!A:B,2,FALSE)</f>
        <v>#N/A</v>
      </c>
      <c r="M1244" s="32"/>
    </row>
    <row r="1245" spans="1:13" ht="41.5" customHeight="1">
      <c r="A1245" s="10">
        <v>8342</v>
      </c>
      <c r="B1245" s="11" t="s">
        <v>1524</v>
      </c>
      <c r="C1245" s="10" t="s">
        <v>10</v>
      </c>
      <c r="D1245" s="12" t="s">
        <v>772</v>
      </c>
      <c r="E1245" s="12">
        <v>900</v>
      </c>
      <c r="F1245" s="10" t="s">
        <v>850</v>
      </c>
      <c r="G1245" s="10" t="s">
        <v>289</v>
      </c>
      <c r="H1245" s="10" t="s">
        <v>289</v>
      </c>
      <c r="I1245" s="10" t="s">
        <v>11</v>
      </c>
      <c r="J1245" s="13">
        <v>154.70699999999999</v>
      </c>
      <c r="K1245" s="14"/>
      <c r="L1245" t="e">
        <f>VLOOKUP(A1245,Formulas!A:B,2,FALSE)</f>
        <v>#N/A</v>
      </c>
      <c r="M1245" s="32"/>
    </row>
    <row r="1246" spans="1:13" ht="41.5" customHeight="1">
      <c r="A1246" s="10">
        <v>8343</v>
      </c>
      <c r="B1246" s="11" t="s">
        <v>1525</v>
      </c>
      <c r="C1246" s="10" t="s">
        <v>10</v>
      </c>
      <c r="D1246" s="12" t="s">
        <v>772</v>
      </c>
      <c r="E1246" s="10">
        <v>900</v>
      </c>
      <c r="F1246" s="10" t="s">
        <v>850</v>
      </c>
      <c r="G1246" s="10" t="s">
        <v>289</v>
      </c>
      <c r="H1246" s="10" t="s">
        <v>289</v>
      </c>
      <c r="I1246" s="10" t="s">
        <v>11</v>
      </c>
      <c r="J1246" s="13">
        <v>154.70699999999999</v>
      </c>
      <c r="K1246" s="14"/>
      <c r="L1246" t="e">
        <f>VLOOKUP(A1246,Formulas!A:B,2,FALSE)</f>
        <v>#N/A</v>
      </c>
      <c r="M1246" s="32"/>
    </row>
    <row r="1247" spans="1:13" ht="41.5" customHeight="1">
      <c r="A1247" s="10">
        <v>8344</v>
      </c>
      <c r="B1247" s="11" t="s">
        <v>1526</v>
      </c>
      <c r="C1247" s="10" t="s">
        <v>10</v>
      </c>
      <c r="D1247" s="12" t="s">
        <v>772</v>
      </c>
      <c r="E1247" s="12">
        <v>900</v>
      </c>
      <c r="F1247" s="10" t="s">
        <v>850</v>
      </c>
      <c r="G1247" s="10" t="s">
        <v>289</v>
      </c>
      <c r="H1247" s="10" t="s">
        <v>289</v>
      </c>
      <c r="I1247" s="10" t="s">
        <v>11</v>
      </c>
      <c r="J1247" s="13">
        <v>154.70699999999999</v>
      </c>
      <c r="K1247" s="14"/>
      <c r="L1247" t="e">
        <f>VLOOKUP(A1247,Formulas!A:B,2,FALSE)</f>
        <v>#N/A</v>
      </c>
      <c r="M1247" s="32"/>
    </row>
    <row r="1248" spans="1:13" ht="41.5" customHeight="1">
      <c r="A1248" s="10">
        <v>8345</v>
      </c>
      <c r="B1248" s="11" t="s">
        <v>1527</v>
      </c>
      <c r="C1248" s="10" t="s">
        <v>10</v>
      </c>
      <c r="D1248" s="12" t="s">
        <v>772</v>
      </c>
      <c r="E1248" s="10">
        <v>900</v>
      </c>
      <c r="F1248" s="10" t="s">
        <v>850</v>
      </c>
      <c r="G1248" s="10" t="s">
        <v>289</v>
      </c>
      <c r="H1248" s="10" t="s">
        <v>289</v>
      </c>
      <c r="I1248" s="10" t="s">
        <v>11</v>
      </c>
      <c r="J1248" s="13">
        <v>154.70699999999999</v>
      </c>
      <c r="K1248" s="14"/>
      <c r="L1248" t="e">
        <f>VLOOKUP(A1248,Formulas!A:B,2,FALSE)</f>
        <v>#N/A</v>
      </c>
      <c r="M1248" s="32"/>
    </row>
    <row r="1249" spans="1:13" ht="41.5" customHeight="1">
      <c r="A1249" s="10">
        <v>8485</v>
      </c>
      <c r="B1249" s="11" t="s">
        <v>1574</v>
      </c>
      <c r="C1249" s="10" t="s">
        <v>102</v>
      </c>
      <c r="D1249" s="12" t="s">
        <v>11</v>
      </c>
      <c r="E1249" s="10" t="s">
        <v>11</v>
      </c>
      <c r="F1249" s="10" t="s">
        <v>12</v>
      </c>
      <c r="G1249" s="10" t="s">
        <v>270</v>
      </c>
      <c r="H1249" s="10" t="s">
        <v>270</v>
      </c>
      <c r="I1249" s="10" t="s">
        <v>11</v>
      </c>
      <c r="J1249" s="13">
        <v>161.38500000000002</v>
      </c>
      <c r="K1249" s="14"/>
      <c r="L1249" t="e">
        <f>VLOOKUP(A1249,Formulas!A:B,2,FALSE)</f>
        <v>#N/A</v>
      </c>
      <c r="M1249" s="32"/>
    </row>
    <row r="1250" spans="1:13" ht="41.5" customHeight="1">
      <c r="A1250" s="10">
        <v>8486</v>
      </c>
      <c r="B1250" s="11" t="s">
        <v>1573</v>
      </c>
      <c r="C1250" s="10" t="s">
        <v>102</v>
      </c>
      <c r="D1250" s="12" t="s">
        <v>11</v>
      </c>
      <c r="E1250" s="10" t="s">
        <v>11</v>
      </c>
      <c r="F1250" s="10" t="s">
        <v>388</v>
      </c>
      <c r="G1250" s="10" t="s">
        <v>270</v>
      </c>
      <c r="H1250" s="10" t="s">
        <v>270</v>
      </c>
      <c r="I1250" s="10" t="s">
        <v>11</v>
      </c>
      <c r="J1250" s="13">
        <v>299.39699999999999</v>
      </c>
      <c r="K1250" s="14"/>
      <c r="L1250" t="e">
        <f>VLOOKUP(A1250,Formulas!A:B,2,FALSE)</f>
        <v>#N/A</v>
      </c>
      <c r="M1250" s="32"/>
    </row>
    <row r="1251" spans="1:13" ht="41.5" customHeight="1">
      <c r="A1251" s="10">
        <v>8487</v>
      </c>
      <c r="B1251" s="11" t="s">
        <v>1575</v>
      </c>
      <c r="C1251" s="10" t="s">
        <v>102</v>
      </c>
      <c r="D1251" s="12" t="s">
        <v>11</v>
      </c>
      <c r="E1251" s="10" t="s">
        <v>11</v>
      </c>
      <c r="F1251" s="10" t="s">
        <v>350</v>
      </c>
      <c r="G1251" s="10" t="s">
        <v>222</v>
      </c>
      <c r="H1251" s="10" t="s">
        <v>351</v>
      </c>
      <c r="I1251" s="10" t="s">
        <v>11</v>
      </c>
      <c r="J1251" s="13">
        <v>233.73000000000002</v>
      </c>
      <c r="K1251" s="14"/>
      <c r="L1251" t="e">
        <f>VLOOKUP(A1251,Formulas!A:B,2,FALSE)</f>
        <v>#N/A</v>
      </c>
      <c r="M1251" s="32"/>
    </row>
    <row r="1252" spans="1:13" ht="41.5" customHeight="1">
      <c r="A1252" s="10">
        <v>8502</v>
      </c>
      <c r="B1252" s="11" t="s">
        <v>1582</v>
      </c>
      <c r="C1252" s="10" t="s">
        <v>11</v>
      </c>
      <c r="D1252" s="12" t="s">
        <v>11</v>
      </c>
      <c r="E1252" s="10" t="s">
        <v>11</v>
      </c>
      <c r="F1252" s="10" t="s">
        <v>1050</v>
      </c>
      <c r="G1252" s="10" t="s">
        <v>1048</v>
      </c>
      <c r="H1252" s="10" t="s">
        <v>91</v>
      </c>
      <c r="I1252" s="10" t="s">
        <v>11</v>
      </c>
      <c r="J1252" s="13">
        <v>30.740000000000002</v>
      </c>
      <c r="K1252" s="21" t="s">
        <v>1020</v>
      </c>
      <c r="L1252" t="e">
        <f>VLOOKUP(A1252,Formulas!A:B,2,FALSE)</f>
        <v>#N/A</v>
      </c>
      <c r="M1252" s="32"/>
    </row>
    <row r="1253" spans="1:13" ht="41.5" customHeight="1">
      <c r="A1253" s="10">
        <v>8503</v>
      </c>
      <c r="B1253" s="11" t="s">
        <v>1583</v>
      </c>
      <c r="C1253" s="10" t="s">
        <v>11</v>
      </c>
      <c r="D1253" s="12" t="s">
        <v>11</v>
      </c>
      <c r="E1253" s="10" t="s">
        <v>11</v>
      </c>
      <c r="F1253" s="10" t="s">
        <v>1050</v>
      </c>
      <c r="G1253" s="10" t="s">
        <v>1048</v>
      </c>
      <c r="H1253" s="10" t="s">
        <v>1045</v>
      </c>
      <c r="I1253" s="10" t="s">
        <v>11</v>
      </c>
      <c r="J1253" s="13">
        <v>41.34</v>
      </c>
      <c r="K1253" s="21" t="s">
        <v>1020</v>
      </c>
      <c r="L1253" t="e">
        <f>VLOOKUP(A1253,Formulas!A:B,2,FALSE)</f>
        <v>#N/A</v>
      </c>
      <c r="M1253" s="32"/>
    </row>
    <row r="1254" spans="1:13" ht="41.5" customHeight="1">
      <c r="A1254" s="10">
        <v>8538</v>
      </c>
      <c r="B1254" s="11" t="s">
        <v>1589</v>
      </c>
      <c r="C1254" s="10" t="s">
        <v>10</v>
      </c>
      <c r="D1254" s="12" t="s">
        <v>107</v>
      </c>
      <c r="E1254" s="12">
        <v>1260</v>
      </c>
      <c r="F1254" s="10" t="s">
        <v>415</v>
      </c>
      <c r="G1254" s="10" t="s">
        <v>93</v>
      </c>
      <c r="H1254" s="10" t="s">
        <v>93</v>
      </c>
      <c r="I1254" s="10" t="s">
        <v>11</v>
      </c>
      <c r="J1254" s="13">
        <v>290.44</v>
      </c>
      <c r="K1254" s="14"/>
      <c r="L1254" t="e">
        <f>VLOOKUP(A1254,Formulas!A:B,2,FALSE)</f>
        <v>#N/A</v>
      </c>
      <c r="M1254" s="32"/>
    </row>
    <row r="1255" spans="1:13" ht="41.5" customHeight="1">
      <c r="A1255" s="10">
        <v>8539</v>
      </c>
      <c r="B1255" s="11" t="s">
        <v>1590</v>
      </c>
      <c r="C1255" s="10" t="s">
        <v>10</v>
      </c>
      <c r="D1255" s="12" t="s">
        <v>1566</v>
      </c>
      <c r="E1255" s="12">
        <v>2520</v>
      </c>
      <c r="F1255" s="10" t="s">
        <v>415</v>
      </c>
      <c r="G1255" s="10" t="s">
        <v>94</v>
      </c>
      <c r="H1255" s="10" t="s">
        <v>94</v>
      </c>
      <c r="I1255" s="10" t="s">
        <v>11</v>
      </c>
      <c r="J1255" s="13">
        <v>385.84000000000003</v>
      </c>
      <c r="K1255" s="14"/>
      <c r="L1255" t="e">
        <f>VLOOKUP(A1255,Formulas!A:B,2,FALSE)</f>
        <v>#N/A</v>
      </c>
      <c r="M1255" s="32"/>
    </row>
    <row r="1256" spans="1:13" ht="41.5" customHeight="1">
      <c r="A1256" s="10">
        <v>8540</v>
      </c>
      <c r="B1256" s="11" t="s">
        <v>1594</v>
      </c>
      <c r="C1256" s="10" t="s">
        <v>10</v>
      </c>
      <c r="D1256" s="12" t="s">
        <v>107</v>
      </c>
      <c r="E1256" s="12">
        <v>1260</v>
      </c>
      <c r="F1256" s="10" t="s">
        <v>415</v>
      </c>
      <c r="G1256" s="10" t="s">
        <v>95</v>
      </c>
      <c r="H1256" s="10" t="s">
        <v>95</v>
      </c>
      <c r="I1256" s="10" t="s">
        <v>11</v>
      </c>
      <c r="J1256" s="13">
        <v>300.49940000000004</v>
      </c>
      <c r="K1256" s="14"/>
      <c r="L1256" t="e">
        <f>VLOOKUP(A1256,Formulas!A:B,2,FALSE)</f>
        <v>#N/A</v>
      </c>
      <c r="M1256" s="32"/>
    </row>
    <row r="1257" spans="1:13" ht="41.5" customHeight="1">
      <c r="A1257" s="15">
        <v>8541</v>
      </c>
      <c r="B1257" s="16" t="s">
        <v>1598</v>
      </c>
      <c r="C1257" s="15" t="s">
        <v>10</v>
      </c>
      <c r="D1257" s="17" t="s">
        <v>1566</v>
      </c>
      <c r="E1257" s="17">
        <v>2520</v>
      </c>
      <c r="F1257" s="15" t="s">
        <v>415</v>
      </c>
      <c r="G1257" s="15" t="s">
        <v>96</v>
      </c>
      <c r="H1257" s="15" t="s">
        <v>96</v>
      </c>
      <c r="I1257" s="15" t="s">
        <v>11</v>
      </c>
      <c r="J1257" s="18">
        <v>401.74</v>
      </c>
      <c r="K1257" s="19"/>
      <c r="L1257" t="e">
        <f>VLOOKUP(A1257,Formulas!A:B,2,FALSE)</f>
        <v>#N/A</v>
      </c>
      <c r="M1257" s="32"/>
    </row>
    <row r="1258" spans="1:13" hidden="1"/>
    <row r="1259" spans="1:13" hidden="1"/>
    <row r="1260" spans="1:13" hidden="1"/>
    <row r="1261" spans="1:13" hidden="1"/>
    <row r="1262" spans="1:13" hidden="1"/>
    <row r="1263" spans="1:13" hidden="1"/>
    <row r="1264" spans="1:13" hidden="1"/>
  </sheetData>
  <autoFilter ref="A1:Q1264" xr:uid="{8E18A0C2-1D89-46E9-8F80-A87D9C87F3C2}">
    <filterColumn colId="11">
      <filters>
        <filter val="#N/D"/>
      </filters>
    </filterColumn>
  </autoFilter>
  <phoneticPr fontId="1" type="noConversion"/>
  <pageMargins left="0.51181102362204722" right="0.51181102362204722" top="0.78740157480314965" bottom="0.78740157480314965" header="0.31496062992125984" footer="0.31496062992125984"/>
  <pageSetup paperSize="9" scale="32" fitToWidth="0" orientation="landscape" horizontalDpi="360" verticalDpi="360" r:id="rId1"/>
  <headerFooter>
    <oddHeader>&amp;L&amp;G&amp;C&amp;"-,Negrito"&amp;30TABELA DE PREÇOS 2023&amp;R&amp;P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7139-904A-BA4B-AC58-99C237082154}">
  <sheetPr filterMode="1"/>
  <dimension ref="A1:P1280"/>
  <sheetViews>
    <sheetView workbookViewId="0">
      <selection activeCell="G3" sqref="G3:G1270"/>
    </sheetView>
  </sheetViews>
  <sheetFormatPr baseColWidth="10" defaultRowHeight="15"/>
  <cols>
    <col min="1" max="1" width="12.5" customWidth="1"/>
    <col min="2" max="2" width="16.6640625" customWidth="1"/>
    <col min="10" max="10" width="12.5" customWidth="1"/>
    <col min="12" max="12" width="41.6640625" customWidth="1"/>
    <col min="13" max="13" width="13.33203125" customWidth="1"/>
    <col min="14" max="14" width="30" customWidth="1"/>
    <col min="15" max="16" width="13.33203125" customWidth="1"/>
  </cols>
  <sheetData>
    <row r="1" spans="1:16">
      <c r="A1" s="33" t="s">
        <v>1599</v>
      </c>
      <c r="B1" s="34" t="s">
        <v>1600</v>
      </c>
      <c r="J1" s="33" t="s">
        <v>1599</v>
      </c>
      <c r="L1" s="34" t="s">
        <v>4133</v>
      </c>
      <c r="M1" s="33" t="s">
        <v>5265</v>
      </c>
      <c r="N1" s="34" t="s">
        <v>5266</v>
      </c>
      <c r="O1" s="33" t="s">
        <v>5267</v>
      </c>
      <c r="P1" s="33" t="s">
        <v>5268</v>
      </c>
    </row>
    <row r="2" spans="1:16" hidden="1">
      <c r="A2" s="35">
        <v>44</v>
      </c>
      <c r="B2" s="36" t="s">
        <v>2876</v>
      </c>
      <c r="C2" t="e">
        <f>VLOOKUP(A2,'TABELA SPOLINE'!A:J,10,FALSE)</f>
        <v>#N/A</v>
      </c>
      <c r="J2" s="35" t="s">
        <v>2875</v>
      </c>
      <c r="K2" t="str">
        <f>TRIM(A2)</f>
        <v>44</v>
      </c>
      <c r="L2" s="36" t="s">
        <v>4134</v>
      </c>
      <c r="M2" s="35">
        <v>7629</v>
      </c>
      <c r="N2" s="36" t="s">
        <v>5269</v>
      </c>
      <c r="O2" s="35" t="s">
        <v>5270</v>
      </c>
      <c r="P2" s="35" t="s">
        <v>5271</v>
      </c>
    </row>
    <row r="3" spans="1:16">
      <c r="A3" s="35">
        <v>84</v>
      </c>
      <c r="B3" s="36" t="s">
        <v>1622</v>
      </c>
      <c r="C3">
        <f>VLOOKUP(A3,'TABELA SPOLINE'!A:J,10,FALSE)</f>
        <v>84.588000000000008</v>
      </c>
      <c r="D3">
        <f>C3*0.1+C3</f>
        <v>93.046800000000005</v>
      </c>
      <c r="E3">
        <f>ROUNDUP(D3,2)</f>
        <v>93.050000000000011</v>
      </c>
      <c r="F3">
        <f>E3*0.0975+E3</f>
        <v>102.12237500000001</v>
      </c>
      <c r="G3">
        <f>ROUNDUP(F3,2)</f>
        <v>102.13000000000001</v>
      </c>
      <c r="H3">
        <v>385</v>
      </c>
      <c r="I3">
        <v>2</v>
      </c>
      <c r="J3" s="35" t="s">
        <v>3010</v>
      </c>
      <c r="K3" t="str">
        <f t="shared" ref="K3:K66" si="0">TRIM(A3)</f>
        <v>84</v>
      </c>
      <c r="L3" s="36" t="s">
        <v>4135</v>
      </c>
      <c r="M3" s="35">
        <v>7629</v>
      </c>
      <c r="N3" s="36" t="s">
        <v>5269</v>
      </c>
      <c r="O3" s="35" t="s">
        <v>5272</v>
      </c>
      <c r="P3" s="35" t="s">
        <v>5273</v>
      </c>
    </row>
    <row r="4" spans="1:16">
      <c r="A4" s="35">
        <v>85</v>
      </c>
      <c r="B4" s="36" t="s">
        <v>1623</v>
      </c>
      <c r="C4">
        <f>VLOOKUP(A4,'TABELA SPOLINE'!A:J,10,FALSE)</f>
        <v>84.588000000000008</v>
      </c>
      <c r="D4">
        <f t="shared" ref="D4:D5" si="1">C4*0.1+C4</f>
        <v>93.046800000000005</v>
      </c>
      <c r="E4">
        <f t="shared" ref="E4:E5" si="2">ROUNDUP(D4,2)</f>
        <v>93.050000000000011</v>
      </c>
      <c r="F4">
        <f t="shared" ref="F4:F5" si="3">E4*0.0975+E4</f>
        <v>102.12237500000001</v>
      </c>
      <c r="G4">
        <f t="shared" ref="G4:G5" si="4">ROUNDUP(F4,2)</f>
        <v>102.13000000000001</v>
      </c>
      <c r="H4">
        <v>385</v>
      </c>
      <c r="I4">
        <v>2</v>
      </c>
      <c r="J4" s="35" t="s">
        <v>3011</v>
      </c>
      <c r="K4" t="str">
        <f t="shared" si="0"/>
        <v>85</v>
      </c>
      <c r="L4" s="36" t="s">
        <v>4136</v>
      </c>
      <c r="M4" s="35">
        <v>7629</v>
      </c>
      <c r="N4" s="36" t="s">
        <v>5269</v>
      </c>
      <c r="O4" s="35" t="s">
        <v>5272</v>
      </c>
      <c r="P4" s="35" t="s">
        <v>5273</v>
      </c>
    </row>
    <row r="5" spans="1:16">
      <c r="A5" s="35">
        <v>86</v>
      </c>
      <c r="B5" s="36" t="s">
        <v>1624</v>
      </c>
      <c r="C5">
        <f>VLOOKUP(A5,'TABELA SPOLINE'!A:J,10,FALSE)</f>
        <v>101.50560000000002</v>
      </c>
      <c r="D5">
        <f t="shared" si="1"/>
        <v>111.65616000000001</v>
      </c>
      <c r="E5">
        <f t="shared" si="2"/>
        <v>111.66000000000001</v>
      </c>
      <c r="F5">
        <f t="shared" si="3"/>
        <v>122.54685000000001</v>
      </c>
      <c r="G5">
        <f t="shared" si="4"/>
        <v>122.55000000000001</v>
      </c>
      <c r="H5">
        <v>385</v>
      </c>
      <c r="I5">
        <v>2</v>
      </c>
      <c r="J5" s="35" t="s">
        <v>3012</v>
      </c>
      <c r="K5" t="str">
        <f t="shared" si="0"/>
        <v>86</v>
      </c>
      <c r="L5" s="36" t="s">
        <v>4137</v>
      </c>
      <c r="M5" s="35">
        <v>7629</v>
      </c>
      <c r="N5" s="36" t="s">
        <v>5269</v>
      </c>
      <c r="O5" s="35" t="s">
        <v>5272</v>
      </c>
      <c r="P5" s="35" t="s">
        <v>5273</v>
      </c>
    </row>
    <row r="6" spans="1:16" hidden="1">
      <c r="A6" s="35">
        <v>88</v>
      </c>
      <c r="B6" s="36" t="s">
        <v>1625</v>
      </c>
      <c r="C6" t="e">
        <f>VLOOKUP(A6,'TABELA SPOLINE'!A:J,10,FALSE)</f>
        <v>#N/A</v>
      </c>
      <c r="H6">
        <v>385</v>
      </c>
      <c r="I6">
        <v>2</v>
      </c>
      <c r="J6" s="35" t="s">
        <v>3013</v>
      </c>
      <c r="K6" t="str">
        <f t="shared" si="0"/>
        <v>88</v>
      </c>
      <c r="L6" s="36" t="s">
        <v>4138</v>
      </c>
      <c r="M6" s="35">
        <v>7629</v>
      </c>
      <c r="N6" s="36" t="s">
        <v>5269</v>
      </c>
      <c r="O6" s="35" t="s">
        <v>5272</v>
      </c>
      <c r="P6" s="35" t="s">
        <v>5273</v>
      </c>
    </row>
    <row r="7" spans="1:16">
      <c r="A7" s="35">
        <v>90</v>
      </c>
      <c r="B7" s="36" t="s">
        <v>1626</v>
      </c>
      <c r="C7">
        <f>VLOOKUP(A7,'TABELA SPOLINE'!A:J,10,FALSE)</f>
        <v>84.588000000000008</v>
      </c>
      <c r="D7">
        <f t="shared" ref="D7:D10" si="5">C7*0.1+C7</f>
        <v>93.046800000000005</v>
      </c>
      <c r="E7">
        <f t="shared" ref="E7:E10" si="6">ROUNDUP(D7,2)</f>
        <v>93.050000000000011</v>
      </c>
      <c r="F7">
        <f t="shared" ref="F7:F10" si="7">E7*0.0975+E7</f>
        <v>102.12237500000001</v>
      </c>
      <c r="G7">
        <f t="shared" ref="G7:G10" si="8">ROUNDUP(F7,2)</f>
        <v>102.13000000000001</v>
      </c>
      <c r="H7">
        <v>385</v>
      </c>
      <c r="I7">
        <v>2</v>
      </c>
      <c r="J7" s="35" t="s">
        <v>3014</v>
      </c>
      <c r="K7" t="str">
        <f t="shared" si="0"/>
        <v>90</v>
      </c>
      <c r="L7" s="36" t="s">
        <v>4139</v>
      </c>
      <c r="M7" s="35">
        <v>7629</v>
      </c>
      <c r="N7" s="36" t="s">
        <v>5269</v>
      </c>
      <c r="O7" s="35" t="s">
        <v>5274</v>
      </c>
      <c r="P7" s="35" t="s">
        <v>5275</v>
      </c>
    </row>
    <row r="8" spans="1:16">
      <c r="A8" s="35">
        <v>97</v>
      </c>
      <c r="B8" s="36" t="s">
        <v>1629</v>
      </c>
      <c r="C8">
        <f>VLOOKUP(A8,'TABELA SPOLINE'!A:J,10,FALSE)</f>
        <v>139.125</v>
      </c>
      <c r="D8">
        <f t="shared" si="5"/>
        <v>153.03749999999999</v>
      </c>
      <c r="E8">
        <f t="shared" si="6"/>
        <v>153.04</v>
      </c>
      <c r="F8">
        <f t="shared" si="7"/>
        <v>167.9614</v>
      </c>
      <c r="G8">
        <f t="shared" si="8"/>
        <v>167.97</v>
      </c>
      <c r="H8">
        <v>385</v>
      </c>
      <c r="I8">
        <v>3</v>
      </c>
      <c r="J8" s="35" t="s">
        <v>3017</v>
      </c>
      <c r="K8" t="str">
        <f t="shared" si="0"/>
        <v>97</v>
      </c>
      <c r="L8" s="36" t="s">
        <v>4140</v>
      </c>
      <c r="M8" s="35">
        <v>7629</v>
      </c>
      <c r="N8" s="36" t="s">
        <v>5269</v>
      </c>
      <c r="O8" s="35" t="s">
        <v>5276</v>
      </c>
      <c r="P8" s="35" t="s">
        <v>5277</v>
      </c>
    </row>
    <row r="9" spans="1:16">
      <c r="A9" s="35">
        <v>98</v>
      </c>
      <c r="B9" s="36" t="s">
        <v>1630</v>
      </c>
      <c r="C9">
        <f>VLOOKUP(A9,'TABELA SPOLINE'!A:J,10,FALSE)</f>
        <v>139.125</v>
      </c>
      <c r="D9">
        <f t="shared" si="5"/>
        <v>153.03749999999999</v>
      </c>
      <c r="E9">
        <f t="shared" si="6"/>
        <v>153.04</v>
      </c>
      <c r="F9">
        <f t="shared" si="7"/>
        <v>167.9614</v>
      </c>
      <c r="G9">
        <f t="shared" si="8"/>
        <v>167.97</v>
      </c>
      <c r="H9">
        <v>385</v>
      </c>
      <c r="I9">
        <v>3</v>
      </c>
      <c r="J9" s="35" t="s">
        <v>3018</v>
      </c>
      <c r="K9" t="str">
        <f t="shared" si="0"/>
        <v>98</v>
      </c>
      <c r="L9" s="36" t="s">
        <v>4141</v>
      </c>
      <c r="M9" s="35">
        <v>7629</v>
      </c>
      <c r="N9" s="36" t="s">
        <v>5269</v>
      </c>
      <c r="O9" s="35" t="s">
        <v>5276</v>
      </c>
      <c r="P9" s="35" t="s">
        <v>5277</v>
      </c>
    </row>
    <row r="10" spans="1:16">
      <c r="A10" s="35">
        <v>99</v>
      </c>
      <c r="B10" s="36" t="s">
        <v>1631</v>
      </c>
      <c r="C10">
        <f>VLOOKUP(A10,'TABELA SPOLINE'!A:J,10,FALSE)</f>
        <v>166.95000000000002</v>
      </c>
      <c r="D10">
        <f t="shared" si="5"/>
        <v>183.64500000000001</v>
      </c>
      <c r="E10">
        <f t="shared" si="6"/>
        <v>183.64999999999998</v>
      </c>
      <c r="F10">
        <f t="shared" si="7"/>
        <v>201.55587499999999</v>
      </c>
      <c r="G10">
        <f t="shared" si="8"/>
        <v>201.56</v>
      </c>
      <c r="H10">
        <v>385</v>
      </c>
      <c r="I10">
        <v>3</v>
      </c>
      <c r="J10" s="35" t="s">
        <v>3019</v>
      </c>
      <c r="K10" t="str">
        <f t="shared" si="0"/>
        <v>99</v>
      </c>
      <c r="L10" s="36" t="s">
        <v>4142</v>
      </c>
      <c r="M10" s="35">
        <v>7629</v>
      </c>
      <c r="N10" s="36" t="s">
        <v>5269</v>
      </c>
      <c r="O10" s="35" t="s">
        <v>5274</v>
      </c>
      <c r="P10" s="35" t="s">
        <v>5275</v>
      </c>
    </row>
    <row r="11" spans="1:16" hidden="1">
      <c r="A11" s="35">
        <v>101</v>
      </c>
      <c r="B11" s="36" t="s">
        <v>1632</v>
      </c>
      <c r="C11" t="e">
        <f>VLOOKUP(A11,'TABELA SPOLINE'!A:J,10,FALSE)</f>
        <v>#N/A</v>
      </c>
      <c r="H11">
        <v>385</v>
      </c>
      <c r="I11">
        <v>3</v>
      </c>
      <c r="J11" s="35" t="s">
        <v>3020</v>
      </c>
      <c r="K11" t="str">
        <f t="shared" si="0"/>
        <v>101</v>
      </c>
      <c r="L11" s="36" t="s">
        <v>4143</v>
      </c>
      <c r="M11" s="35">
        <v>7629</v>
      </c>
      <c r="N11" s="36" t="s">
        <v>5269</v>
      </c>
      <c r="O11" s="35" t="s">
        <v>5276</v>
      </c>
      <c r="P11" s="35" t="s">
        <v>5277</v>
      </c>
    </row>
    <row r="12" spans="1:16">
      <c r="A12" s="35">
        <v>103</v>
      </c>
      <c r="B12" s="36" t="s">
        <v>1633</v>
      </c>
      <c r="C12">
        <f>VLOOKUP(A12,'TABELA SPOLINE'!A:J,10,FALSE)</f>
        <v>139.125</v>
      </c>
      <c r="D12">
        <f t="shared" ref="D12:D16" si="9">C12*0.1+C12</f>
        <v>153.03749999999999</v>
      </c>
      <c r="E12">
        <f t="shared" ref="E12:E16" si="10">ROUNDUP(D12,2)</f>
        <v>153.04</v>
      </c>
      <c r="F12">
        <f t="shared" ref="F12:F16" si="11">E12*0.0975+E12</f>
        <v>167.9614</v>
      </c>
      <c r="G12">
        <f t="shared" ref="G12:G16" si="12">ROUNDUP(F12,2)</f>
        <v>167.97</v>
      </c>
      <c r="H12">
        <v>385</v>
      </c>
      <c r="I12">
        <v>3</v>
      </c>
      <c r="J12" s="35" t="s">
        <v>3021</v>
      </c>
      <c r="K12" t="str">
        <f t="shared" si="0"/>
        <v>103</v>
      </c>
      <c r="L12" s="36" t="s">
        <v>4143</v>
      </c>
      <c r="M12" s="35">
        <v>7629</v>
      </c>
      <c r="N12" s="36" t="s">
        <v>5269</v>
      </c>
      <c r="O12" s="35" t="s">
        <v>5276</v>
      </c>
      <c r="P12" s="35" t="s">
        <v>5277</v>
      </c>
    </row>
    <row r="13" spans="1:16">
      <c r="A13" s="35">
        <v>110</v>
      </c>
      <c r="B13" s="36" t="s">
        <v>1636</v>
      </c>
      <c r="C13">
        <f>VLOOKUP(A13,'TABELA SPOLINE'!A:J,10,FALSE)</f>
        <v>267.12</v>
      </c>
      <c r="D13">
        <f t="shared" si="9"/>
        <v>293.83199999999999</v>
      </c>
      <c r="E13">
        <f t="shared" si="10"/>
        <v>293.83999999999997</v>
      </c>
      <c r="F13">
        <f t="shared" si="11"/>
        <v>322.48939999999999</v>
      </c>
      <c r="G13">
        <f t="shared" si="12"/>
        <v>322.49</v>
      </c>
      <c r="H13">
        <v>385</v>
      </c>
      <c r="I13">
        <v>5</v>
      </c>
      <c r="J13" s="35" t="s">
        <v>3024</v>
      </c>
      <c r="K13" t="str">
        <f t="shared" si="0"/>
        <v>110</v>
      </c>
      <c r="L13" s="36" t="s">
        <v>4144</v>
      </c>
      <c r="M13" s="35">
        <v>7629</v>
      </c>
      <c r="N13" s="36" t="s">
        <v>5269</v>
      </c>
      <c r="O13" s="35" t="s">
        <v>5276</v>
      </c>
      <c r="P13" s="35" t="s">
        <v>5277</v>
      </c>
    </row>
    <row r="14" spans="1:16">
      <c r="A14" s="35">
        <v>111</v>
      </c>
      <c r="B14" s="36" t="s">
        <v>1637</v>
      </c>
      <c r="C14">
        <f>VLOOKUP(A14,'TABELA SPOLINE'!A:J,10,FALSE)</f>
        <v>267.12</v>
      </c>
      <c r="D14">
        <f t="shared" si="9"/>
        <v>293.83199999999999</v>
      </c>
      <c r="E14">
        <f t="shared" si="10"/>
        <v>293.83999999999997</v>
      </c>
      <c r="F14">
        <f t="shared" si="11"/>
        <v>322.48939999999999</v>
      </c>
      <c r="G14">
        <f t="shared" si="12"/>
        <v>322.49</v>
      </c>
      <c r="H14">
        <v>385</v>
      </c>
      <c r="I14">
        <v>5</v>
      </c>
      <c r="J14" s="35" t="s">
        <v>3025</v>
      </c>
      <c r="K14" t="str">
        <f t="shared" si="0"/>
        <v>111</v>
      </c>
      <c r="L14" s="36" t="s">
        <v>4145</v>
      </c>
      <c r="M14" s="35">
        <v>7629</v>
      </c>
      <c r="N14" s="36" t="s">
        <v>5269</v>
      </c>
      <c r="O14" s="35" t="s">
        <v>5278</v>
      </c>
      <c r="P14" s="35" t="s">
        <v>5279</v>
      </c>
    </row>
    <row r="15" spans="1:16">
      <c r="A15" s="35">
        <v>112</v>
      </c>
      <c r="B15" s="36" t="s">
        <v>1638</v>
      </c>
      <c r="C15">
        <f>VLOOKUP(A15,'TABELA SPOLINE'!A:J,10,FALSE)</f>
        <v>320.54399999999998</v>
      </c>
      <c r="D15">
        <f t="shared" si="9"/>
        <v>352.59839999999997</v>
      </c>
      <c r="E15">
        <f t="shared" si="10"/>
        <v>352.59999999999997</v>
      </c>
      <c r="F15">
        <f t="shared" si="11"/>
        <v>386.97849999999994</v>
      </c>
      <c r="G15">
        <f t="shared" si="12"/>
        <v>386.98</v>
      </c>
      <c r="H15">
        <v>385</v>
      </c>
      <c r="I15">
        <v>5</v>
      </c>
      <c r="J15" s="35" t="s">
        <v>3026</v>
      </c>
      <c r="K15" t="str">
        <f t="shared" si="0"/>
        <v>112</v>
      </c>
      <c r="L15" s="36" t="s">
        <v>4146</v>
      </c>
      <c r="M15" s="35">
        <v>7629</v>
      </c>
      <c r="N15" s="36" t="s">
        <v>5269</v>
      </c>
      <c r="O15" s="35" t="s">
        <v>5280</v>
      </c>
      <c r="P15" s="35" t="s">
        <v>5281</v>
      </c>
    </row>
    <row r="16" spans="1:16">
      <c r="A16" s="35">
        <v>116</v>
      </c>
      <c r="B16" s="36" t="s">
        <v>1640</v>
      </c>
      <c r="C16">
        <f>VLOOKUP(A16,'TABELA SPOLINE'!A:J,10,FALSE)</f>
        <v>267.12</v>
      </c>
      <c r="D16">
        <f t="shared" si="9"/>
        <v>293.83199999999999</v>
      </c>
      <c r="E16">
        <f t="shared" si="10"/>
        <v>293.83999999999997</v>
      </c>
      <c r="F16">
        <f t="shared" si="11"/>
        <v>322.48939999999999</v>
      </c>
      <c r="G16">
        <f t="shared" si="12"/>
        <v>322.49</v>
      </c>
      <c r="H16">
        <v>385</v>
      </c>
      <c r="I16">
        <v>5</v>
      </c>
      <c r="J16" s="35" t="s">
        <v>3028</v>
      </c>
      <c r="K16" t="str">
        <f t="shared" si="0"/>
        <v>116</v>
      </c>
      <c r="L16" s="36" t="s">
        <v>4147</v>
      </c>
      <c r="M16" s="35">
        <v>7629</v>
      </c>
      <c r="N16" s="36" t="s">
        <v>5269</v>
      </c>
      <c r="O16" s="35" t="s">
        <v>5282</v>
      </c>
      <c r="P16" s="35" t="s">
        <v>5283</v>
      </c>
    </row>
    <row r="17" spans="1:16" hidden="1">
      <c r="A17" s="35">
        <v>122</v>
      </c>
      <c r="B17" s="36" t="s">
        <v>1709</v>
      </c>
      <c r="C17" t="e">
        <f>VLOOKUP(A17,'TABELA SPOLINE'!A:J,10,FALSE)</f>
        <v>#N/A</v>
      </c>
      <c r="H17">
        <v>386</v>
      </c>
      <c r="I17">
        <v>3</v>
      </c>
      <c r="J17" s="35" t="s">
        <v>3097</v>
      </c>
      <c r="K17" t="str">
        <f t="shared" si="0"/>
        <v>122</v>
      </c>
      <c r="L17" s="36" t="s">
        <v>4148</v>
      </c>
      <c r="M17" s="35">
        <v>7629</v>
      </c>
      <c r="N17" s="36" t="s">
        <v>5269</v>
      </c>
      <c r="O17" s="35" t="s">
        <v>5284</v>
      </c>
      <c r="P17" s="35" t="s">
        <v>5285</v>
      </c>
    </row>
    <row r="18" spans="1:16" hidden="1">
      <c r="A18" s="35">
        <v>123</v>
      </c>
      <c r="B18" s="36" t="s">
        <v>1710</v>
      </c>
      <c r="C18" t="e">
        <f>VLOOKUP(A18,'TABELA SPOLINE'!A:J,10,FALSE)</f>
        <v>#N/A</v>
      </c>
      <c r="H18">
        <v>386</v>
      </c>
      <c r="I18">
        <v>3</v>
      </c>
      <c r="J18" s="35" t="s">
        <v>3098</v>
      </c>
      <c r="K18" t="str">
        <f t="shared" si="0"/>
        <v>123</v>
      </c>
      <c r="L18" s="36" t="s">
        <v>4145</v>
      </c>
      <c r="M18" s="35">
        <v>7629</v>
      </c>
      <c r="N18" s="36" t="s">
        <v>5269</v>
      </c>
      <c r="O18" s="35" t="s">
        <v>5286</v>
      </c>
      <c r="P18" s="35" t="s">
        <v>5287</v>
      </c>
    </row>
    <row r="19" spans="1:16" hidden="1">
      <c r="A19" s="35">
        <v>124</v>
      </c>
      <c r="B19" s="36" t="s">
        <v>1711</v>
      </c>
      <c r="C19" t="e">
        <f>VLOOKUP(A19,'TABELA SPOLINE'!A:J,10,FALSE)</f>
        <v>#N/A</v>
      </c>
      <c r="H19">
        <v>386</v>
      </c>
      <c r="I19">
        <v>3</v>
      </c>
      <c r="J19" s="35" t="s">
        <v>3099</v>
      </c>
      <c r="K19" t="str">
        <f t="shared" si="0"/>
        <v>124</v>
      </c>
      <c r="L19" s="36" t="s">
        <v>4149</v>
      </c>
      <c r="M19" s="35">
        <v>7629</v>
      </c>
      <c r="N19" s="36" t="s">
        <v>5269</v>
      </c>
      <c r="O19" s="35" t="s">
        <v>5288</v>
      </c>
      <c r="P19" s="35" t="s">
        <v>5289</v>
      </c>
    </row>
    <row r="20" spans="1:16" hidden="1">
      <c r="A20" s="35">
        <v>126</v>
      </c>
      <c r="B20" s="36" t="s">
        <v>1712</v>
      </c>
      <c r="C20" t="e">
        <f>VLOOKUP(A20,'TABELA SPOLINE'!A:J,10,FALSE)</f>
        <v>#N/A</v>
      </c>
      <c r="H20">
        <v>386</v>
      </c>
      <c r="I20">
        <v>3</v>
      </c>
      <c r="J20" s="35" t="s">
        <v>3100</v>
      </c>
      <c r="K20" t="str">
        <f t="shared" si="0"/>
        <v>126</v>
      </c>
      <c r="L20" s="36" t="s">
        <v>4147</v>
      </c>
      <c r="M20" s="35">
        <v>7629</v>
      </c>
      <c r="N20" s="36" t="s">
        <v>5269</v>
      </c>
      <c r="O20" s="35" t="s">
        <v>5290</v>
      </c>
      <c r="P20" s="35" t="s">
        <v>5291</v>
      </c>
    </row>
    <row r="21" spans="1:16" hidden="1">
      <c r="A21" s="35">
        <v>126</v>
      </c>
      <c r="B21" s="36" t="s">
        <v>1714</v>
      </c>
      <c r="C21" t="e">
        <f>VLOOKUP(A21,'TABELA SPOLINE'!A:J,10,FALSE)</f>
        <v>#N/A</v>
      </c>
      <c r="H21">
        <v>386</v>
      </c>
      <c r="I21">
        <v>3</v>
      </c>
      <c r="J21" s="35" t="s">
        <v>3100</v>
      </c>
      <c r="K21" t="str">
        <f t="shared" si="0"/>
        <v>126</v>
      </c>
      <c r="L21" s="36" t="s">
        <v>4150</v>
      </c>
      <c r="M21" s="35">
        <v>7629</v>
      </c>
      <c r="N21" s="36" t="s">
        <v>5269</v>
      </c>
      <c r="O21" s="35" t="s">
        <v>5292</v>
      </c>
      <c r="P21" s="35" t="s">
        <v>5293</v>
      </c>
    </row>
    <row r="22" spans="1:16">
      <c r="A22" s="35">
        <v>131</v>
      </c>
      <c r="B22" s="36" t="s">
        <v>1717</v>
      </c>
      <c r="C22">
        <f>VLOOKUP(A22,'TABELA SPOLINE'!A:J,10,FALSE)</f>
        <v>311.64000000000004</v>
      </c>
      <c r="D22">
        <f>C22*0.1+C22</f>
        <v>342.80400000000003</v>
      </c>
      <c r="E22">
        <f>ROUNDUP(D22,2)</f>
        <v>342.81</v>
      </c>
      <c r="F22">
        <f>E22*0.0975+E22</f>
        <v>376.23397499999999</v>
      </c>
      <c r="G22">
        <f>ROUNDUP(F22,2)</f>
        <v>376.24</v>
      </c>
      <c r="H22">
        <v>386</v>
      </c>
      <c r="I22">
        <v>5</v>
      </c>
      <c r="J22" s="35" t="s">
        <v>3104</v>
      </c>
      <c r="K22" t="str">
        <f t="shared" si="0"/>
        <v>131</v>
      </c>
      <c r="L22" s="36" t="s">
        <v>4145</v>
      </c>
      <c r="M22" s="35">
        <v>7629</v>
      </c>
      <c r="N22" s="36" t="s">
        <v>5269</v>
      </c>
      <c r="O22" s="35" t="s">
        <v>5294</v>
      </c>
      <c r="P22" s="35" t="s">
        <v>5295</v>
      </c>
    </row>
    <row r="23" spans="1:16" hidden="1">
      <c r="A23" s="35">
        <v>132</v>
      </c>
      <c r="B23" s="36" t="s">
        <v>1718</v>
      </c>
      <c r="C23" t="e">
        <f>VLOOKUP(A23,'TABELA SPOLINE'!A:J,10,FALSE)</f>
        <v>#N/A</v>
      </c>
      <c r="H23">
        <v>386</v>
      </c>
      <c r="I23">
        <v>5</v>
      </c>
      <c r="J23" s="35" t="s">
        <v>3105</v>
      </c>
      <c r="K23" t="str">
        <f t="shared" si="0"/>
        <v>132</v>
      </c>
      <c r="L23" s="36" t="s">
        <v>4151</v>
      </c>
      <c r="M23" s="35">
        <v>7629</v>
      </c>
      <c r="N23" s="36" t="s">
        <v>5269</v>
      </c>
      <c r="O23" s="35" t="s">
        <v>5296</v>
      </c>
      <c r="P23" s="35" t="s">
        <v>5297</v>
      </c>
    </row>
    <row r="24" spans="1:16" hidden="1">
      <c r="A24" s="35">
        <v>133</v>
      </c>
      <c r="B24" s="36" t="s">
        <v>1719</v>
      </c>
      <c r="C24" t="e">
        <f>VLOOKUP(A24,'TABELA SPOLINE'!A:J,10,FALSE)</f>
        <v>#N/A</v>
      </c>
      <c r="H24">
        <v>386</v>
      </c>
      <c r="I24">
        <v>5</v>
      </c>
      <c r="J24" s="35" t="s">
        <v>3106</v>
      </c>
      <c r="K24" t="str">
        <f t="shared" si="0"/>
        <v>133</v>
      </c>
      <c r="L24" s="36" t="s">
        <v>4152</v>
      </c>
      <c r="M24" s="35">
        <v>7629</v>
      </c>
      <c r="N24" s="36" t="s">
        <v>5269</v>
      </c>
      <c r="O24" s="35" t="s">
        <v>5296</v>
      </c>
      <c r="P24" s="35" t="s">
        <v>5297</v>
      </c>
    </row>
    <row r="25" spans="1:16">
      <c r="A25" s="35">
        <v>135</v>
      </c>
      <c r="B25" s="36" t="s">
        <v>1721</v>
      </c>
      <c r="C25">
        <f>VLOOKUP(A25,'TABELA SPOLINE'!A:J,10,FALSE)</f>
        <v>311.64000000000004</v>
      </c>
      <c r="D25">
        <f>C25*0.1+C25</f>
        <v>342.80400000000003</v>
      </c>
      <c r="E25">
        <f>ROUNDUP(D25,2)</f>
        <v>342.81</v>
      </c>
      <c r="F25">
        <f>E25*0.0975+E25</f>
        <v>376.23397499999999</v>
      </c>
      <c r="G25">
        <f>ROUNDUP(F25,2)</f>
        <v>376.24</v>
      </c>
      <c r="H25">
        <v>386</v>
      </c>
      <c r="I25">
        <v>5</v>
      </c>
      <c r="J25" s="35" t="s">
        <v>3108</v>
      </c>
      <c r="K25" t="str">
        <f t="shared" si="0"/>
        <v>135</v>
      </c>
      <c r="L25" s="36" t="s">
        <v>4153</v>
      </c>
      <c r="M25" s="35">
        <v>7629</v>
      </c>
      <c r="N25" s="36" t="s">
        <v>5269</v>
      </c>
      <c r="O25" s="35" t="s">
        <v>5298</v>
      </c>
      <c r="P25" s="35" t="s">
        <v>5299</v>
      </c>
    </row>
    <row r="26" spans="1:16" hidden="1">
      <c r="A26" s="35">
        <v>154</v>
      </c>
      <c r="B26" s="36" t="s">
        <v>2878</v>
      </c>
      <c r="C26" t="e">
        <f>VLOOKUP(A26,'TABELA SPOLINE'!A:J,10,FALSE)</f>
        <v>#N/A</v>
      </c>
      <c r="J26" s="35" t="s">
        <v>2877</v>
      </c>
      <c r="K26" t="str">
        <f t="shared" si="0"/>
        <v>154</v>
      </c>
      <c r="L26" s="36" t="s">
        <v>4154</v>
      </c>
      <c r="M26" s="35">
        <v>7629</v>
      </c>
      <c r="N26" s="36" t="s">
        <v>5269</v>
      </c>
      <c r="O26" s="35" t="s">
        <v>5300</v>
      </c>
      <c r="P26" s="35" t="s">
        <v>5301</v>
      </c>
    </row>
    <row r="27" spans="1:16" hidden="1">
      <c r="A27" s="35">
        <v>166</v>
      </c>
      <c r="B27" s="36" t="s">
        <v>1724</v>
      </c>
      <c r="C27" t="e">
        <f>VLOOKUP(A27,'TABELA SPOLINE'!A:J,10,FALSE)</f>
        <v>#N/A</v>
      </c>
      <c r="H27">
        <v>415</v>
      </c>
      <c r="I27">
        <v>1</v>
      </c>
      <c r="J27" s="35" t="s">
        <v>3111</v>
      </c>
      <c r="K27" t="str">
        <f t="shared" si="0"/>
        <v>166</v>
      </c>
      <c r="L27" s="36" t="s">
        <v>4155</v>
      </c>
      <c r="M27" s="35">
        <v>7629</v>
      </c>
      <c r="N27" s="36" t="s">
        <v>5269</v>
      </c>
      <c r="O27" s="35" t="s">
        <v>5296</v>
      </c>
      <c r="P27" s="35" t="s">
        <v>5297</v>
      </c>
    </row>
    <row r="28" spans="1:16" hidden="1">
      <c r="A28" s="35">
        <v>167</v>
      </c>
      <c r="B28" s="36" t="s">
        <v>1725</v>
      </c>
      <c r="C28" t="e">
        <f>VLOOKUP(A28,'TABELA SPOLINE'!A:J,10,FALSE)</f>
        <v>#N/A</v>
      </c>
      <c r="H28">
        <v>415</v>
      </c>
      <c r="I28">
        <v>1</v>
      </c>
      <c r="J28" s="35" t="s">
        <v>3112</v>
      </c>
      <c r="K28" t="str">
        <f t="shared" si="0"/>
        <v>167</v>
      </c>
      <c r="L28" s="36" t="s">
        <v>4156</v>
      </c>
      <c r="M28" s="35">
        <v>7629</v>
      </c>
      <c r="N28" s="36" t="s">
        <v>5269</v>
      </c>
      <c r="O28" s="35" t="s">
        <v>5296</v>
      </c>
      <c r="P28" s="35" t="s">
        <v>5297</v>
      </c>
    </row>
    <row r="29" spans="1:16" hidden="1">
      <c r="A29" s="35">
        <v>169</v>
      </c>
      <c r="B29" s="36" t="s">
        <v>1726</v>
      </c>
      <c r="C29" t="e">
        <f>VLOOKUP(A29,'TABELA SPOLINE'!A:J,10,FALSE)</f>
        <v>#N/A</v>
      </c>
      <c r="H29">
        <v>415</v>
      </c>
      <c r="I29">
        <v>1</v>
      </c>
      <c r="J29" s="35" t="s">
        <v>3113</v>
      </c>
      <c r="K29" t="str">
        <f t="shared" si="0"/>
        <v>169</v>
      </c>
      <c r="L29" s="36" t="s">
        <v>4157</v>
      </c>
      <c r="M29" s="35">
        <v>7629</v>
      </c>
      <c r="N29" s="36" t="s">
        <v>5269</v>
      </c>
      <c r="O29" s="35" t="s">
        <v>5302</v>
      </c>
      <c r="P29" s="35" t="s">
        <v>5303</v>
      </c>
    </row>
    <row r="30" spans="1:16" hidden="1">
      <c r="A30" s="35">
        <v>170</v>
      </c>
      <c r="B30" s="36" t="s">
        <v>1727</v>
      </c>
      <c r="C30" t="e">
        <f>VLOOKUP(A30,'TABELA SPOLINE'!A:J,10,FALSE)</f>
        <v>#N/A</v>
      </c>
      <c r="H30">
        <v>415</v>
      </c>
      <c r="I30">
        <v>1</v>
      </c>
      <c r="J30" s="35" t="s">
        <v>3114</v>
      </c>
      <c r="K30" t="str">
        <f t="shared" si="0"/>
        <v>170</v>
      </c>
      <c r="L30" s="36" t="s">
        <v>4158</v>
      </c>
      <c r="M30" s="35">
        <v>7629</v>
      </c>
      <c r="N30" s="36" t="s">
        <v>5269</v>
      </c>
      <c r="O30" s="35" t="s">
        <v>5304</v>
      </c>
      <c r="P30" s="35" t="s">
        <v>5305</v>
      </c>
    </row>
    <row r="31" spans="1:16" hidden="1">
      <c r="A31" s="35">
        <v>170</v>
      </c>
      <c r="B31" s="36" t="s">
        <v>2917</v>
      </c>
      <c r="C31" t="e">
        <f>VLOOKUP(A31,'TABELA SPOLINE'!A:J,10,FALSE)</f>
        <v>#N/A</v>
      </c>
      <c r="J31" s="35" t="s">
        <v>2916</v>
      </c>
      <c r="K31" t="str">
        <f t="shared" si="0"/>
        <v>170</v>
      </c>
      <c r="L31" s="36" t="s">
        <v>4159</v>
      </c>
      <c r="M31" s="35">
        <v>7629</v>
      </c>
      <c r="N31" s="36" t="s">
        <v>5269</v>
      </c>
      <c r="O31" s="35" t="s">
        <v>5304</v>
      </c>
      <c r="P31" s="35" t="s">
        <v>5305</v>
      </c>
    </row>
    <row r="32" spans="1:16" hidden="1">
      <c r="A32" s="35">
        <v>171</v>
      </c>
      <c r="B32" s="36" t="s">
        <v>2915</v>
      </c>
      <c r="C32" t="e">
        <f>VLOOKUP(A32,'TABELA SPOLINE'!A:J,10,FALSE)</f>
        <v>#N/A</v>
      </c>
      <c r="J32" s="35" t="s">
        <v>2914</v>
      </c>
      <c r="K32" t="str">
        <f t="shared" si="0"/>
        <v>171</v>
      </c>
      <c r="L32" s="36" t="s">
        <v>4160</v>
      </c>
      <c r="M32" s="35">
        <v>7629</v>
      </c>
      <c r="N32" s="36" t="s">
        <v>5269</v>
      </c>
      <c r="O32" s="35" t="s">
        <v>5306</v>
      </c>
      <c r="P32" s="35" t="s">
        <v>5307</v>
      </c>
    </row>
    <row r="33" spans="1:16" hidden="1">
      <c r="A33" s="35">
        <v>172</v>
      </c>
      <c r="B33" s="36" t="s">
        <v>1728</v>
      </c>
      <c r="C33" t="e">
        <f>VLOOKUP(A33,'TABELA SPOLINE'!A:J,10,FALSE)</f>
        <v>#N/A</v>
      </c>
      <c r="H33">
        <v>415</v>
      </c>
      <c r="I33">
        <v>1</v>
      </c>
      <c r="J33" s="35" t="s">
        <v>3115</v>
      </c>
      <c r="K33" t="str">
        <f t="shared" si="0"/>
        <v>172</v>
      </c>
      <c r="L33" s="36" t="s">
        <v>4161</v>
      </c>
      <c r="M33" s="35">
        <v>7629</v>
      </c>
      <c r="N33" s="36" t="s">
        <v>5269</v>
      </c>
      <c r="O33" s="35" t="s">
        <v>5308</v>
      </c>
      <c r="P33" s="35" t="s">
        <v>5309</v>
      </c>
    </row>
    <row r="34" spans="1:16" hidden="1">
      <c r="A34" s="35">
        <v>172</v>
      </c>
      <c r="B34" s="36" t="s">
        <v>2911</v>
      </c>
      <c r="C34" t="e">
        <f>VLOOKUP(A34,'TABELA SPOLINE'!A:J,10,FALSE)</f>
        <v>#N/A</v>
      </c>
      <c r="J34" s="35" t="s">
        <v>2910</v>
      </c>
      <c r="K34" t="str">
        <f t="shared" si="0"/>
        <v>172</v>
      </c>
      <c r="L34" s="36" t="s">
        <v>4162</v>
      </c>
      <c r="M34" s="35">
        <v>7629</v>
      </c>
      <c r="N34" s="36" t="s">
        <v>5269</v>
      </c>
      <c r="O34" s="35" t="s">
        <v>5304</v>
      </c>
      <c r="P34" s="35" t="s">
        <v>5305</v>
      </c>
    </row>
    <row r="35" spans="1:16" hidden="1">
      <c r="A35" s="35">
        <v>173</v>
      </c>
      <c r="B35" s="36" t="s">
        <v>1729</v>
      </c>
      <c r="C35" t="e">
        <f>VLOOKUP(A35,'TABELA SPOLINE'!A:J,10,FALSE)</f>
        <v>#N/A</v>
      </c>
      <c r="H35">
        <v>415</v>
      </c>
      <c r="I35">
        <v>1</v>
      </c>
      <c r="J35" s="35" t="s">
        <v>3116</v>
      </c>
      <c r="K35" t="str">
        <f t="shared" si="0"/>
        <v>173</v>
      </c>
      <c r="L35" s="36" t="s">
        <v>4163</v>
      </c>
      <c r="M35" s="35">
        <v>7629</v>
      </c>
      <c r="N35" s="36" t="s">
        <v>5269</v>
      </c>
      <c r="O35" s="35" t="s">
        <v>5304</v>
      </c>
      <c r="P35" s="35" t="s">
        <v>5305</v>
      </c>
    </row>
    <row r="36" spans="1:16" hidden="1">
      <c r="A36" s="35">
        <v>174</v>
      </c>
      <c r="B36" s="36" t="s">
        <v>1730</v>
      </c>
      <c r="C36" t="e">
        <f>VLOOKUP(A36,'TABELA SPOLINE'!A:J,10,FALSE)</f>
        <v>#N/A</v>
      </c>
      <c r="H36">
        <v>415</v>
      </c>
      <c r="I36">
        <v>1</v>
      </c>
      <c r="J36" s="35" t="s">
        <v>3117</v>
      </c>
      <c r="K36" t="str">
        <f t="shared" si="0"/>
        <v>174</v>
      </c>
      <c r="L36" s="36" t="s">
        <v>4164</v>
      </c>
      <c r="M36" s="35">
        <v>7629</v>
      </c>
      <c r="N36" s="36" t="s">
        <v>5269</v>
      </c>
      <c r="O36" s="35" t="s">
        <v>5310</v>
      </c>
      <c r="P36" s="35" t="s">
        <v>5311</v>
      </c>
    </row>
    <row r="37" spans="1:16" hidden="1">
      <c r="A37" s="35">
        <v>184</v>
      </c>
      <c r="B37" s="36" t="s">
        <v>1601</v>
      </c>
      <c r="C37" t="e">
        <f>VLOOKUP(A37,'TABELA SPOLINE'!A:J,10,FALSE)</f>
        <v>#N/A</v>
      </c>
      <c r="H37">
        <v>418</v>
      </c>
      <c r="I37">
        <v>2</v>
      </c>
      <c r="J37" s="35" t="s">
        <v>2989</v>
      </c>
      <c r="K37" t="str">
        <f t="shared" si="0"/>
        <v>184</v>
      </c>
      <c r="L37" s="36" t="s">
        <v>4165</v>
      </c>
      <c r="M37" s="35">
        <v>7629</v>
      </c>
      <c r="N37" s="36" t="s">
        <v>5269</v>
      </c>
      <c r="O37" s="35" t="s">
        <v>5312</v>
      </c>
      <c r="P37" s="35" t="s">
        <v>5313</v>
      </c>
    </row>
    <row r="38" spans="1:16" hidden="1">
      <c r="A38" s="35">
        <v>185</v>
      </c>
      <c r="B38" s="36" t="s">
        <v>1602</v>
      </c>
      <c r="C38" t="e">
        <f>VLOOKUP(A38,'TABELA SPOLINE'!A:J,10,FALSE)</f>
        <v>#N/A</v>
      </c>
      <c r="H38">
        <v>418</v>
      </c>
      <c r="I38">
        <v>2</v>
      </c>
      <c r="J38" s="35" t="s">
        <v>2990</v>
      </c>
      <c r="K38" t="str">
        <f t="shared" si="0"/>
        <v>185</v>
      </c>
      <c r="L38" s="36" t="s">
        <v>4166</v>
      </c>
      <c r="M38" s="35">
        <v>7629</v>
      </c>
      <c r="N38" s="36" t="s">
        <v>5269</v>
      </c>
      <c r="O38" s="35" t="s">
        <v>5312</v>
      </c>
      <c r="P38" s="35" t="s">
        <v>5313</v>
      </c>
    </row>
    <row r="39" spans="1:16" hidden="1">
      <c r="A39" s="35">
        <v>186</v>
      </c>
      <c r="B39" s="36" t="s">
        <v>1606</v>
      </c>
      <c r="C39" t="e">
        <f>VLOOKUP(A39,'TABELA SPOLINE'!A:J,10,FALSE)</f>
        <v>#N/A</v>
      </c>
      <c r="H39">
        <v>418</v>
      </c>
      <c r="I39">
        <v>3</v>
      </c>
      <c r="J39" s="35" t="s">
        <v>2994</v>
      </c>
      <c r="K39" t="str">
        <f t="shared" si="0"/>
        <v>186</v>
      </c>
      <c r="L39" s="36" t="s">
        <v>4167</v>
      </c>
      <c r="M39" s="35">
        <v>7629</v>
      </c>
      <c r="N39" s="36" t="s">
        <v>5269</v>
      </c>
      <c r="O39" s="35" t="s">
        <v>5314</v>
      </c>
      <c r="P39" s="35" t="s">
        <v>5315</v>
      </c>
    </row>
    <row r="40" spans="1:16" hidden="1">
      <c r="A40" s="35">
        <v>187</v>
      </c>
      <c r="B40" s="36" t="s">
        <v>1607</v>
      </c>
      <c r="C40" t="e">
        <f>VLOOKUP(A40,'TABELA SPOLINE'!A:J,10,FALSE)</f>
        <v>#N/A</v>
      </c>
      <c r="H40">
        <v>418</v>
      </c>
      <c r="I40">
        <v>3</v>
      </c>
      <c r="J40" s="35" t="s">
        <v>2995</v>
      </c>
      <c r="K40" t="str">
        <f t="shared" si="0"/>
        <v>187</v>
      </c>
      <c r="L40" s="36" t="s">
        <v>4168</v>
      </c>
      <c r="M40" s="35">
        <v>7629</v>
      </c>
      <c r="N40" s="36" t="s">
        <v>5269</v>
      </c>
      <c r="O40" s="35" t="s">
        <v>5316</v>
      </c>
      <c r="P40" s="35" t="s">
        <v>5317</v>
      </c>
    </row>
    <row r="41" spans="1:16" hidden="1">
      <c r="A41" s="35">
        <v>189</v>
      </c>
      <c r="B41" s="36" t="s">
        <v>1608</v>
      </c>
      <c r="C41" t="e">
        <f>VLOOKUP(A41,'TABELA SPOLINE'!A:J,10,FALSE)</f>
        <v>#N/A</v>
      </c>
      <c r="H41">
        <v>418</v>
      </c>
      <c r="I41">
        <v>3</v>
      </c>
      <c r="J41" s="35" t="s">
        <v>2996</v>
      </c>
      <c r="K41" t="str">
        <f t="shared" si="0"/>
        <v>189</v>
      </c>
      <c r="L41" s="36" t="s">
        <v>4169</v>
      </c>
      <c r="M41" s="35">
        <v>7629</v>
      </c>
      <c r="N41" s="36" t="s">
        <v>5269</v>
      </c>
      <c r="O41" s="35" t="s">
        <v>5312</v>
      </c>
      <c r="P41" s="35" t="s">
        <v>5313</v>
      </c>
    </row>
    <row r="42" spans="1:16" hidden="1">
      <c r="A42" s="35">
        <v>192</v>
      </c>
      <c r="B42" s="36" t="s">
        <v>1609</v>
      </c>
      <c r="C42" t="e">
        <f>VLOOKUP(A42,'TABELA SPOLINE'!A:J,10,FALSE)</f>
        <v>#N/A</v>
      </c>
      <c r="H42">
        <v>418</v>
      </c>
      <c r="I42">
        <v>3</v>
      </c>
      <c r="J42" s="35" t="s">
        <v>2997</v>
      </c>
      <c r="K42" t="str">
        <f t="shared" si="0"/>
        <v>192</v>
      </c>
      <c r="L42" s="36" t="s">
        <v>4170</v>
      </c>
      <c r="M42" s="35">
        <v>7629</v>
      </c>
      <c r="N42" s="36" t="s">
        <v>5269</v>
      </c>
      <c r="O42" s="35" t="s">
        <v>5312</v>
      </c>
      <c r="P42" s="35" t="s">
        <v>5313</v>
      </c>
    </row>
    <row r="43" spans="1:16" hidden="1">
      <c r="A43" s="35">
        <v>193</v>
      </c>
      <c r="B43" s="36" t="s">
        <v>1610</v>
      </c>
      <c r="C43" t="e">
        <f>VLOOKUP(A43,'TABELA SPOLINE'!A:J,10,FALSE)</f>
        <v>#N/A</v>
      </c>
      <c r="H43">
        <v>418</v>
      </c>
      <c r="I43">
        <v>3</v>
      </c>
      <c r="J43" s="35" t="s">
        <v>2998</v>
      </c>
      <c r="K43" t="str">
        <f t="shared" si="0"/>
        <v>193</v>
      </c>
      <c r="L43" s="36" t="s">
        <v>4171</v>
      </c>
      <c r="M43" s="35">
        <v>7629</v>
      </c>
      <c r="N43" s="36" t="s">
        <v>5269</v>
      </c>
      <c r="O43" s="35" t="s">
        <v>5318</v>
      </c>
      <c r="P43" s="35" t="s">
        <v>5319</v>
      </c>
    </row>
    <row r="44" spans="1:16" hidden="1">
      <c r="A44" s="35">
        <v>194</v>
      </c>
      <c r="B44" s="36" t="s">
        <v>1611</v>
      </c>
      <c r="C44" t="e">
        <f>VLOOKUP(A44,'TABELA SPOLINE'!A:J,10,FALSE)</f>
        <v>#N/A</v>
      </c>
      <c r="H44">
        <v>418</v>
      </c>
      <c r="I44">
        <v>3</v>
      </c>
      <c r="J44" s="35" t="s">
        <v>2999</v>
      </c>
      <c r="K44" t="str">
        <f t="shared" si="0"/>
        <v>194</v>
      </c>
      <c r="L44" s="36" t="s">
        <v>4172</v>
      </c>
      <c r="M44" s="35">
        <v>7629</v>
      </c>
      <c r="N44" s="36" t="s">
        <v>5269</v>
      </c>
      <c r="O44" s="35" t="s">
        <v>5320</v>
      </c>
      <c r="P44" s="35" t="s">
        <v>5321</v>
      </c>
    </row>
    <row r="45" spans="1:16" hidden="1">
      <c r="A45" s="35">
        <v>217</v>
      </c>
      <c r="B45" s="36" t="s">
        <v>1732</v>
      </c>
      <c r="C45" t="e">
        <f>VLOOKUP(A45,'TABELA SPOLINE'!A:J,10,FALSE)</f>
        <v>#N/A</v>
      </c>
      <c r="H45">
        <v>432</v>
      </c>
      <c r="I45">
        <v>1</v>
      </c>
      <c r="J45" s="35" t="s">
        <v>3119</v>
      </c>
      <c r="K45" t="str">
        <f t="shared" si="0"/>
        <v>217</v>
      </c>
      <c r="L45" s="36" t="s">
        <v>4173</v>
      </c>
      <c r="M45" s="35">
        <v>7629</v>
      </c>
      <c r="N45" s="36" t="s">
        <v>5269</v>
      </c>
      <c r="O45" s="35" t="s">
        <v>5322</v>
      </c>
      <c r="P45" s="35" t="s">
        <v>5323</v>
      </c>
    </row>
    <row r="46" spans="1:16" hidden="1">
      <c r="A46" s="35">
        <v>218</v>
      </c>
      <c r="B46" s="36" t="s">
        <v>1733</v>
      </c>
      <c r="C46" t="e">
        <f>VLOOKUP(A46,'TABELA SPOLINE'!A:J,10,FALSE)</f>
        <v>#N/A</v>
      </c>
      <c r="H46">
        <v>432</v>
      </c>
      <c r="I46">
        <v>1</v>
      </c>
      <c r="J46" s="35" t="s">
        <v>3120</v>
      </c>
      <c r="K46" t="str">
        <f t="shared" si="0"/>
        <v>218</v>
      </c>
      <c r="L46" s="36" t="s">
        <v>4174</v>
      </c>
      <c r="M46" s="35">
        <v>7629</v>
      </c>
      <c r="N46" s="36" t="s">
        <v>5269</v>
      </c>
      <c r="O46" s="35" t="s">
        <v>5320</v>
      </c>
      <c r="P46" s="35" t="s">
        <v>5321</v>
      </c>
    </row>
    <row r="47" spans="1:16" hidden="1">
      <c r="A47" s="35">
        <v>220</v>
      </c>
      <c r="B47" s="36" t="s">
        <v>1737</v>
      </c>
      <c r="C47" t="e">
        <f>VLOOKUP(A47,'TABELA SPOLINE'!A:J,10,FALSE)</f>
        <v>#N/A</v>
      </c>
      <c r="H47">
        <v>432</v>
      </c>
      <c r="I47">
        <v>4</v>
      </c>
      <c r="J47" s="35" t="s">
        <v>3124</v>
      </c>
      <c r="K47" t="str">
        <f t="shared" si="0"/>
        <v>220</v>
      </c>
      <c r="L47" s="36" t="s">
        <v>4175</v>
      </c>
      <c r="M47" s="35">
        <v>7629</v>
      </c>
      <c r="N47" s="36" t="s">
        <v>5269</v>
      </c>
      <c r="O47" s="35" t="s">
        <v>5322</v>
      </c>
      <c r="P47" s="35" t="s">
        <v>5323</v>
      </c>
    </row>
    <row r="48" spans="1:16" hidden="1">
      <c r="A48" s="35">
        <v>223</v>
      </c>
      <c r="B48" s="36" t="s">
        <v>1740</v>
      </c>
      <c r="C48" t="e">
        <f>VLOOKUP(A48,'TABELA SPOLINE'!A:J,10,FALSE)</f>
        <v>#N/A</v>
      </c>
      <c r="H48">
        <v>432</v>
      </c>
      <c r="I48">
        <v>4</v>
      </c>
      <c r="J48" s="35" t="s">
        <v>3127</v>
      </c>
      <c r="K48" t="str">
        <f t="shared" si="0"/>
        <v>223</v>
      </c>
      <c r="L48" s="36" t="s">
        <v>4176</v>
      </c>
      <c r="M48" s="35">
        <v>7629</v>
      </c>
      <c r="N48" s="36" t="s">
        <v>5269</v>
      </c>
      <c r="O48" s="35" t="s">
        <v>5322</v>
      </c>
      <c r="P48" s="35" t="s">
        <v>5323</v>
      </c>
    </row>
    <row r="49" spans="1:16" hidden="1">
      <c r="A49" s="35">
        <v>227</v>
      </c>
      <c r="B49" s="36" t="s">
        <v>1738</v>
      </c>
      <c r="C49" t="e">
        <f>VLOOKUP(A49,'TABELA SPOLINE'!A:J,10,FALSE)</f>
        <v>#N/A</v>
      </c>
      <c r="H49">
        <v>432</v>
      </c>
      <c r="I49">
        <v>4</v>
      </c>
      <c r="J49" s="35" t="s">
        <v>3125</v>
      </c>
      <c r="K49" t="str">
        <f t="shared" si="0"/>
        <v>227</v>
      </c>
      <c r="L49" s="36" t="s">
        <v>4177</v>
      </c>
      <c r="M49" s="35">
        <v>7629</v>
      </c>
      <c r="N49" s="36" t="s">
        <v>5269</v>
      </c>
      <c r="O49" s="35" t="s">
        <v>5322</v>
      </c>
      <c r="P49" s="35" t="s">
        <v>5323</v>
      </c>
    </row>
    <row r="50" spans="1:16" hidden="1">
      <c r="A50" s="35">
        <v>228</v>
      </c>
      <c r="B50" s="36" t="s">
        <v>1739</v>
      </c>
      <c r="C50" t="e">
        <f>VLOOKUP(A50,'TABELA SPOLINE'!A:J,10,FALSE)</f>
        <v>#N/A</v>
      </c>
      <c r="H50">
        <v>432</v>
      </c>
      <c r="I50">
        <v>4</v>
      </c>
      <c r="J50" s="35" t="s">
        <v>3126</v>
      </c>
      <c r="K50" t="str">
        <f t="shared" si="0"/>
        <v>228</v>
      </c>
      <c r="L50" s="36" t="s">
        <v>4178</v>
      </c>
      <c r="M50" s="35">
        <v>7629</v>
      </c>
      <c r="N50" s="36" t="s">
        <v>5269</v>
      </c>
      <c r="O50" s="35" t="s">
        <v>5324</v>
      </c>
      <c r="P50" s="35" t="s">
        <v>5325</v>
      </c>
    </row>
    <row r="51" spans="1:16" hidden="1">
      <c r="A51" s="35">
        <v>253</v>
      </c>
      <c r="B51" s="36" t="s">
        <v>2909</v>
      </c>
      <c r="C51" t="e">
        <f>VLOOKUP(A51,'TABELA SPOLINE'!A:J,10,FALSE)</f>
        <v>#N/A</v>
      </c>
      <c r="J51" s="35" t="s">
        <v>2908</v>
      </c>
      <c r="K51" t="str">
        <f t="shared" si="0"/>
        <v>253</v>
      </c>
      <c r="L51" s="36" t="s">
        <v>4179</v>
      </c>
      <c r="M51" s="35">
        <v>7629</v>
      </c>
      <c r="N51" s="36" t="s">
        <v>5269</v>
      </c>
      <c r="O51" s="35" t="s">
        <v>5324</v>
      </c>
      <c r="P51" s="35" t="s">
        <v>5325</v>
      </c>
    </row>
    <row r="52" spans="1:16" hidden="1">
      <c r="A52" s="35">
        <v>254</v>
      </c>
      <c r="B52" s="36" t="s">
        <v>2907</v>
      </c>
      <c r="C52" t="e">
        <f>VLOOKUP(A52,'TABELA SPOLINE'!A:J,10,FALSE)</f>
        <v>#N/A</v>
      </c>
      <c r="J52" s="35" t="s">
        <v>2906</v>
      </c>
      <c r="K52" t="str">
        <f t="shared" si="0"/>
        <v>254</v>
      </c>
      <c r="L52" s="36" t="s">
        <v>4180</v>
      </c>
      <c r="M52" s="35">
        <v>7629</v>
      </c>
      <c r="N52" s="36" t="s">
        <v>5269</v>
      </c>
      <c r="O52" s="35" t="s">
        <v>5326</v>
      </c>
      <c r="P52" s="35" t="s">
        <v>5327</v>
      </c>
    </row>
    <row r="53" spans="1:16" hidden="1">
      <c r="A53" s="35">
        <v>255</v>
      </c>
      <c r="B53" s="36" t="s">
        <v>2903</v>
      </c>
      <c r="C53" t="e">
        <f>VLOOKUP(A53,'TABELA SPOLINE'!A:J,10,FALSE)</f>
        <v>#N/A</v>
      </c>
      <c r="J53" s="35" t="s">
        <v>2902</v>
      </c>
      <c r="K53" t="str">
        <f t="shared" si="0"/>
        <v>255</v>
      </c>
      <c r="L53" s="36" t="s">
        <v>4181</v>
      </c>
      <c r="M53" s="35">
        <v>7629</v>
      </c>
      <c r="N53" s="36" t="s">
        <v>5269</v>
      </c>
      <c r="O53" s="35" t="s">
        <v>5328</v>
      </c>
      <c r="P53" s="35" t="s">
        <v>5329</v>
      </c>
    </row>
    <row r="54" spans="1:16">
      <c r="A54" s="35">
        <v>263</v>
      </c>
      <c r="B54" s="36" t="s">
        <v>2294</v>
      </c>
      <c r="C54">
        <f>VLOOKUP(A54,'TABELA SPOLINE'!A:J,10,FALSE)</f>
        <v>293.83199999999999</v>
      </c>
      <c r="D54">
        <f t="shared" ref="D54:D56" si="13">C54*0.1+C54</f>
        <v>323.21519999999998</v>
      </c>
      <c r="E54">
        <f t="shared" ref="E54:E56" si="14">ROUNDUP(D54,2)</f>
        <v>323.21999999999997</v>
      </c>
      <c r="F54">
        <f t="shared" ref="F54:F56" si="15">E54*0.0975+E54</f>
        <v>354.73394999999999</v>
      </c>
      <c r="G54">
        <f t="shared" ref="G54:G56" si="16">ROUNDUP(F54,2)</f>
        <v>354.74</v>
      </c>
      <c r="H54">
        <v>449</v>
      </c>
      <c r="I54">
        <v>1</v>
      </c>
      <c r="J54" s="35" t="s">
        <v>3679</v>
      </c>
      <c r="K54" t="str">
        <f t="shared" si="0"/>
        <v>263</v>
      </c>
      <c r="L54" s="36" t="s">
        <v>4182</v>
      </c>
      <c r="M54" s="35">
        <v>7629</v>
      </c>
      <c r="N54" s="36" t="s">
        <v>5269</v>
      </c>
      <c r="O54" s="35" t="s">
        <v>5330</v>
      </c>
      <c r="P54" s="35" t="s">
        <v>5331</v>
      </c>
    </row>
    <row r="55" spans="1:16">
      <c r="A55" s="35">
        <v>265</v>
      </c>
      <c r="B55" s="36" t="s">
        <v>2295</v>
      </c>
      <c r="C55">
        <f>VLOOKUP(A55,'TABELA SPOLINE'!A:J,10,FALSE)</f>
        <v>244.86</v>
      </c>
      <c r="D55">
        <f t="shared" si="13"/>
        <v>269.346</v>
      </c>
      <c r="E55">
        <f t="shared" si="14"/>
        <v>269.34999999999997</v>
      </c>
      <c r="F55">
        <f t="shared" si="15"/>
        <v>295.61162499999995</v>
      </c>
      <c r="G55">
        <f t="shared" si="16"/>
        <v>295.62</v>
      </c>
      <c r="H55">
        <v>449</v>
      </c>
      <c r="I55">
        <v>1</v>
      </c>
      <c r="J55" s="35" t="s">
        <v>3680</v>
      </c>
      <c r="K55" t="str">
        <f t="shared" si="0"/>
        <v>265</v>
      </c>
      <c r="L55" s="36" t="s">
        <v>4183</v>
      </c>
      <c r="M55" s="35">
        <v>7629</v>
      </c>
      <c r="N55" s="36" t="s">
        <v>5269</v>
      </c>
      <c r="O55" s="35" t="s">
        <v>5330</v>
      </c>
      <c r="P55" s="35" t="s">
        <v>5331</v>
      </c>
    </row>
    <row r="56" spans="1:16">
      <c r="A56" s="35">
        <v>267</v>
      </c>
      <c r="B56" s="36" t="s">
        <v>2296</v>
      </c>
      <c r="C56">
        <f>VLOOKUP(A56,'TABELA SPOLINE'!A:J,10,FALSE)</f>
        <v>244.86</v>
      </c>
      <c r="D56">
        <f t="shared" si="13"/>
        <v>269.346</v>
      </c>
      <c r="E56">
        <f t="shared" si="14"/>
        <v>269.34999999999997</v>
      </c>
      <c r="F56">
        <f t="shared" si="15"/>
        <v>295.61162499999995</v>
      </c>
      <c r="G56">
        <f t="shared" si="16"/>
        <v>295.62</v>
      </c>
      <c r="H56">
        <v>449</v>
      </c>
      <c r="I56">
        <v>1</v>
      </c>
      <c r="J56" s="35" t="s">
        <v>3681</v>
      </c>
      <c r="K56" t="str">
        <f t="shared" si="0"/>
        <v>267</v>
      </c>
      <c r="L56" s="36" t="s">
        <v>4184</v>
      </c>
      <c r="M56" s="35">
        <v>7629</v>
      </c>
      <c r="N56" s="36" t="s">
        <v>5269</v>
      </c>
      <c r="O56" s="35" t="s">
        <v>5328</v>
      </c>
      <c r="P56" s="35" t="s">
        <v>5329</v>
      </c>
    </row>
    <row r="57" spans="1:16" hidden="1">
      <c r="A57" s="35">
        <v>277</v>
      </c>
      <c r="B57" s="36" t="s">
        <v>2760</v>
      </c>
      <c r="C57" t="e">
        <f>VLOOKUP(A57,'TABELA SPOLINE'!A:J,10,FALSE)</f>
        <v>#N/A</v>
      </c>
      <c r="J57" s="35" t="s">
        <v>2759</v>
      </c>
      <c r="K57" t="str">
        <f t="shared" si="0"/>
        <v>277</v>
      </c>
      <c r="L57" s="36" t="s">
        <v>4185</v>
      </c>
      <c r="M57" s="35">
        <v>7629</v>
      </c>
      <c r="N57" s="36" t="s">
        <v>5269</v>
      </c>
      <c r="O57" s="35" t="s">
        <v>5332</v>
      </c>
      <c r="P57" s="35" t="s">
        <v>5333</v>
      </c>
    </row>
    <row r="58" spans="1:16" hidden="1">
      <c r="A58" s="35">
        <v>277</v>
      </c>
      <c r="B58" s="36" t="s">
        <v>2918</v>
      </c>
      <c r="C58" t="e">
        <f>VLOOKUP(A58,'TABELA SPOLINE'!A:J,10,FALSE)</f>
        <v>#N/A</v>
      </c>
      <c r="J58" s="35" t="s">
        <v>2759</v>
      </c>
      <c r="K58" t="str">
        <f t="shared" si="0"/>
        <v>277</v>
      </c>
      <c r="L58" s="36" t="s">
        <v>4186</v>
      </c>
      <c r="M58" s="35">
        <v>7629</v>
      </c>
      <c r="N58" s="36" t="s">
        <v>5269</v>
      </c>
      <c r="O58" s="35" t="s">
        <v>5330</v>
      </c>
      <c r="P58" s="35" t="s">
        <v>5331</v>
      </c>
    </row>
    <row r="59" spans="1:16" hidden="1">
      <c r="A59" s="35">
        <v>278</v>
      </c>
      <c r="B59" s="36" t="s">
        <v>2762</v>
      </c>
      <c r="C59" t="e">
        <f>VLOOKUP(A59,'TABELA SPOLINE'!A:J,10,FALSE)</f>
        <v>#N/A</v>
      </c>
      <c r="J59" s="35" t="s">
        <v>2761</v>
      </c>
      <c r="K59" t="str">
        <f t="shared" si="0"/>
        <v>278</v>
      </c>
      <c r="L59" s="36" t="s">
        <v>4187</v>
      </c>
      <c r="M59" s="35">
        <v>7629</v>
      </c>
      <c r="N59" s="36" t="s">
        <v>5269</v>
      </c>
      <c r="O59" s="35" t="s">
        <v>5330</v>
      </c>
      <c r="P59" s="35" t="s">
        <v>5331</v>
      </c>
    </row>
    <row r="60" spans="1:16" hidden="1">
      <c r="A60" s="35">
        <v>278</v>
      </c>
      <c r="B60" s="36" t="s">
        <v>2919</v>
      </c>
      <c r="C60" t="e">
        <f>VLOOKUP(A60,'TABELA SPOLINE'!A:J,10,FALSE)</f>
        <v>#N/A</v>
      </c>
      <c r="J60" s="35" t="s">
        <v>2761</v>
      </c>
      <c r="K60" t="str">
        <f t="shared" si="0"/>
        <v>278</v>
      </c>
      <c r="L60" s="36" t="s">
        <v>4188</v>
      </c>
      <c r="M60" s="35">
        <v>7629</v>
      </c>
      <c r="N60" s="36" t="s">
        <v>5269</v>
      </c>
      <c r="O60" s="35" t="s">
        <v>5334</v>
      </c>
      <c r="P60" s="35" t="s">
        <v>5335</v>
      </c>
    </row>
    <row r="61" spans="1:16" hidden="1">
      <c r="A61" s="35">
        <v>279</v>
      </c>
      <c r="B61" s="36" t="s">
        <v>2764</v>
      </c>
      <c r="C61" t="e">
        <f>VLOOKUP(A61,'TABELA SPOLINE'!A:J,10,FALSE)</f>
        <v>#N/A</v>
      </c>
      <c r="J61" s="35" t="s">
        <v>2763</v>
      </c>
      <c r="K61" t="str">
        <f t="shared" si="0"/>
        <v>279</v>
      </c>
      <c r="L61" s="36" t="s">
        <v>4189</v>
      </c>
      <c r="M61" s="35">
        <v>7629</v>
      </c>
      <c r="N61" s="36" t="s">
        <v>5269</v>
      </c>
      <c r="O61" s="35" t="s">
        <v>5332</v>
      </c>
      <c r="P61" s="35" t="s">
        <v>5333</v>
      </c>
    </row>
    <row r="62" spans="1:16" hidden="1">
      <c r="A62" s="35">
        <v>279</v>
      </c>
      <c r="B62" s="36" t="s">
        <v>2920</v>
      </c>
      <c r="C62" t="e">
        <f>VLOOKUP(A62,'TABELA SPOLINE'!A:J,10,FALSE)</f>
        <v>#N/A</v>
      </c>
      <c r="J62" s="35" t="s">
        <v>2763</v>
      </c>
      <c r="K62" t="str">
        <f t="shared" si="0"/>
        <v>279</v>
      </c>
      <c r="L62" s="36" t="s">
        <v>4190</v>
      </c>
      <c r="M62" s="35">
        <v>7629</v>
      </c>
      <c r="N62" s="36" t="s">
        <v>5269</v>
      </c>
      <c r="O62" s="35" t="s">
        <v>5336</v>
      </c>
      <c r="P62" s="35" t="s">
        <v>5337</v>
      </c>
    </row>
    <row r="63" spans="1:16" hidden="1">
      <c r="A63" s="35">
        <v>280</v>
      </c>
      <c r="B63" s="36" t="s">
        <v>2766</v>
      </c>
      <c r="C63" t="e">
        <f>VLOOKUP(A63,'TABELA SPOLINE'!A:J,10,FALSE)</f>
        <v>#N/A</v>
      </c>
      <c r="J63" s="35" t="s">
        <v>2765</v>
      </c>
      <c r="K63" t="str">
        <f t="shared" si="0"/>
        <v>280</v>
      </c>
      <c r="L63" s="36" t="s">
        <v>4191</v>
      </c>
      <c r="M63" s="35">
        <v>7629</v>
      </c>
      <c r="N63" s="36" t="s">
        <v>5269</v>
      </c>
      <c r="O63" s="35" t="s">
        <v>5338</v>
      </c>
      <c r="P63" s="35" t="s">
        <v>5339</v>
      </c>
    </row>
    <row r="64" spans="1:16" hidden="1">
      <c r="A64" s="35">
        <v>280</v>
      </c>
      <c r="B64" s="36" t="s">
        <v>2921</v>
      </c>
      <c r="C64" t="e">
        <f>VLOOKUP(A64,'TABELA SPOLINE'!A:J,10,FALSE)</f>
        <v>#N/A</v>
      </c>
      <c r="J64" s="35" t="s">
        <v>2765</v>
      </c>
      <c r="K64" t="str">
        <f t="shared" si="0"/>
        <v>280</v>
      </c>
      <c r="L64" s="36" t="s">
        <v>4192</v>
      </c>
      <c r="M64" s="35">
        <v>7629</v>
      </c>
      <c r="N64" s="36" t="s">
        <v>5269</v>
      </c>
      <c r="O64" s="35" t="s">
        <v>5336</v>
      </c>
      <c r="P64" s="35" t="s">
        <v>5337</v>
      </c>
    </row>
    <row r="65" spans="1:16" hidden="1">
      <c r="A65" s="35">
        <v>281</v>
      </c>
      <c r="B65" s="36" t="s">
        <v>2768</v>
      </c>
      <c r="C65" t="e">
        <f>VLOOKUP(A65,'TABELA SPOLINE'!A:J,10,FALSE)</f>
        <v>#N/A</v>
      </c>
      <c r="J65" s="35" t="s">
        <v>2767</v>
      </c>
      <c r="K65" t="str">
        <f t="shared" si="0"/>
        <v>281</v>
      </c>
      <c r="L65" s="36" t="s">
        <v>4193</v>
      </c>
      <c r="M65" s="35">
        <v>7629</v>
      </c>
      <c r="N65" s="36" t="s">
        <v>5269</v>
      </c>
      <c r="O65" s="35" t="s">
        <v>5338</v>
      </c>
      <c r="P65" s="35" t="s">
        <v>5339</v>
      </c>
    </row>
    <row r="66" spans="1:16" hidden="1">
      <c r="A66" s="35">
        <v>281</v>
      </c>
      <c r="B66" s="36" t="s">
        <v>2922</v>
      </c>
      <c r="C66" t="e">
        <f>VLOOKUP(A66,'TABELA SPOLINE'!A:J,10,FALSE)</f>
        <v>#N/A</v>
      </c>
      <c r="J66" s="35" t="s">
        <v>2767</v>
      </c>
      <c r="K66" t="str">
        <f t="shared" si="0"/>
        <v>281</v>
      </c>
      <c r="L66" s="36" t="s">
        <v>4194</v>
      </c>
      <c r="M66" s="35">
        <v>7629</v>
      </c>
      <c r="N66" s="36" t="s">
        <v>5269</v>
      </c>
      <c r="O66" s="35" t="s">
        <v>5340</v>
      </c>
      <c r="P66" s="35" t="s">
        <v>5341</v>
      </c>
    </row>
    <row r="67" spans="1:16" hidden="1">
      <c r="A67" s="35">
        <v>282</v>
      </c>
      <c r="B67" s="36" t="s">
        <v>2770</v>
      </c>
      <c r="C67" t="e">
        <f>VLOOKUP(A67,'TABELA SPOLINE'!A:J,10,FALSE)</f>
        <v>#N/A</v>
      </c>
      <c r="J67" s="35" t="s">
        <v>2769</v>
      </c>
      <c r="K67" t="str">
        <f t="shared" ref="K67:K130" si="17">TRIM(A67)</f>
        <v>282</v>
      </c>
      <c r="L67" s="36" t="s">
        <v>4195</v>
      </c>
      <c r="M67" s="35">
        <v>7629</v>
      </c>
      <c r="N67" s="36" t="s">
        <v>5269</v>
      </c>
      <c r="O67" s="35" t="s">
        <v>5342</v>
      </c>
      <c r="P67" s="35" t="s">
        <v>5343</v>
      </c>
    </row>
    <row r="68" spans="1:16" hidden="1">
      <c r="A68" s="35">
        <v>282</v>
      </c>
      <c r="B68" s="36" t="s">
        <v>2923</v>
      </c>
      <c r="C68" t="e">
        <f>VLOOKUP(A68,'TABELA SPOLINE'!A:J,10,FALSE)</f>
        <v>#N/A</v>
      </c>
      <c r="J68" s="35" t="s">
        <v>2769</v>
      </c>
      <c r="K68" t="str">
        <f t="shared" si="17"/>
        <v>282</v>
      </c>
      <c r="L68" s="36" t="s">
        <v>4196</v>
      </c>
      <c r="M68" s="35">
        <v>7629</v>
      </c>
      <c r="N68" s="36" t="s">
        <v>5269</v>
      </c>
      <c r="O68" s="35" t="s">
        <v>5338</v>
      </c>
      <c r="P68" s="35" t="s">
        <v>5339</v>
      </c>
    </row>
    <row r="69" spans="1:16" hidden="1">
      <c r="A69" s="35">
        <v>283</v>
      </c>
      <c r="B69" s="36" t="s">
        <v>2772</v>
      </c>
      <c r="C69" t="e">
        <f>VLOOKUP(A69,'TABELA SPOLINE'!A:J,10,FALSE)</f>
        <v>#N/A</v>
      </c>
      <c r="J69" s="35" t="s">
        <v>2771</v>
      </c>
      <c r="K69" t="str">
        <f t="shared" si="17"/>
        <v>283</v>
      </c>
      <c r="L69" s="36" t="s">
        <v>4197</v>
      </c>
      <c r="M69" s="35">
        <v>7629</v>
      </c>
      <c r="N69" s="36" t="s">
        <v>5269</v>
      </c>
      <c r="O69" s="35" t="s">
        <v>5338</v>
      </c>
      <c r="P69" s="35" t="s">
        <v>5339</v>
      </c>
    </row>
    <row r="70" spans="1:16" hidden="1">
      <c r="A70" s="35">
        <v>283</v>
      </c>
      <c r="B70" s="36" t="s">
        <v>2924</v>
      </c>
      <c r="C70" t="e">
        <f>VLOOKUP(A70,'TABELA SPOLINE'!A:J,10,FALSE)</f>
        <v>#N/A</v>
      </c>
      <c r="J70" s="35" t="s">
        <v>2771</v>
      </c>
      <c r="K70" t="str">
        <f t="shared" si="17"/>
        <v>283</v>
      </c>
      <c r="L70" s="36" t="s">
        <v>4198</v>
      </c>
      <c r="M70" s="35">
        <v>7629</v>
      </c>
      <c r="N70" s="36" t="s">
        <v>5269</v>
      </c>
      <c r="O70" s="35" t="s">
        <v>5342</v>
      </c>
      <c r="P70" s="35" t="s">
        <v>5343</v>
      </c>
    </row>
    <row r="71" spans="1:16" hidden="1">
      <c r="A71" s="35">
        <v>284</v>
      </c>
      <c r="B71" s="36" t="s">
        <v>2790</v>
      </c>
      <c r="C71" t="e">
        <f>VLOOKUP(A71,'TABELA SPOLINE'!A:J,10,FALSE)</f>
        <v>#N/A</v>
      </c>
      <c r="J71" s="35" t="s">
        <v>2789</v>
      </c>
      <c r="K71" t="str">
        <f t="shared" si="17"/>
        <v>284</v>
      </c>
      <c r="L71" s="36" t="s">
        <v>4199</v>
      </c>
      <c r="M71" s="35">
        <v>7629</v>
      </c>
      <c r="N71" s="36" t="s">
        <v>5269</v>
      </c>
      <c r="O71" s="35" t="s">
        <v>5344</v>
      </c>
      <c r="P71" s="35" t="s">
        <v>5345</v>
      </c>
    </row>
    <row r="72" spans="1:16" hidden="1">
      <c r="A72" s="35">
        <v>284</v>
      </c>
      <c r="B72" s="36" t="s">
        <v>2925</v>
      </c>
      <c r="C72" t="e">
        <f>VLOOKUP(A72,'TABELA SPOLINE'!A:J,10,FALSE)</f>
        <v>#N/A</v>
      </c>
      <c r="J72" s="35" t="s">
        <v>2789</v>
      </c>
      <c r="K72" t="str">
        <f t="shared" si="17"/>
        <v>284</v>
      </c>
      <c r="L72" s="36" t="s">
        <v>4200</v>
      </c>
      <c r="M72" s="35">
        <v>7629</v>
      </c>
      <c r="N72" s="36" t="s">
        <v>5269</v>
      </c>
      <c r="O72" s="35" t="s">
        <v>5344</v>
      </c>
      <c r="P72" s="35" t="s">
        <v>5345</v>
      </c>
    </row>
    <row r="73" spans="1:16" hidden="1">
      <c r="A73" s="35">
        <v>285</v>
      </c>
      <c r="B73" s="36" t="s">
        <v>2774</v>
      </c>
      <c r="C73" t="e">
        <f>VLOOKUP(A73,'TABELA SPOLINE'!A:J,10,FALSE)</f>
        <v>#N/A</v>
      </c>
      <c r="J73" s="35" t="s">
        <v>2773</v>
      </c>
      <c r="K73" t="str">
        <f t="shared" si="17"/>
        <v>285</v>
      </c>
      <c r="L73" s="36" t="s">
        <v>4201</v>
      </c>
      <c r="M73" s="35">
        <v>7629</v>
      </c>
      <c r="N73" s="36" t="s">
        <v>5269</v>
      </c>
      <c r="O73" s="35" t="s">
        <v>5344</v>
      </c>
      <c r="P73" s="35" t="s">
        <v>5345</v>
      </c>
    </row>
    <row r="74" spans="1:16" hidden="1">
      <c r="A74" s="35">
        <v>285</v>
      </c>
      <c r="B74" s="36" t="s">
        <v>2926</v>
      </c>
      <c r="C74" t="e">
        <f>VLOOKUP(A74,'TABELA SPOLINE'!A:J,10,FALSE)</f>
        <v>#N/A</v>
      </c>
      <c r="J74" s="35" t="s">
        <v>2773</v>
      </c>
      <c r="K74" t="str">
        <f t="shared" si="17"/>
        <v>285</v>
      </c>
      <c r="L74" s="36" t="s">
        <v>4202</v>
      </c>
      <c r="M74" s="35">
        <v>7629</v>
      </c>
      <c r="N74" s="36" t="s">
        <v>5269</v>
      </c>
      <c r="O74" s="35" t="s">
        <v>5346</v>
      </c>
      <c r="P74" s="35" t="s">
        <v>5347</v>
      </c>
    </row>
    <row r="75" spans="1:16" hidden="1">
      <c r="A75" s="35">
        <v>286</v>
      </c>
      <c r="B75" s="36" t="s">
        <v>2776</v>
      </c>
      <c r="C75" t="e">
        <f>VLOOKUP(A75,'TABELA SPOLINE'!A:J,10,FALSE)</f>
        <v>#N/A</v>
      </c>
      <c r="J75" s="35" t="s">
        <v>2775</v>
      </c>
      <c r="K75" t="str">
        <f t="shared" si="17"/>
        <v>286</v>
      </c>
      <c r="L75" s="36" t="s">
        <v>4203</v>
      </c>
      <c r="M75" s="35">
        <v>7629</v>
      </c>
      <c r="N75" s="36" t="s">
        <v>5269</v>
      </c>
      <c r="O75" s="35" t="s">
        <v>5344</v>
      </c>
      <c r="P75" s="35" t="s">
        <v>5345</v>
      </c>
    </row>
    <row r="76" spans="1:16" hidden="1">
      <c r="A76" s="35">
        <v>286</v>
      </c>
      <c r="B76" s="36" t="s">
        <v>2927</v>
      </c>
      <c r="C76" t="e">
        <f>VLOOKUP(A76,'TABELA SPOLINE'!A:J,10,FALSE)</f>
        <v>#N/A</v>
      </c>
      <c r="J76" s="35" t="s">
        <v>2775</v>
      </c>
      <c r="K76" t="str">
        <f t="shared" si="17"/>
        <v>286</v>
      </c>
      <c r="L76" s="36" t="s">
        <v>4204</v>
      </c>
      <c r="M76" s="35">
        <v>7629</v>
      </c>
      <c r="N76" s="36" t="s">
        <v>5269</v>
      </c>
      <c r="O76" s="35" t="s">
        <v>5344</v>
      </c>
      <c r="P76" s="35" t="s">
        <v>5345</v>
      </c>
    </row>
    <row r="77" spans="1:16" hidden="1">
      <c r="A77" s="35">
        <v>290</v>
      </c>
      <c r="B77" s="36" t="s">
        <v>2778</v>
      </c>
      <c r="C77" t="e">
        <f>VLOOKUP(A77,'TABELA SPOLINE'!A:J,10,FALSE)</f>
        <v>#N/A</v>
      </c>
      <c r="J77" s="35" t="s">
        <v>2777</v>
      </c>
      <c r="K77" t="str">
        <f t="shared" si="17"/>
        <v>290</v>
      </c>
      <c r="L77" s="36" t="s">
        <v>4205</v>
      </c>
      <c r="M77" s="35">
        <v>7629</v>
      </c>
      <c r="N77" s="36" t="s">
        <v>5269</v>
      </c>
      <c r="O77" s="35" t="s">
        <v>5344</v>
      </c>
      <c r="P77" s="35" t="s">
        <v>5345</v>
      </c>
    </row>
    <row r="78" spans="1:16" hidden="1">
      <c r="A78" s="35">
        <v>290</v>
      </c>
      <c r="B78" s="36" t="s">
        <v>2932</v>
      </c>
      <c r="C78" t="e">
        <f>VLOOKUP(A78,'TABELA SPOLINE'!A:J,10,FALSE)</f>
        <v>#N/A</v>
      </c>
      <c r="J78" s="35" t="s">
        <v>2777</v>
      </c>
      <c r="K78" t="str">
        <f t="shared" si="17"/>
        <v>290</v>
      </c>
      <c r="L78" s="36" t="s">
        <v>4206</v>
      </c>
      <c r="M78" s="35">
        <v>7629</v>
      </c>
      <c r="N78" s="36" t="s">
        <v>5269</v>
      </c>
      <c r="O78" s="35" t="s">
        <v>5346</v>
      </c>
      <c r="P78" s="35" t="s">
        <v>5347</v>
      </c>
    </row>
    <row r="79" spans="1:16" hidden="1">
      <c r="A79" s="35">
        <v>291</v>
      </c>
      <c r="B79" s="36" t="s">
        <v>2780</v>
      </c>
      <c r="C79" t="e">
        <f>VLOOKUP(A79,'TABELA SPOLINE'!A:J,10,FALSE)</f>
        <v>#N/A</v>
      </c>
      <c r="J79" s="35" t="s">
        <v>2779</v>
      </c>
      <c r="K79" t="str">
        <f t="shared" si="17"/>
        <v>291</v>
      </c>
      <c r="L79" s="36" t="s">
        <v>4207</v>
      </c>
      <c r="M79" s="35">
        <v>7629</v>
      </c>
      <c r="N79" s="36" t="s">
        <v>5269</v>
      </c>
      <c r="O79" s="35" t="s">
        <v>5348</v>
      </c>
      <c r="P79" s="35" t="s">
        <v>5349</v>
      </c>
    </row>
    <row r="80" spans="1:16" hidden="1">
      <c r="A80" s="35">
        <v>291</v>
      </c>
      <c r="B80" s="36" t="s">
        <v>2933</v>
      </c>
      <c r="C80" t="e">
        <f>VLOOKUP(A80,'TABELA SPOLINE'!A:J,10,FALSE)</f>
        <v>#N/A</v>
      </c>
      <c r="J80" s="35" t="s">
        <v>2779</v>
      </c>
      <c r="K80" t="str">
        <f t="shared" si="17"/>
        <v>291</v>
      </c>
      <c r="L80" s="36" t="s">
        <v>4208</v>
      </c>
      <c r="M80" s="35">
        <v>7629</v>
      </c>
      <c r="N80" s="36" t="s">
        <v>5269</v>
      </c>
      <c r="O80" s="35" t="s">
        <v>5350</v>
      </c>
      <c r="P80" s="35" t="s">
        <v>5351</v>
      </c>
    </row>
    <row r="81" spans="1:16" hidden="1">
      <c r="A81" s="35">
        <v>294</v>
      </c>
      <c r="B81" s="36" t="s">
        <v>2782</v>
      </c>
      <c r="C81" t="e">
        <f>VLOOKUP(A81,'TABELA SPOLINE'!A:J,10,FALSE)</f>
        <v>#N/A</v>
      </c>
      <c r="J81" s="35" t="s">
        <v>2781</v>
      </c>
      <c r="K81" t="str">
        <f t="shared" si="17"/>
        <v>294</v>
      </c>
      <c r="L81" s="36" t="s">
        <v>4209</v>
      </c>
      <c r="M81" s="35">
        <v>7629</v>
      </c>
      <c r="N81" s="36" t="s">
        <v>5269</v>
      </c>
      <c r="O81" s="35" t="s">
        <v>5348</v>
      </c>
      <c r="P81" s="35" t="s">
        <v>5349</v>
      </c>
    </row>
    <row r="82" spans="1:16" hidden="1">
      <c r="A82" s="35">
        <v>294</v>
      </c>
      <c r="B82" s="36" t="s">
        <v>2931</v>
      </c>
      <c r="C82" t="e">
        <f>VLOOKUP(A82,'TABELA SPOLINE'!A:J,10,FALSE)</f>
        <v>#N/A</v>
      </c>
      <c r="J82" s="35" t="s">
        <v>2781</v>
      </c>
      <c r="K82" t="str">
        <f t="shared" si="17"/>
        <v>294</v>
      </c>
      <c r="L82" s="36" t="s">
        <v>4210</v>
      </c>
      <c r="M82" s="35">
        <v>7629</v>
      </c>
      <c r="N82" s="36" t="s">
        <v>5269</v>
      </c>
      <c r="O82" s="35" t="s">
        <v>5348</v>
      </c>
      <c r="P82" s="35" t="s">
        <v>5349</v>
      </c>
    </row>
    <row r="83" spans="1:16" hidden="1">
      <c r="A83" s="35">
        <v>295</v>
      </c>
      <c r="B83" s="36" t="s">
        <v>2784</v>
      </c>
      <c r="C83" t="e">
        <f>VLOOKUP(A83,'TABELA SPOLINE'!A:J,10,FALSE)</f>
        <v>#N/A</v>
      </c>
      <c r="J83" s="35" t="s">
        <v>2783</v>
      </c>
      <c r="K83" t="str">
        <f t="shared" si="17"/>
        <v>295</v>
      </c>
      <c r="L83" s="36" t="s">
        <v>4211</v>
      </c>
      <c r="M83" s="35">
        <v>7629</v>
      </c>
      <c r="N83" s="36" t="s">
        <v>5269</v>
      </c>
      <c r="O83" s="35" t="s">
        <v>5348</v>
      </c>
      <c r="P83" s="35" t="s">
        <v>5349</v>
      </c>
    </row>
    <row r="84" spans="1:16" hidden="1">
      <c r="A84" s="35">
        <v>295</v>
      </c>
      <c r="B84" s="36" t="s">
        <v>2930</v>
      </c>
      <c r="C84" t="e">
        <f>VLOOKUP(A84,'TABELA SPOLINE'!A:J,10,FALSE)</f>
        <v>#N/A</v>
      </c>
      <c r="J84" s="35" t="s">
        <v>2783</v>
      </c>
      <c r="K84" t="str">
        <f t="shared" si="17"/>
        <v>295</v>
      </c>
      <c r="L84" s="36" t="s">
        <v>4212</v>
      </c>
      <c r="M84" s="35">
        <v>7629</v>
      </c>
      <c r="N84" s="36" t="s">
        <v>5269</v>
      </c>
      <c r="O84" s="35" t="s">
        <v>5350</v>
      </c>
      <c r="P84" s="35" t="s">
        <v>5351</v>
      </c>
    </row>
    <row r="85" spans="1:16" hidden="1">
      <c r="A85" s="35">
        <v>296</v>
      </c>
      <c r="B85" s="36" t="s">
        <v>2786</v>
      </c>
      <c r="C85" t="e">
        <f>VLOOKUP(A85,'TABELA SPOLINE'!A:J,10,FALSE)</f>
        <v>#N/A</v>
      </c>
      <c r="J85" s="35" t="s">
        <v>2785</v>
      </c>
      <c r="K85" t="str">
        <f t="shared" si="17"/>
        <v>296</v>
      </c>
      <c r="L85" s="36" t="s">
        <v>4213</v>
      </c>
      <c r="M85" s="35">
        <v>7629</v>
      </c>
      <c r="N85" s="36" t="s">
        <v>5269</v>
      </c>
      <c r="O85" s="35" t="s">
        <v>5348</v>
      </c>
      <c r="P85" s="35" t="s">
        <v>5349</v>
      </c>
    </row>
    <row r="86" spans="1:16" hidden="1">
      <c r="A86" s="35">
        <v>296</v>
      </c>
      <c r="B86" s="36" t="s">
        <v>2928</v>
      </c>
      <c r="C86" t="e">
        <f>VLOOKUP(A86,'TABELA SPOLINE'!A:J,10,FALSE)</f>
        <v>#N/A</v>
      </c>
      <c r="J86" s="35" t="s">
        <v>2785</v>
      </c>
      <c r="K86" t="str">
        <f t="shared" si="17"/>
        <v>296</v>
      </c>
      <c r="L86" s="36" t="s">
        <v>4214</v>
      </c>
      <c r="M86" s="35">
        <v>7629</v>
      </c>
      <c r="N86" s="36" t="s">
        <v>5269</v>
      </c>
      <c r="O86" s="35" t="s">
        <v>5352</v>
      </c>
      <c r="P86" s="35" t="s">
        <v>5353</v>
      </c>
    </row>
    <row r="87" spans="1:16" hidden="1">
      <c r="A87" s="35">
        <v>297</v>
      </c>
      <c r="B87" s="36" t="s">
        <v>2788</v>
      </c>
      <c r="C87" t="e">
        <f>VLOOKUP(A87,'TABELA SPOLINE'!A:J,10,FALSE)</f>
        <v>#N/A</v>
      </c>
      <c r="J87" s="35" t="s">
        <v>2787</v>
      </c>
      <c r="K87" t="str">
        <f t="shared" si="17"/>
        <v>297</v>
      </c>
      <c r="L87" s="36" t="s">
        <v>4215</v>
      </c>
      <c r="M87" s="35">
        <v>7629</v>
      </c>
      <c r="N87" s="36" t="s">
        <v>5269</v>
      </c>
      <c r="O87" s="35" t="s">
        <v>5352</v>
      </c>
      <c r="P87" s="35" t="s">
        <v>5353</v>
      </c>
    </row>
    <row r="88" spans="1:16" hidden="1">
      <c r="A88" s="35">
        <v>297</v>
      </c>
      <c r="B88" s="36" t="s">
        <v>2929</v>
      </c>
      <c r="C88" t="e">
        <f>VLOOKUP(A88,'TABELA SPOLINE'!A:J,10,FALSE)</f>
        <v>#N/A</v>
      </c>
      <c r="J88" s="35" t="s">
        <v>2787</v>
      </c>
      <c r="K88" t="str">
        <f t="shared" si="17"/>
        <v>297</v>
      </c>
      <c r="L88" s="36" t="s">
        <v>4216</v>
      </c>
      <c r="M88" s="35">
        <v>7629</v>
      </c>
      <c r="N88" s="36" t="s">
        <v>5269</v>
      </c>
      <c r="O88" s="35" t="s">
        <v>5352</v>
      </c>
      <c r="P88" s="35" t="s">
        <v>5353</v>
      </c>
    </row>
    <row r="89" spans="1:16">
      <c r="A89" s="35">
        <v>299</v>
      </c>
      <c r="B89" s="36" t="s">
        <v>1743</v>
      </c>
      <c r="C89">
        <f>VLOOKUP(A89,'TABELA SPOLINE'!A:J,10,FALSE)</f>
        <v>76.797000000000011</v>
      </c>
      <c r="D89">
        <f>C89*0.1+C89</f>
        <v>84.476700000000008</v>
      </c>
      <c r="E89">
        <f>ROUNDUP(D89,2)</f>
        <v>84.48</v>
      </c>
      <c r="F89">
        <f>E89*0.0975+E89</f>
        <v>92.716800000000006</v>
      </c>
      <c r="G89">
        <f>ROUNDUP(F89,2)</f>
        <v>92.72</v>
      </c>
      <c r="H89">
        <v>499</v>
      </c>
      <c r="I89">
        <v>1</v>
      </c>
      <c r="J89" s="35" t="s">
        <v>3130</v>
      </c>
      <c r="K89" t="str">
        <f t="shared" si="17"/>
        <v>299</v>
      </c>
      <c r="L89" s="36" t="s">
        <v>4217</v>
      </c>
      <c r="M89" s="35">
        <v>7629</v>
      </c>
      <c r="N89" s="36" t="s">
        <v>5269</v>
      </c>
      <c r="O89" s="35" t="s">
        <v>5352</v>
      </c>
      <c r="P89" s="35" t="s">
        <v>5353</v>
      </c>
    </row>
    <row r="90" spans="1:16" hidden="1">
      <c r="A90" s="35">
        <v>300</v>
      </c>
      <c r="B90" s="36" t="s">
        <v>1744</v>
      </c>
      <c r="C90" t="e">
        <f>VLOOKUP(A90,'TABELA SPOLINE'!A:J,10,FALSE)</f>
        <v>#N/A</v>
      </c>
      <c r="H90">
        <v>499</v>
      </c>
      <c r="I90">
        <v>1</v>
      </c>
      <c r="J90" s="35" t="s">
        <v>3131</v>
      </c>
      <c r="K90" t="str">
        <f t="shared" si="17"/>
        <v>300</v>
      </c>
      <c r="L90" s="36" t="s">
        <v>4218</v>
      </c>
      <c r="M90" s="35">
        <v>7629</v>
      </c>
      <c r="N90" s="36" t="s">
        <v>5269</v>
      </c>
      <c r="O90" s="35" t="s">
        <v>5352</v>
      </c>
      <c r="P90" s="35" t="s">
        <v>5353</v>
      </c>
    </row>
    <row r="91" spans="1:16">
      <c r="A91" s="35">
        <v>301</v>
      </c>
      <c r="B91" s="36" t="s">
        <v>1745</v>
      </c>
      <c r="C91">
        <f>VLOOKUP(A91,'TABELA SPOLINE'!A:J,10,FALSE)</f>
        <v>92.379000000000005</v>
      </c>
      <c r="D91">
        <f>C91*0.1+C91</f>
        <v>101.6169</v>
      </c>
      <c r="E91">
        <f>ROUNDUP(D91,2)</f>
        <v>101.62</v>
      </c>
      <c r="F91">
        <f>E91*0.0975+E91</f>
        <v>111.52795</v>
      </c>
      <c r="G91">
        <f>ROUNDUP(F91,2)</f>
        <v>111.53</v>
      </c>
      <c r="H91">
        <v>499</v>
      </c>
      <c r="I91">
        <v>1</v>
      </c>
      <c r="J91" s="35" t="s">
        <v>3132</v>
      </c>
      <c r="K91" t="str">
        <f t="shared" si="17"/>
        <v>301</v>
      </c>
      <c r="L91" s="36" t="s">
        <v>4219</v>
      </c>
      <c r="M91" s="35">
        <v>7629</v>
      </c>
      <c r="N91" s="36" t="s">
        <v>5269</v>
      </c>
      <c r="O91" s="35" t="s">
        <v>5352</v>
      </c>
      <c r="P91" s="35" t="s">
        <v>5353</v>
      </c>
    </row>
    <row r="92" spans="1:16" hidden="1">
      <c r="A92" s="35">
        <v>302</v>
      </c>
      <c r="B92" s="36" t="s">
        <v>1746</v>
      </c>
      <c r="C92" t="e">
        <f>VLOOKUP(A92,'TABELA SPOLINE'!A:J,10,FALSE)</f>
        <v>#N/A</v>
      </c>
      <c r="H92">
        <v>499</v>
      </c>
      <c r="I92">
        <v>1</v>
      </c>
      <c r="J92" s="35" t="s">
        <v>3133</v>
      </c>
      <c r="K92" t="str">
        <f t="shared" si="17"/>
        <v>302</v>
      </c>
      <c r="L92" s="36" t="s">
        <v>4220</v>
      </c>
      <c r="M92" s="35">
        <v>7629</v>
      </c>
      <c r="N92" s="36" t="s">
        <v>5269</v>
      </c>
      <c r="O92" s="35" t="s">
        <v>5354</v>
      </c>
      <c r="P92" s="35" t="s">
        <v>5355</v>
      </c>
    </row>
    <row r="93" spans="1:16">
      <c r="A93" s="35">
        <v>304</v>
      </c>
      <c r="B93" s="36" t="s">
        <v>1747</v>
      </c>
      <c r="C93">
        <f>VLOOKUP(A93,'TABELA SPOLINE'!A:J,10,FALSE)</f>
        <v>76.797000000000011</v>
      </c>
      <c r="D93">
        <f>C93*0.1+C93</f>
        <v>84.476700000000008</v>
      </c>
      <c r="E93">
        <f>ROUNDUP(D93,2)</f>
        <v>84.48</v>
      </c>
      <c r="F93">
        <f>E93*0.0975+E93</f>
        <v>92.716800000000006</v>
      </c>
      <c r="G93">
        <f>ROUNDUP(F93,2)</f>
        <v>92.72</v>
      </c>
      <c r="H93">
        <v>499</v>
      </c>
      <c r="I93">
        <v>1</v>
      </c>
      <c r="J93" s="35" t="s">
        <v>3134</v>
      </c>
      <c r="K93" t="str">
        <f t="shared" si="17"/>
        <v>304</v>
      </c>
      <c r="L93" s="36" t="s">
        <v>4221</v>
      </c>
      <c r="M93" s="35">
        <v>7629</v>
      </c>
      <c r="N93" s="36" t="s">
        <v>5269</v>
      </c>
      <c r="O93" s="35" t="s">
        <v>5354</v>
      </c>
      <c r="P93" s="35" t="s">
        <v>5355</v>
      </c>
    </row>
    <row r="94" spans="1:16" hidden="1">
      <c r="A94" s="35">
        <v>305</v>
      </c>
      <c r="B94" s="36" t="s">
        <v>1748</v>
      </c>
      <c r="C94" t="e">
        <f>VLOOKUP(A94,'TABELA SPOLINE'!A:J,10,FALSE)</f>
        <v>#N/A</v>
      </c>
      <c r="H94">
        <v>499</v>
      </c>
      <c r="I94">
        <v>1</v>
      </c>
      <c r="J94" s="35" t="s">
        <v>3135</v>
      </c>
      <c r="K94" t="str">
        <f t="shared" si="17"/>
        <v>305</v>
      </c>
      <c r="L94" s="36" t="s">
        <v>4222</v>
      </c>
      <c r="M94" s="35">
        <v>7629</v>
      </c>
      <c r="N94" s="36" t="s">
        <v>5269</v>
      </c>
      <c r="O94" s="35" t="s">
        <v>5354</v>
      </c>
      <c r="P94" s="35" t="s">
        <v>5355</v>
      </c>
    </row>
    <row r="95" spans="1:16">
      <c r="A95" s="35">
        <v>306</v>
      </c>
      <c r="B95" s="36" t="s">
        <v>1749</v>
      </c>
      <c r="C95">
        <f>VLOOKUP(A95,'TABELA SPOLINE'!A:J,10,FALSE)</f>
        <v>92.379000000000005</v>
      </c>
      <c r="D95">
        <f>C95*0.1+C95</f>
        <v>101.6169</v>
      </c>
      <c r="E95">
        <f>ROUNDUP(D95,2)</f>
        <v>101.62</v>
      </c>
      <c r="F95">
        <f>E95*0.0975+E95</f>
        <v>111.52795</v>
      </c>
      <c r="G95">
        <f>ROUNDUP(F95,2)</f>
        <v>111.53</v>
      </c>
      <c r="H95">
        <v>499</v>
      </c>
      <c r="I95">
        <v>1</v>
      </c>
      <c r="J95" s="35" t="s">
        <v>3136</v>
      </c>
      <c r="K95" t="str">
        <f t="shared" si="17"/>
        <v>306</v>
      </c>
      <c r="L95" s="36" t="s">
        <v>4223</v>
      </c>
      <c r="M95" s="35">
        <v>7629</v>
      </c>
      <c r="N95" s="36" t="s">
        <v>5269</v>
      </c>
      <c r="O95" s="35" t="s">
        <v>5354</v>
      </c>
      <c r="P95" s="35" t="s">
        <v>5355</v>
      </c>
    </row>
    <row r="96" spans="1:16" hidden="1">
      <c r="A96" s="35">
        <v>312</v>
      </c>
      <c r="B96" s="36" t="s">
        <v>2881</v>
      </c>
      <c r="C96" t="e">
        <f>VLOOKUP(A96,'TABELA SPOLINE'!A:J,10,FALSE)</f>
        <v>#N/A</v>
      </c>
      <c r="J96" s="35" t="s">
        <v>2880</v>
      </c>
      <c r="K96" t="str">
        <f t="shared" si="17"/>
        <v>312</v>
      </c>
      <c r="L96" s="36" t="s">
        <v>4224</v>
      </c>
      <c r="M96" s="35">
        <v>7629</v>
      </c>
      <c r="N96" s="36" t="s">
        <v>5269</v>
      </c>
      <c r="O96" s="35" t="s">
        <v>5354</v>
      </c>
      <c r="P96" s="35" t="s">
        <v>5355</v>
      </c>
    </row>
    <row r="97" spans="1:16" hidden="1">
      <c r="A97" s="35">
        <v>315</v>
      </c>
      <c r="B97" s="36" t="s">
        <v>2956</v>
      </c>
      <c r="C97" t="e">
        <f>VLOOKUP(A97,'TABELA SPOLINE'!A:J,10,FALSE)</f>
        <v>#N/A</v>
      </c>
      <c r="J97" s="35" t="s">
        <v>2955</v>
      </c>
      <c r="K97" t="str">
        <f t="shared" si="17"/>
        <v>315</v>
      </c>
      <c r="L97" s="36" t="s">
        <v>4225</v>
      </c>
      <c r="M97" s="35">
        <v>7629</v>
      </c>
      <c r="N97" s="36" t="s">
        <v>5269</v>
      </c>
      <c r="O97" s="35" t="s">
        <v>5354</v>
      </c>
      <c r="P97" s="35" t="s">
        <v>5355</v>
      </c>
    </row>
    <row r="98" spans="1:16">
      <c r="A98" s="35">
        <v>330</v>
      </c>
      <c r="B98" s="36" t="s">
        <v>1751</v>
      </c>
      <c r="C98">
        <f>VLOOKUP(A98,'TABELA SPOLINE'!A:J,10,FALSE)</f>
        <v>150.9228</v>
      </c>
      <c r="D98">
        <f t="shared" ref="D98:D104" si="18">C98*0.1+C98</f>
        <v>166.01507999999998</v>
      </c>
      <c r="E98">
        <f t="shared" ref="E98:E104" si="19">ROUNDUP(D98,2)</f>
        <v>166.01999999999998</v>
      </c>
      <c r="F98">
        <f t="shared" ref="F98:F104" si="20">E98*0.0975+E98</f>
        <v>182.20694999999998</v>
      </c>
      <c r="G98">
        <f t="shared" ref="G98:G104" si="21">ROUNDUP(F98,2)</f>
        <v>182.20999999999998</v>
      </c>
      <c r="H98">
        <v>633</v>
      </c>
      <c r="I98">
        <v>1</v>
      </c>
      <c r="J98" s="35" t="s">
        <v>3138</v>
      </c>
      <c r="K98" t="str">
        <f t="shared" si="17"/>
        <v>330</v>
      </c>
      <c r="L98" s="36" t="s">
        <v>4226</v>
      </c>
      <c r="M98" s="35">
        <v>7629</v>
      </c>
      <c r="N98" s="36" t="s">
        <v>5269</v>
      </c>
      <c r="O98" s="35" t="s">
        <v>5356</v>
      </c>
      <c r="P98" s="35" t="s">
        <v>5357</v>
      </c>
    </row>
    <row r="99" spans="1:16">
      <c r="A99" s="35">
        <v>331</v>
      </c>
      <c r="B99" s="36" t="s">
        <v>1753</v>
      </c>
      <c r="C99">
        <f>VLOOKUP(A99,'TABELA SPOLINE'!A:J,10,FALSE)</f>
        <v>125.76900000000001</v>
      </c>
      <c r="D99">
        <f t="shared" si="18"/>
        <v>138.3459</v>
      </c>
      <c r="E99">
        <f t="shared" si="19"/>
        <v>138.35</v>
      </c>
      <c r="F99">
        <f t="shared" si="20"/>
        <v>151.839125</v>
      </c>
      <c r="G99">
        <f t="shared" si="21"/>
        <v>151.84</v>
      </c>
      <c r="H99">
        <v>633</v>
      </c>
      <c r="I99">
        <v>1</v>
      </c>
      <c r="J99" s="35" t="s">
        <v>3140</v>
      </c>
      <c r="K99" t="str">
        <f t="shared" si="17"/>
        <v>331</v>
      </c>
      <c r="L99" s="36" t="s">
        <v>4227</v>
      </c>
      <c r="M99" s="35">
        <v>7629</v>
      </c>
      <c r="N99" s="36" t="s">
        <v>5269</v>
      </c>
      <c r="O99" s="35" t="s">
        <v>5356</v>
      </c>
      <c r="P99" s="35" t="s">
        <v>5357</v>
      </c>
    </row>
    <row r="100" spans="1:16">
      <c r="A100" s="35">
        <v>332</v>
      </c>
      <c r="B100" s="36" t="s">
        <v>1754</v>
      </c>
      <c r="C100">
        <f>VLOOKUP(A100,'TABELA SPOLINE'!A:J,10,FALSE)</f>
        <v>125.76900000000001</v>
      </c>
      <c r="D100">
        <f t="shared" si="18"/>
        <v>138.3459</v>
      </c>
      <c r="E100">
        <f t="shared" si="19"/>
        <v>138.35</v>
      </c>
      <c r="F100">
        <f t="shared" si="20"/>
        <v>151.839125</v>
      </c>
      <c r="G100">
        <f t="shared" si="21"/>
        <v>151.84</v>
      </c>
      <c r="H100">
        <v>633</v>
      </c>
      <c r="I100">
        <v>1</v>
      </c>
      <c r="J100" s="35" t="s">
        <v>3141</v>
      </c>
      <c r="K100" t="str">
        <f t="shared" si="17"/>
        <v>332</v>
      </c>
      <c r="L100" s="36" t="s">
        <v>4228</v>
      </c>
      <c r="M100" s="35">
        <v>7629</v>
      </c>
      <c r="N100" s="36" t="s">
        <v>5269</v>
      </c>
      <c r="O100" s="35" t="s">
        <v>5356</v>
      </c>
      <c r="P100" s="35" t="s">
        <v>5357</v>
      </c>
    </row>
    <row r="101" spans="1:16">
      <c r="A101" s="35">
        <v>338</v>
      </c>
      <c r="B101" s="36" t="s">
        <v>1758</v>
      </c>
      <c r="C101">
        <f>VLOOKUP(A101,'TABELA SPOLINE'!A:J,10,FALSE)</f>
        <v>455.43959999999998</v>
      </c>
      <c r="D101">
        <f t="shared" si="18"/>
        <v>500.98356000000001</v>
      </c>
      <c r="E101">
        <f t="shared" si="19"/>
        <v>500.99</v>
      </c>
      <c r="F101">
        <f t="shared" si="20"/>
        <v>549.83652500000005</v>
      </c>
      <c r="G101">
        <f t="shared" si="21"/>
        <v>549.84</v>
      </c>
      <c r="H101">
        <v>633</v>
      </c>
      <c r="I101">
        <v>3</v>
      </c>
      <c r="J101" s="35" t="s">
        <v>3145</v>
      </c>
      <c r="K101" t="str">
        <f t="shared" si="17"/>
        <v>338</v>
      </c>
      <c r="L101" s="36" t="s">
        <v>4229</v>
      </c>
      <c r="M101" s="35">
        <v>7629</v>
      </c>
      <c r="N101" s="36" t="s">
        <v>5269</v>
      </c>
      <c r="O101" s="35" t="s">
        <v>5356</v>
      </c>
      <c r="P101" s="35" t="s">
        <v>5357</v>
      </c>
    </row>
    <row r="102" spans="1:16">
      <c r="A102" s="35">
        <v>339</v>
      </c>
      <c r="B102" s="36" t="s">
        <v>1759</v>
      </c>
      <c r="C102">
        <f>VLOOKUP(A102,'TABELA SPOLINE'!A:J,10,FALSE)</f>
        <v>379.53300000000002</v>
      </c>
      <c r="D102">
        <f t="shared" si="18"/>
        <v>417.48630000000003</v>
      </c>
      <c r="E102">
        <f t="shared" si="19"/>
        <v>417.49</v>
      </c>
      <c r="F102">
        <f t="shared" si="20"/>
        <v>458.19527500000004</v>
      </c>
      <c r="G102">
        <f t="shared" si="21"/>
        <v>458.2</v>
      </c>
      <c r="H102">
        <v>633</v>
      </c>
      <c r="I102">
        <v>3</v>
      </c>
      <c r="J102" s="35" t="s">
        <v>3146</v>
      </c>
      <c r="K102" t="str">
        <f t="shared" si="17"/>
        <v>339</v>
      </c>
      <c r="L102" s="36" t="s">
        <v>4230</v>
      </c>
      <c r="M102" s="35">
        <v>7629</v>
      </c>
      <c r="N102" s="36" t="s">
        <v>5269</v>
      </c>
      <c r="O102" s="35" t="s">
        <v>5356</v>
      </c>
      <c r="P102" s="35" t="s">
        <v>5357</v>
      </c>
    </row>
    <row r="103" spans="1:16">
      <c r="A103" s="35">
        <v>340</v>
      </c>
      <c r="B103" s="36" t="s">
        <v>1760</v>
      </c>
      <c r="C103">
        <f>VLOOKUP(A103,'TABELA SPOLINE'!A:J,10,FALSE)</f>
        <v>379.53300000000002</v>
      </c>
      <c r="D103">
        <f t="shared" si="18"/>
        <v>417.48630000000003</v>
      </c>
      <c r="E103">
        <f t="shared" si="19"/>
        <v>417.49</v>
      </c>
      <c r="F103">
        <f t="shared" si="20"/>
        <v>458.19527500000004</v>
      </c>
      <c r="G103">
        <f t="shared" si="21"/>
        <v>458.2</v>
      </c>
      <c r="H103">
        <v>633</v>
      </c>
      <c r="I103">
        <v>3</v>
      </c>
      <c r="J103" s="35" t="s">
        <v>3147</v>
      </c>
      <c r="K103" t="str">
        <f t="shared" si="17"/>
        <v>340</v>
      </c>
      <c r="L103" s="36" t="s">
        <v>4231</v>
      </c>
      <c r="M103" s="35">
        <v>7629</v>
      </c>
      <c r="N103" s="36" t="s">
        <v>5269</v>
      </c>
      <c r="O103" s="35" t="s">
        <v>5356</v>
      </c>
      <c r="P103" s="35" t="s">
        <v>5357</v>
      </c>
    </row>
    <row r="104" spans="1:16">
      <c r="A104" s="35">
        <v>342</v>
      </c>
      <c r="B104" s="36" t="s">
        <v>1765</v>
      </c>
      <c r="C104">
        <f>VLOOKUP(A104,'TABELA SPOLINE'!A:J,10,FALSE)</f>
        <v>76.797000000000011</v>
      </c>
      <c r="D104">
        <f t="shared" si="18"/>
        <v>84.476700000000008</v>
      </c>
      <c r="E104">
        <f t="shared" si="19"/>
        <v>84.48</v>
      </c>
      <c r="F104">
        <f t="shared" si="20"/>
        <v>92.716800000000006</v>
      </c>
      <c r="G104">
        <f t="shared" si="21"/>
        <v>92.72</v>
      </c>
      <c r="H104">
        <v>634</v>
      </c>
      <c r="I104">
        <v>1</v>
      </c>
      <c r="J104" s="35" t="s">
        <v>3152</v>
      </c>
      <c r="K104" t="str">
        <f t="shared" si="17"/>
        <v>342</v>
      </c>
      <c r="L104" s="36" t="s">
        <v>4232</v>
      </c>
      <c r="M104" s="35">
        <v>7629</v>
      </c>
      <c r="N104" s="36" t="s">
        <v>5269</v>
      </c>
      <c r="O104" s="35" t="s">
        <v>5358</v>
      </c>
      <c r="P104" s="35" t="s">
        <v>5359</v>
      </c>
    </row>
    <row r="105" spans="1:16" hidden="1">
      <c r="A105" s="35">
        <v>343</v>
      </c>
      <c r="B105" s="36" t="s">
        <v>1769</v>
      </c>
      <c r="C105" t="e">
        <f>VLOOKUP(A105,'TABELA SPOLINE'!A:J,10,FALSE)</f>
        <v>#N/A</v>
      </c>
      <c r="H105">
        <v>634</v>
      </c>
      <c r="I105">
        <v>1</v>
      </c>
      <c r="J105" s="35" t="s">
        <v>3156</v>
      </c>
      <c r="K105" t="str">
        <f t="shared" si="17"/>
        <v>343</v>
      </c>
      <c r="L105" s="36" t="s">
        <v>4233</v>
      </c>
      <c r="M105" s="35">
        <v>7629</v>
      </c>
      <c r="N105" s="36" t="s">
        <v>5269</v>
      </c>
      <c r="O105" s="35" t="s">
        <v>5358</v>
      </c>
      <c r="P105" s="35" t="s">
        <v>5359</v>
      </c>
    </row>
    <row r="106" spans="1:16" hidden="1">
      <c r="A106" s="35">
        <v>344</v>
      </c>
      <c r="B106" s="36" t="s">
        <v>1766</v>
      </c>
      <c r="C106" t="e">
        <f>VLOOKUP(A106,'TABELA SPOLINE'!A:J,10,FALSE)</f>
        <v>#N/A</v>
      </c>
      <c r="H106">
        <v>634</v>
      </c>
      <c r="I106">
        <v>1</v>
      </c>
      <c r="J106" s="35" t="s">
        <v>3153</v>
      </c>
      <c r="K106" t="str">
        <f t="shared" si="17"/>
        <v>344</v>
      </c>
      <c r="L106" s="36" t="s">
        <v>4234</v>
      </c>
      <c r="M106" s="35">
        <v>7629</v>
      </c>
      <c r="N106" s="36" t="s">
        <v>5269</v>
      </c>
      <c r="O106" s="35" t="s">
        <v>5358</v>
      </c>
      <c r="P106" s="35" t="s">
        <v>5359</v>
      </c>
    </row>
    <row r="107" spans="1:16">
      <c r="A107" s="35">
        <v>345</v>
      </c>
      <c r="B107" s="36" t="s">
        <v>1770</v>
      </c>
      <c r="C107">
        <f>VLOOKUP(A107,'TABELA SPOLINE'!A:J,10,FALSE)</f>
        <v>92.379000000000005</v>
      </c>
      <c r="D107">
        <f t="shared" ref="D107:D108" si="22">C107*0.1+C107</f>
        <v>101.6169</v>
      </c>
      <c r="E107">
        <f t="shared" ref="E107:E108" si="23">ROUNDUP(D107,2)</f>
        <v>101.62</v>
      </c>
      <c r="F107">
        <f t="shared" ref="F107:F108" si="24">E107*0.0975+E107</f>
        <v>111.52795</v>
      </c>
      <c r="G107">
        <f t="shared" ref="G107:G108" si="25">ROUNDUP(F107,2)</f>
        <v>111.53</v>
      </c>
      <c r="H107">
        <v>634</v>
      </c>
      <c r="I107">
        <v>1</v>
      </c>
      <c r="J107" s="35" t="s">
        <v>3157</v>
      </c>
      <c r="K107" t="str">
        <f t="shared" si="17"/>
        <v>345</v>
      </c>
      <c r="L107" s="36" t="s">
        <v>4235</v>
      </c>
      <c r="M107" s="35">
        <v>7629</v>
      </c>
      <c r="N107" s="36" t="s">
        <v>5269</v>
      </c>
      <c r="O107" s="35" t="s">
        <v>5358</v>
      </c>
      <c r="P107" s="35" t="s">
        <v>5359</v>
      </c>
    </row>
    <row r="108" spans="1:16">
      <c r="A108" s="35">
        <v>346</v>
      </c>
      <c r="B108" s="36" t="s">
        <v>1767</v>
      </c>
      <c r="C108">
        <f>VLOOKUP(A108,'TABELA SPOLINE'!A:J,10,FALSE)</f>
        <v>92.379000000000005</v>
      </c>
      <c r="D108">
        <f t="shared" si="22"/>
        <v>101.6169</v>
      </c>
      <c r="E108">
        <f t="shared" si="23"/>
        <v>101.62</v>
      </c>
      <c r="F108">
        <f t="shared" si="24"/>
        <v>111.52795</v>
      </c>
      <c r="G108">
        <f t="shared" si="25"/>
        <v>111.53</v>
      </c>
      <c r="H108">
        <v>634</v>
      </c>
      <c r="I108">
        <v>1</v>
      </c>
      <c r="J108" s="35" t="s">
        <v>3154</v>
      </c>
      <c r="K108" t="str">
        <f t="shared" si="17"/>
        <v>346</v>
      </c>
      <c r="L108" s="36" t="s">
        <v>4236</v>
      </c>
      <c r="M108" s="35">
        <v>7629</v>
      </c>
      <c r="N108" s="36" t="s">
        <v>5269</v>
      </c>
      <c r="O108" s="35" t="s">
        <v>5358</v>
      </c>
      <c r="P108" s="35" t="s">
        <v>5359</v>
      </c>
    </row>
    <row r="109" spans="1:16" hidden="1">
      <c r="A109" s="35">
        <v>349</v>
      </c>
      <c r="B109" s="36" t="s">
        <v>1773</v>
      </c>
      <c r="C109" t="e">
        <f>VLOOKUP(A109,'TABELA SPOLINE'!A:J,10,FALSE)</f>
        <v>#N/A</v>
      </c>
      <c r="J109" s="35" t="s">
        <v>1772</v>
      </c>
      <c r="K109" t="str">
        <f t="shared" si="17"/>
        <v>349</v>
      </c>
      <c r="L109" s="36" t="s">
        <v>4237</v>
      </c>
      <c r="M109" s="35">
        <v>7629</v>
      </c>
      <c r="N109" s="36" t="s">
        <v>5269</v>
      </c>
      <c r="O109" s="35" t="s">
        <v>5358</v>
      </c>
      <c r="P109" s="35" t="s">
        <v>5359</v>
      </c>
    </row>
    <row r="110" spans="1:16" hidden="1">
      <c r="A110" s="35">
        <v>349</v>
      </c>
      <c r="B110" s="36" t="s">
        <v>2893</v>
      </c>
      <c r="C110" t="e">
        <f>VLOOKUP(A110,'TABELA SPOLINE'!A:J,10,FALSE)</f>
        <v>#N/A</v>
      </c>
      <c r="J110" s="35" t="s">
        <v>1772</v>
      </c>
      <c r="K110" t="str">
        <f t="shared" si="17"/>
        <v>349</v>
      </c>
      <c r="L110" s="36" t="s">
        <v>4238</v>
      </c>
      <c r="M110" s="35">
        <v>7629</v>
      </c>
      <c r="N110" s="36" t="s">
        <v>5269</v>
      </c>
      <c r="O110" s="35" t="s">
        <v>5360</v>
      </c>
      <c r="P110" s="35" t="s">
        <v>5361</v>
      </c>
    </row>
    <row r="111" spans="1:16" hidden="1">
      <c r="A111" s="35">
        <v>350</v>
      </c>
      <c r="B111" s="36" t="s">
        <v>1774</v>
      </c>
      <c r="C111" t="e">
        <f>VLOOKUP(A111,'TABELA SPOLINE'!A:J,10,FALSE)</f>
        <v>#N/A</v>
      </c>
      <c r="H111">
        <v>636</v>
      </c>
      <c r="I111">
        <v>1</v>
      </c>
      <c r="J111" s="35" t="s">
        <v>3159</v>
      </c>
      <c r="K111" t="str">
        <f t="shared" si="17"/>
        <v>350</v>
      </c>
      <c r="L111" s="36" t="s">
        <v>4239</v>
      </c>
      <c r="M111" s="35">
        <v>7629</v>
      </c>
      <c r="N111" s="36" t="s">
        <v>5269</v>
      </c>
      <c r="O111" s="35" t="s">
        <v>5360</v>
      </c>
      <c r="P111" s="35" t="s">
        <v>5361</v>
      </c>
    </row>
    <row r="112" spans="1:16" hidden="1">
      <c r="A112" s="35">
        <v>351</v>
      </c>
      <c r="B112" s="36" t="s">
        <v>1775</v>
      </c>
      <c r="C112" t="e">
        <f>VLOOKUP(A112,'TABELA SPOLINE'!A:J,10,FALSE)</f>
        <v>#N/A</v>
      </c>
      <c r="H112">
        <v>636</v>
      </c>
      <c r="I112">
        <v>1</v>
      </c>
      <c r="J112" s="35" t="s">
        <v>3160</v>
      </c>
      <c r="K112" t="str">
        <f t="shared" si="17"/>
        <v>351</v>
      </c>
      <c r="L112" s="36" t="s">
        <v>4240</v>
      </c>
      <c r="M112" s="35">
        <v>7629</v>
      </c>
      <c r="N112" s="36" t="s">
        <v>5269</v>
      </c>
      <c r="O112" s="35" t="s">
        <v>5362</v>
      </c>
      <c r="P112" s="35" t="s">
        <v>5363</v>
      </c>
    </row>
    <row r="113" spans="1:16" hidden="1">
      <c r="A113" s="35">
        <v>352</v>
      </c>
      <c r="B113" s="36" t="s">
        <v>1778</v>
      </c>
      <c r="C113" t="e">
        <f>VLOOKUP(A113,'TABELA SPOLINE'!A:J,10,FALSE)</f>
        <v>#N/A</v>
      </c>
      <c r="H113">
        <v>636</v>
      </c>
      <c r="I113">
        <v>3</v>
      </c>
      <c r="J113" s="35" t="s">
        <v>3163</v>
      </c>
      <c r="K113" t="str">
        <f t="shared" si="17"/>
        <v>352</v>
      </c>
      <c r="L113" s="36" t="s">
        <v>4241</v>
      </c>
      <c r="M113" s="35">
        <v>7629</v>
      </c>
      <c r="N113" s="36" t="s">
        <v>5269</v>
      </c>
      <c r="O113" s="35" t="s">
        <v>5364</v>
      </c>
      <c r="P113" s="35" t="s">
        <v>5365</v>
      </c>
    </row>
    <row r="114" spans="1:16" hidden="1">
      <c r="A114" s="35">
        <v>353</v>
      </c>
      <c r="B114" s="36" t="s">
        <v>1779</v>
      </c>
      <c r="C114" t="e">
        <f>VLOOKUP(A114,'TABELA SPOLINE'!A:J,10,FALSE)</f>
        <v>#N/A</v>
      </c>
      <c r="H114">
        <v>636</v>
      </c>
      <c r="I114">
        <v>3</v>
      </c>
      <c r="J114" s="35" t="s">
        <v>3164</v>
      </c>
      <c r="K114" t="str">
        <f t="shared" si="17"/>
        <v>353</v>
      </c>
      <c r="L114" s="36" t="s">
        <v>4242</v>
      </c>
      <c r="M114" s="35">
        <v>7629</v>
      </c>
      <c r="N114" s="36" t="s">
        <v>5269</v>
      </c>
      <c r="O114" s="35" t="s">
        <v>5362</v>
      </c>
      <c r="P114" s="35" t="s">
        <v>5363</v>
      </c>
    </row>
    <row r="115" spans="1:16" hidden="1">
      <c r="A115" s="35">
        <v>355</v>
      </c>
      <c r="B115" s="36" t="s">
        <v>1780</v>
      </c>
      <c r="C115" t="e">
        <f>VLOOKUP(A115,'TABELA SPOLINE'!A:J,10,FALSE)</f>
        <v>#N/A</v>
      </c>
      <c r="H115">
        <v>636</v>
      </c>
      <c r="I115">
        <v>3</v>
      </c>
      <c r="J115" s="35" t="s">
        <v>3165</v>
      </c>
      <c r="K115" t="str">
        <f t="shared" si="17"/>
        <v>355</v>
      </c>
      <c r="L115" s="36" t="s">
        <v>4241</v>
      </c>
      <c r="M115" s="35">
        <v>7629</v>
      </c>
      <c r="N115" s="36" t="s">
        <v>5269</v>
      </c>
      <c r="O115" s="35" t="s">
        <v>5364</v>
      </c>
      <c r="P115" s="35" t="s">
        <v>5365</v>
      </c>
    </row>
    <row r="116" spans="1:16" hidden="1">
      <c r="A116" s="35">
        <v>372</v>
      </c>
      <c r="B116" s="36" t="s">
        <v>2905</v>
      </c>
      <c r="C116" t="e">
        <f>VLOOKUP(A116,'TABELA SPOLINE'!A:J,10,FALSE)</f>
        <v>#N/A</v>
      </c>
      <c r="J116" s="35" t="s">
        <v>2904</v>
      </c>
      <c r="K116" t="str">
        <f t="shared" si="17"/>
        <v>372</v>
      </c>
      <c r="L116" s="36" t="s">
        <v>4243</v>
      </c>
      <c r="M116" s="35">
        <v>7629</v>
      </c>
      <c r="N116" s="36" t="s">
        <v>5269</v>
      </c>
      <c r="O116" s="35" t="s">
        <v>5360</v>
      </c>
      <c r="P116" s="35" t="s">
        <v>5361</v>
      </c>
    </row>
    <row r="117" spans="1:16" hidden="1">
      <c r="A117" s="35">
        <v>377</v>
      </c>
      <c r="B117" s="36" t="s">
        <v>2913</v>
      </c>
      <c r="C117" t="e">
        <f>VLOOKUP(A117,'TABELA SPOLINE'!A:J,10,FALSE)</f>
        <v>#N/A</v>
      </c>
      <c r="J117" s="35" t="s">
        <v>2912</v>
      </c>
      <c r="K117" t="str">
        <f t="shared" si="17"/>
        <v>377</v>
      </c>
      <c r="L117" s="36" t="s">
        <v>4244</v>
      </c>
      <c r="M117" s="35">
        <v>7629</v>
      </c>
      <c r="N117" s="36" t="s">
        <v>5269</v>
      </c>
      <c r="O117" s="35" t="s">
        <v>5360</v>
      </c>
      <c r="P117" s="35" t="s">
        <v>5361</v>
      </c>
    </row>
    <row r="118" spans="1:16" hidden="1">
      <c r="A118" s="35">
        <v>385</v>
      </c>
      <c r="B118" s="36" t="s">
        <v>2960</v>
      </c>
      <c r="C118" t="e">
        <f>VLOOKUP(A118,'TABELA SPOLINE'!A:J,10,FALSE)</f>
        <v>#N/A</v>
      </c>
      <c r="J118" s="35" t="s">
        <v>2959</v>
      </c>
      <c r="K118" t="str">
        <f t="shared" si="17"/>
        <v>385</v>
      </c>
      <c r="L118" s="36" t="s">
        <v>4245</v>
      </c>
      <c r="M118" s="35">
        <v>7629</v>
      </c>
      <c r="N118" s="36" t="s">
        <v>5269</v>
      </c>
      <c r="O118" s="35" t="s">
        <v>5366</v>
      </c>
      <c r="P118" s="35" t="s">
        <v>5367</v>
      </c>
    </row>
    <row r="119" spans="1:16">
      <c r="A119" s="35">
        <v>398</v>
      </c>
      <c r="B119" s="36" t="s">
        <v>2300</v>
      </c>
      <c r="C119">
        <f>VLOOKUP(A119,'TABELA SPOLINE'!A:J,10,FALSE)</f>
        <v>195.88800000000003</v>
      </c>
      <c r="D119">
        <f>C119*0.1+C119</f>
        <v>215.47680000000003</v>
      </c>
      <c r="E119">
        <f>ROUNDUP(D119,2)</f>
        <v>215.48</v>
      </c>
      <c r="F119">
        <f>E119*0.0975+E119</f>
        <v>236.48929999999999</v>
      </c>
      <c r="G119">
        <f>ROUNDUP(F119,2)</f>
        <v>236.48999999999998</v>
      </c>
      <c r="H119">
        <v>646</v>
      </c>
      <c r="I119">
        <v>1</v>
      </c>
      <c r="J119" s="35" t="s">
        <v>3685</v>
      </c>
      <c r="K119" t="str">
        <f t="shared" si="17"/>
        <v>398</v>
      </c>
      <c r="L119" s="36" t="s">
        <v>4246</v>
      </c>
      <c r="M119" s="35">
        <v>7629</v>
      </c>
      <c r="N119" s="36" t="s">
        <v>5269</v>
      </c>
      <c r="O119" s="35" t="s">
        <v>5368</v>
      </c>
      <c r="P119" s="35" t="s">
        <v>5369</v>
      </c>
    </row>
    <row r="120" spans="1:16" hidden="1">
      <c r="A120" s="35">
        <v>399</v>
      </c>
      <c r="B120" s="36" t="s">
        <v>2887</v>
      </c>
      <c r="C120" t="e">
        <f>VLOOKUP(A120,'TABELA SPOLINE'!A:J,10,FALSE)</f>
        <v>#N/A</v>
      </c>
      <c r="J120" s="35" t="s">
        <v>2886</v>
      </c>
      <c r="K120" t="str">
        <f t="shared" si="17"/>
        <v>399</v>
      </c>
      <c r="L120" s="36" t="s">
        <v>4247</v>
      </c>
      <c r="M120" s="35">
        <v>7629</v>
      </c>
      <c r="N120" s="36" t="s">
        <v>5269</v>
      </c>
      <c r="O120" s="35" t="s">
        <v>5370</v>
      </c>
      <c r="P120" s="35" t="s">
        <v>5371</v>
      </c>
    </row>
    <row r="121" spans="1:16">
      <c r="A121" s="35">
        <v>401</v>
      </c>
      <c r="B121" s="36" t="s">
        <v>2301</v>
      </c>
      <c r="C121">
        <f>VLOOKUP(A121,'TABELA SPOLINE'!A:J,10,FALSE)</f>
        <v>235.06559999999999</v>
      </c>
      <c r="D121">
        <f t="shared" ref="D121:D130" si="26">C121*0.1+C121</f>
        <v>258.57216</v>
      </c>
      <c r="E121">
        <f t="shared" ref="E121:E130" si="27">ROUNDUP(D121,2)</f>
        <v>258.58</v>
      </c>
      <c r="F121">
        <f t="shared" ref="F121:F130" si="28">E121*0.0975+E121</f>
        <v>283.79154999999997</v>
      </c>
      <c r="G121">
        <f t="shared" ref="G121:G130" si="29">ROUNDUP(F121,2)</f>
        <v>283.8</v>
      </c>
      <c r="H121">
        <v>646</v>
      </c>
      <c r="I121">
        <v>1</v>
      </c>
      <c r="J121" s="35" t="s">
        <v>3686</v>
      </c>
      <c r="K121" t="str">
        <f t="shared" si="17"/>
        <v>401</v>
      </c>
      <c r="L121" s="36" t="s">
        <v>4248</v>
      </c>
      <c r="M121" s="35">
        <v>7629</v>
      </c>
      <c r="N121" s="36" t="s">
        <v>5269</v>
      </c>
      <c r="O121" s="35" t="s">
        <v>5372</v>
      </c>
      <c r="P121" s="35" t="s">
        <v>5373</v>
      </c>
    </row>
    <row r="122" spans="1:16">
      <c r="A122" s="35">
        <v>406</v>
      </c>
      <c r="B122" s="36" t="s">
        <v>2302</v>
      </c>
      <c r="C122">
        <f>VLOOKUP(A122,'TABELA SPOLINE'!A:J,10,FALSE)</f>
        <v>195.88800000000003</v>
      </c>
      <c r="D122">
        <f t="shared" si="26"/>
        <v>215.47680000000003</v>
      </c>
      <c r="E122">
        <f t="shared" si="27"/>
        <v>215.48</v>
      </c>
      <c r="F122">
        <f t="shared" si="28"/>
        <v>236.48929999999999</v>
      </c>
      <c r="G122">
        <f t="shared" si="29"/>
        <v>236.48999999999998</v>
      </c>
      <c r="H122">
        <v>646</v>
      </c>
      <c r="I122">
        <v>1</v>
      </c>
      <c r="J122" s="35" t="s">
        <v>3687</v>
      </c>
      <c r="K122" t="str">
        <f t="shared" si="17"/>
        <v>406</v>
      </c>
      <c r="L122" s="36" t="s">
        <v>4249</v>
      </c>
      <c r="M122" s="35">
        <v>7629</v>
      </c>
      <c r="N122" s="36" t="s">
        <v>5269</v>
      </c>
      <c r="O122" s="35" t="s">
        <v>5366</v>
      </c>
      <c r="P122" s="35" t="s">
        <v>5367</v>
      </c>
    </row>
    <row r="123" spans="1:16">
      <c r="A123" s="35">
        <v>409</v>
      </c>
      <c r="B123" s="36" t="s">
        <v>2303</v>
      </c>
      <c r="C123">
        <f>VLOOKUP(A123,'TABELA SPOLINE'!A:J,10,FALSE)</f>
        <v>235.06559999999999</v>
      </c>
      <c r="D123">
        <f t="shared" si="26"/>
        <v>258.57216</v>
      </c>
      <c r="E123">
        <f t="shared" si="27"/>
        <v>258.58</v>
      </c>
      <c r="F123">
        <f t="shared" si="28"/>
        <v>283.79154999999997</v>
      </c>
      <c r="G123">
        <f t="shared" si="29"/>
        <v>283.8</v>
      </c>
      <c r="H123">
        <v>646</v>
      </c>
      <c r="I123">
        <v>1</v>
      </c>
      <c r="J123" s="35" t="s">
        <v>3688</v>
      </c>
      <c r="K123" t="str">
        <f t="shared" si="17"/>
        <v>409</v>
      </c>
      <c r="L123" s="36" t="s">
        <v>4250</v>
      </c>
      <c r="M123" s="35">
        <v>7629</v>
      </c>
      <c r="N123" s="36" t="s">
        <v>5269</v>
      </c>
      <c r="O123" s="35" t="s">
        <v>5366</v>
      </c>
      <c r="P123" s="35" t="s">
        <v>5367</v>
      </c>
    </row>
    <row r="124" spans="1:16">
      <c r="A124" s="35">
        <v>413</v>
      </c>
      <c r="B124" s="36" t="s">
        <v>2308</v>
      </c>
      <c r="C124">
        <f>VLOOKUP(A124,'TABELA SPOLINE'!A:J,10,FALSE)</f>
        <v>173.62800000000001</v>
      </c>
      <c r="D124">
        <f t="shared" si="26"/>
        <v>190.99080000000001</v>
      </c>
      <c r="E124">
        <f t="shared" si="27"/>
        <v>191</v>
      </c>
      <c r="F124">
        <f t="shared" si="28"/>
        <v>209.6225</v>
      </c>
      <c r="G124">
        <f t="shared" si="29"/>
        <v>209.63</v>
      </c>
      <c r="H124">
        <v>647</v>
      </c>
      <c r="I124">
        <v>1</v>
      </c>
      <c r="J124" s="35" t="s">
        <v>3693</v>
      </c>
      <c r="K124" t="str">
        <f t="shared" si="17"/>
        <v>413</v>
      </c>
      <c r="L124" s="36" t="s">
        <v>4251</v>
      </c>
      <c r="M124" s="35">
        <v>7629</v>
      </c>
      <c r="N124" s="36" t="s">
        <v>5269</v>
      </c>
      <c r="O124" s="35" t="s">
        <v>5374</v>
      </c>
      <c r="P124" s="35" t="s">
        <v>5375</v>
      </c>
    </row>
    <row r="125" spans="1:16">
      <c r="A125" s="35">
        <v>414</v>
      </c>
      <c r="B125" s="36" t="s">
        <v>2309</v>
      </c>
      <c r="C125">
        <f>VLOOKUP(A125,'TABELA SPOLINE'!A:J,10,FALSE)</f>
        <v>173.62800000000001</v>
      </c>
      <c r="D125">
        <f t="shared" si="26"/>
        <v>190.99080000000001</v>
      </c>
      <c r="E125">
        <f t="shared" si="27"/>
        <v>191</v>
      </c>
      <c r="F125">
        <f t="shared" si="28"/>
        <v>209.6225</v>
      </c>
      <c r="G125">
        <f t="shared" si="29"/>
        <v>209.63</v>
      </c>
      <c r="H125">
        <v>647</v>
      </c>
      <c r="I125">
        <v>1</v>
      </c>
      <c r="J125" s="35" t="s">
        <v>3694</v>
      </c>
      <c r="K125" t="str">
        <f t="shared" si="17"/>
        <v>414</v>
      </c>
      <c r="L125" s="36" t="s">
        <v>4252</v>
      </c>
      <c r="M125" s="35">
        <v>7629</v>
      </c>
      <c r="N125" s="36" t="s">
        <v>5269</v>
      </c>
      <c r="O125" s="35" t="s">
        <v>5376</v>
      </c>
      <c r="P125" s="35" t="s">
        <v>5377</v>
      </c>
    </row>
    <row r="126" spans="1:16">
      <c r="A126" s="35">
        <v>416</v>
      </c>
      <c r="B126" s="36" t="s">
        <v>2310</v>
      </c>
      <c r="C126">
        <f>VLOOKUP(A126,'TABELA SPOLINE'!A:J,10,FALSE)</f>
        <v>173.62800000000001</v>
      </c>
      <c r="D126">
        <f t="shared" si="26"/>
        <v>190.99080000000001</v>
      </c>
      <c r="E126">
        <f t="shared" si="27"/>
        <v>191</v>
      </c>
      <c r="F126">
        <f t="shared" si="28"/>
        <v>209.6225</v>
      </c>
      <c r="G126">
        <f t="shared" si="29"/>
        <v>209.63</v>
      </c>
      <c r="H126">
        <v>647</v>
      </c>
      <c r="I126">
        <v>1</v>
      </c>
      <c r="J126" s="35" t="s">
        <v>3695</v>
      </c>
      <c r="K126" t="str">
        <f t="shared" si="17"/>
        <v>416</v>
      </c>
      <c r="L126" s="36" t="s">
        <v>4253</v>
      </c>
      <c r="M126" s="35">
        <v>7629</v>
      </c>
      <c r="N126" s="36" t="s">
        <v>5269</v>
      </c>
      <c r="O126" s="35" t="s">
        <v>5376</v>
      </c>
      <c r="P126" s="35" t="s">
        <v>5377</v>
      </c>
    </row>
    <row r="127" spans="1:16">
      <c r="A127" s="35">
        <v>417</v>
      </c>
      <c r="B127" s="36" t="s">
        <v>2311</v>
      </c>
      <c r="C127">
        <f>VLOOKUP(A127,'TABELA SPOLINE'!A:J,10,FALSE)</f>
        <v>208.3536</v>
      </c>
      <c r="D127">
        <f t="shared" si="26"/>
        <v>229.18896000000001</v>
      </c>
      <c r="E127">
        <f t="shared" si="27"/>
        <v>229.19</v>
      </c>
      <c r="F127">
        <f t="shared" si="28"/>
        <v>251.536025</v>
      </c>
      <c r="G127">
        <f t="shared" si="29"/>
        <v>251.54</v>
      </c>
      <c r="H127">
        <v>647</v>
      </c>
      <c r="I127">
        <v>1</v>
      </c>
      <c r="J127" s="35" t="s">
        <v>3696</v>
      </c>
      <c r="K127" t="str">
        <f t="shared" si="17"/>
        <v>417</v>
      </c>
      <c r="L127" s="36" t="s">
        <v>4254</v>
      </c>
      <c r="M127" s="35">
        <v>7629</v>
      </c>
      <c r="N127" s="36" t="s">
        <v>5269</v>
      </c>
      <c r="O127" s="35" t="s">
        <v>5378</v>
      </c>
      <c r="P127" s="35" t="s">
        <v>5379</v>
      </c>
    </row>
    <row r="128" spans="1:16">
      <c r="A128" s="35">
        <v>420</v>
      </c>
      <c r="B128" s="36" t="s">
        <v>2312</v>
      </c>
      <c r="C128">
        <f>VLOOKUP(A128,'TABELA SPOLINE'!A:J,10,FALSE)</f>
        <v>208.3536</v>
      </c>
      <c r="D128">
        <f t="shared" si="26"/>
        <v>229.18896000000001</v>
      </c>
      <c r="E128">
        <f t="shared" si="27"/>
        <v>229.19</v>
      </c>
      <c r="F128">
        <f t="shared" si="28"/>
        <v>251.536025</v>
      </c>
      <c r="G128">
        <f t="shared" si="29"/>
        <v>251.54</v>
      </c>
      <c r="H128">
        <v>647</v>
      </c>
      <c r="I128">
        <v>1</v>
      </c>
      <c r="J128" s="35" t="s">
        <v>3697</v>
      </c>
      <c r="K128" t="str">
        <f t="shared" si="17"/>
        <v>420</v>
      </c>
      <c r="L128" s="36" t="s">
        <v>4255</v>
      </c>
      <c r="M128" s="35">
        <v>7629</v>
      </c>
      <c r="N128" s="36" t="s">
        <v>5269</v>
      </c>
      <c r="O128" s="35" t="s">
        <v>5380</v>
      </c>
      <c r="P128" s="35" t="s">
        <v>5381</v>
      </c>
    </row>
    <row r="129" spans="1:16">
      <c r="A129" s="35">
        <v>423</v>
      </c>
      <c r="B129" s="36" t="s">
        <v>2313</v>
      </c>
      <c r="C129">
        <f>VLOOKUP(A129,'TABELA SPOLINE'!A:J,10,FALSE)</f>
        <v>208.3536</v>
      </c>
      <c r="D129">
        <f t="shared" si="26"/>
        <v>229.18896000000001</v>
      </c>
      <c r="E129">
        <f t="shared" si="27"/>
        <v>229.19</v>
      </c>
      <c r="F129">
        <f t="shared" si="28"/>
        <v>251.536025</v>
      </c>
      <c r="G129">
        <f t="shared" si="29"/>
        <v>251.54</v>
      </c>
      <c r="H129">
        <v>647</v>
      </c>
      <c r="I129">
        <v>1</v>
      </c>
      <c r="J129" s="35" t="s">
        <v>3698</v>
      </c>
      <c r="K129" t="str">
        <f t="shared" si="17"/>
        <v>423</v>
      </c>
      <c r="L129" s="36" t="s">
        <v>4256</v>
      </c>
      <c r="M129" s="35">
        <v>7629</v>
      </c>
      <c r="N129" s="36" t="s">
        <v>5269</v>
      </c>
      <c r="O129" s="35" t="s">
        <v>5382</v>
      </c>
      <c r="P129" s="35" t="s">
        <v>5383</v>
      </c>
    </row>
    <row r="130" spans="1:16">
      <c r="A130" s="35">
        <v>424</v>
      </c>
      <c r="B130" s="36" t="s">
        <v>2314</v>
      </c>
      <c r="C130">
        <f>VLOOKUP(A130,'TABELA SPOLINE'!A:J,10,FALSE)</f>
        <v>173.62800000000001</v>
      </c>
      <c r="D130">
        <f t="shared" si="26"/>
        <v>190.99080000000001</v>
      </c>
      <c r="E130">
        <f t="shared" si="27"/>
        <v>191</v>
      </c>
      <c r="F130">
        <f t="shared" si="28"/>
        <v>209.6225</v>
      </c>
      <c r="G130">
        <f t="shared" si="29"/>
        <v>209.63</v>
      </c>
      <c r="H130">
        <v>647</v>
      </c>
      <c r="I130">
        <v>1</v>
      </c>
      <c r="J130" s="35" t="s">
        <v>3699</v>
      </c>
      <c r="K130" t="str">
        <f t="shared" si="17"/>
        <v>424</v>
      </c>
      <c r="L130" s="36" t="s">
        <v>4257</v>
      </c>
      <c r="M130" s="35">
        <v>7629</v>
      </c>
      <c r="N130" s="36" t="s">
        <v>5269</v>
      </c>
      <c r="O130" s="35" t="s">
        <v>5376</v>
      </c>
      <c r="P130" s="35" t="s">
        <v>5377</v>
      </c>
    </row>
    <row r="131" spans="1:16" hidden="1">
      <c r="A131" s="35">
        <v>442</v>
      </c>
      <c r="B131" s="36" t="s">
        <v>2315</v>
      </c>
      <c r="C131" t="e">
        <f>VLOOKUP(A131,'TABELA SPOLINE'!A:J,10,FALSE)</f>
        <v>#N/A</v>
      </c>
      <c r="H131">
        <v>651</v>
      </c>
      <c r="I131">
        <v>1</v>
      </c>
      <c r="J131" s="35" t="s">
        <v>3700</v>
      </c>
      <c r="K131" t="str">
        <f t="shared" ref="K131:K194" si="30">TRIM(A131)</f>
        <v>442</v>
      </c>
      <c r="L131" s="36" t="s">
        <v>4257</v>
      </c>
      <c r="M131" s="35">
        <v>7629</v>
      </c>
      <c r="N131" s="36" t="s">
        <v>5269</v>
      </c>
      <c r="O131" s="35" t="s">
        <v>5384</v>
      </c>
      <c r="P131" s="35" t="s">
        <v>5385</v>
      </c>
    </row>
    <row r="132" spans="1:16">
      <c r="A132" s="35">
        <v>443</v>
      </c>
      <c r="B132" s="36" t="s">
        <v>2316</v>
      </c>
      <c r="C132">
        <f>VLOOKUP(A132,'TABELA SPOLINE'!A:J,10,FALSE)</f>
        <v>244.86</v>
      </c>
      <c r="D132">
        <f t="shared" ref="D132:D134" si="31">C132*0.1+C132</f>
        <v>269.346</v>
      </c>
      <c r="E132">
        <f t="shared" ref="E132:E134" si="32">ROUNDUP(D132,2)</f>
        <v>269.34999999999997</v>
      </c>
      <c r="F132">
        <f t="shared" ref="F132:F134" si="33">E132*0.0975+E132</f>
        <v>295.61162499999995</v>
      </c>
      <c r="G132">
        <f t="shared" ref="G132:G134" si="34">ROUNDUP(F132,2)</f>
        <v>295.62</v>
      </c>
      <c r="H132">
        <v>651</v>
      </c>
      <c r="I132">
        <v>1</v>
      </c>
      <c r="J132" s="35" t="s">
        <v>3701</v>
      </c>
      <c r="K132" t="str">
        <f t="shared" si="30"/>
        <v>443</v>
      </c>
      <c r="L132" s="36" t="s">
        <v>4257</v>
      </c>
      <c r="M132" s="35">
        <v>7629</v>
      </c>
      <c r="N132" s="36" t="s">
        <v>5269</v>
      </c>
      <c r="O132" s="35" t="s">
        <v>5376</v>
      </c>
      <c r="P132" s="35" t="s">
        <v>5377</v>
      </c>
    </row>
    <row r="133" spans="1:16">
      <c r="A133" s="35">
        <v>450</v>
      </c>
      <c r="B133" s="36" t="s">
        <v>2317</v>
      </c>
      <c r="C133">
        <f>VLOOKUP(A133,'TABELA SPOLINE'!A:J,10,FALSE)</f>
        <v>244.86</v>
      </c>
      <c r="D133">
        <f t="shared" si="31"/>
        <v>269.346</v>
      </c>
      <c r="E133">
        <f t="shared" si="32"/>
        <v>269.34999999999997</v>
      </c>
      <c r="F133">
        <f t="shared" si="33"/>
        <v>295.61162499999995</v>
      </c>
      <c r="G133">
        <f t="shared" si="34"/>
        <v>295.62</v>
      </c>
      <c r="H133">
        <v>651</v>
      </c>
      <c r="I133">
        <v>1</v>
      </c>
      <c r="J133" s="35" t="s">
        <v>3702</v>
      </c>
      <c r="K133" t="str">
        <f t="shared" si="30"/>
        <v>450</v>
      </c>
      <c r="L133" s="36" t="s">
        <v>4258</v>
      </c>
      <c r="M133" s="35">
        <v>7629</v>
      </c>
      <c r="N133" s="36" t="s">
        <v>5269</v>
      </c>
      <c r="O133" s="35" t="s">
        <v>5386</v>
      </c>
      <c r="P133" s="35" t="s">
        <v>5387</v>
      </c>
    </row>
    <row r="134" spans="1:16">
      <c r="A134" s="35">
        <v>451</v>
      </c>
      <c r="B134" s="36" t="s">
        <v>2318</v>
      </c>
      <c r="C134">
        <f>VLOOKUP(A134,'TABELA SPOLINE'!A:J,10,FALSE)</f>
        <v>244.86</v>
      </c>
      <c r="D134">
        <f t="shared" si="31"/>
        <v>269.346</v>
      </c>
      <c r="E134">
        <f t="shared" si="32"/>
        <v>269.34999999999997</v>
      </c>
      <c r="F134">
        <f t="shared" si="33"/>
        <v>295.61162499999995</v>
      </c>
      <c r="G134">
        <f t="shared" si="34"/>
        <v>295.62</v>
      </c>
      <c r="H134">
        <v>651</v>
      </c>
      <c r="I134">
        <v>1</v>
      </c>
      <c r="J134" s="35" t="s">
        <v>3703</v>
      </c>
      <c r="K134" t="str">
        <f t="shared" si="30"/>
        <v>451</v>
      </c>
      <c r="L134" s="36" t="s">
        <v>4259</v>
      </c>
      <c r="M134" s="35">
        <v>7629</v>
      </c>
      <c r="N134" s="36" t="s">
        <v>5269</v>
      </c>
      <c r="O134" s="35" t="s">
        <v>5388</v>
      </c>
      <c r="P134" s="35" t="s">
        <v>5389</v>
      </c>
    </row>
    <row r="135" spans="1:16" hidden="1">
      <c r="A135" s="35">
        <v>480</v>
      </c>
      <c r="B135" s="36" t="s">
        <v>1613</v>
      </c>
      <c r="C135" t="e">
        <f>VLOOKUP(A135,'TABELA SPOLINE'!A:J,10,FALSE)</f>
        <v>#N/A</v>
      </c>
      <c r="H135">
        <v>658</v>
      </c>
      <c r="I135">
        <v>1</v>
      </c>
      <c r="J135" s="35" t="s">
        <v>3001</v>
      </c>
      <c r="K135" t="str">
        <f t="shared" si="30"/>
        <v>480</v>
      </c>
      <c r="L135" s="36" t="s">
        <v>4260</v>
      </c>
      <c r="M135" s="35">
        <v>7629</v>
      </c>
      <c r="N135" s="36" t="s">
        <v>5269</v>
      </c>
      <c r="O135" s="35" t="s">
        <v>5386</v>
      </c>
      <c r="P135" s="35" t="s">
        <v>5387</v>
      </c>
    </row>
    <row r="136" spans="1:16" hidden="1">
      <c r="A136" s="35">
        <v>482</v>
      </c>
      <c r="B136" s="36" t="s">
        <v>1615</v>
      </c>
      <c r="C136" t="e">
        <f>VLOOKUP(A136,'TABELA SPOLINE'!A:J,10,FALSE)</f>
        <v>#N/A</v>
      </c>
      <c r="H136">
        <v>658</v>
      </c>
      <c r="I136">
        <v>2</v>
      </c>
      <c r="J136" s="35" t="s">
        <v>3003</v>
      </c>
      <c r="K136" t="str">
        <f t="shared" si="30"/>
        <v>482</v>
      </c>
      <c r="L136" s="36" t="s">
        <v>4261</v>
      </c>
      <c r="M136" s="35">
        <v>7629</v>
      </c>
      <c r="N136" s="36" t="s">
        <v>5269</v>
      </c>
      <c r="O136" s="35" t="s">
        <v>5388</v>
      </c>
      <c r="P136" s="35" t="s">
        <v>5389</v>
      </c>
    </row>
    <row r="137" spans="1:16" hidden="1">
      <c r="A137" s="35">
        <v>485</v>
      </c>
      <c r="B137" s="36" t="s">
        <v>1616</v>
      </c>
      <c r="C137" t="e">
        <f>VLOOKUP(A137,'TABELA SPOLINE'!A:J,10,FALSE)</f>
        <v>#N/A</v>
      </c>
      <c r="H137">
        <v>658</v>
      </c>
      <c r="I137">
        <v>2</v>
      </c>
      <c r="J137" s="35" t="s">
        <v>3004</v>
      </c>
      <c r="K137" t="str">
        <f t="shared" si="30"/>
        <v>485</v>
      </c>
      <c r="L137" s="36" t="s">
        <v>4262</v>
      </c>
      <c r="M137" s="35">
        <v>7629</v>
      </c>
      <c r="N137" s="36" t="s">
        <v>5269</v>
      </c>
      <c r="O137" s="35" t="s">
        <v>5388</v>
      </c>
      <c r="P137" s="35" t="s">
        <v>5389</v>
      </c>
    </row>
    <row r="138" spans="1:16" hidden="1">
      <c r="A138" s="35">
        <v>486</v>
      </c>
      <c r="B138" s="36" t="s">
        <v>1617</v>
      </c>
      <c r="C138" t="e">
        <f>VLOOKUP(A138,'TABELA SPOLINE'!A:J,10,FALSE)</f>
        <v>#N/A</v>
      </c>
      <c r="H138">
        <v>658</v>
      </c>
      <c r="I138">
        <v>2</v>
      </c>
      <c r="J138" s="35" t="s">
        <v>3005</v>
      </c>
      <c r="K138" t="str">
        <f t="shared" si="30"/>
        <v>486</v>
      </c>
      <c r="L138" s="36" t="s">
        <v>4263</v>
      </c>
      <c r="M138" s="35">
        <v>7629</v>
      </c>
      <c r="N138" s="36" t="s">
        <v>5269</v>
      </c>
      <c r="O138" s="35" t="s">
        <v>5390</v>
      </c>
      <c r="P138" s="35" t="s">
        <v>5391</v>
      </c>
    </row>
    <row r="139" spans="1:16" hidden="1">
      <c r="A139" s="35">
        <v>487</v>
      </c>
      <c r="B139" s="36" t="s">
        <v>1619</v>
      </c>
      <c r="C139" t="e">
        <f>VLOOKUP(A139,'TABELA SPOLINE'!A:J,10,FALSE)</f>
        <v>#N/A</v>
      </c>
      <c r="H139">
        <v>658</v>
      </c>
      <c r="I139">
        <v>3</v>
      </c>
      <c r="J139" s="35" t="s">
        <v>3007</v>
      </c>
      <c r="K139" t="str">
        <f t="shared" si="30"/>
        <v>487</v>
      </c>
      <c r="L139" s="36" t="s">
        <v>4259</v>
      </c>
      <c r="M139" s="35">
        <v>7629</v>
      </c>
      <c r="N139" s="36" t="s">
        <v>5269</v>
      </c>
      <c r="O139" s="35" t="s">
        <v>5392</v>
      </c>
      <c r="P139" s="35" t="s">
        <v>5393</v>
      </c>
    </row>
    <row r="140" spans="1:16" hidden="1">
      <c r="A140" s="35">
        <v>491</v>
      </c>
      <c r="B140" s="36" t="s">
        <v>1620</v>
      </c>
      <c r="C140" t="e">
        <f>VLOOKUP(A140,'TABELA SPOLINE'!A:J,10,FALSE)</f>
        <v>#N/A</v>
      </c>
      <c r="H140">
        <v>658</v>
      </c>
      <c r="I140">
        <v>3</v>
      </c>
      <c r="J140" s="35" t="s">
        <v>3008</v>
      </c>
      <c r="K140" t="str">
        <f t="shared" si="30"/>
        <v>491</v>
      </c>
      <c r="L140" s="36" t="s">
        <v>4259</v>
      </c>
      <c r="M140" s="35">
        <v>7629</v>
      </c>
      <c r="N140" s="36" t="s">
        <v>5269</v>
      </c>
      <c r="O140" s="35" t="s">
        <v>5394</v>
      </c>
      <c r="P140" s="35" t="s">
        <v>5395</v>
      </c>
    </row>
    <row r="141" spans="1:16" hidden="1">
      <c r="A141" s="35">
        <v>493</v>
      </c>
      <c r="B141" s="36" t="s">
        <v>1621</v>
      </c>
      <c r="C141" t="e">
        <f>VLOOKUP(A141,'TABELA SPOLINE'!A:J,10,FALSE)</f>
        <v>#N/A</v>
      </c>
      <c r="H141">
        <v>658</v>
      </c>
      <c r="I141">
        <v>3</v>
      </c>
      <c r="J141" s="35" t="s">
        <v>3009</v>
      </c>
      <c r="K141" t="str">
        <f t="shared" si="30"/>
        <v>493</v>
      </c>
      <c r="L141" s="36" t="s">
        <v>4260</v>
      </c>
      <c r="M141" s="35">
        <v>7629</v>
      </c>
      <c r="N141" s="36" t="s">
        <v>5269</v>
      </c>
      <c r="O141" s="35" t="s">
        <v>5396</v>
      </c>
      <c r="P141" s="35" t="s">
        <v>5397</v>
      </c>
    </row>
    <row r="142" spans="1:16" hidden="1">
      <c r="A142" s="35">
        <v>513</v>
      </c>
      <c r="B142" s="36" t="s">
        <v>2267</v>
      </c>
      <c r="C142" t="e">
        <f>VLOOKUP(A142,'TABELA SPOLINE'!A:J,10,FALSE)</f>
        <v>#N/A</v>
      </c>
      <c r="H142">
        <v>665</v>
      </c>
      <c r="I142">
        <v>1</v>
      </c>
      <c r="J142" s="35" t="s">
        <v>3652</v>
      </c>
      <c r="K142" t="str">
        <f t="shared" si="30"/>
        <v>513</v>
      </c>
      <c r="L142" s="36" t="s">
        <v>4264</v>
      </c>
      <c r="M142" s="35">
        <v>7629</v>
      </c>
      <c r="N142" s="36" t="s">
        <v>5269</v>
      </c>
      <c r="O142" s="35" t="s">
        <v>5390</v>
      </c>
      <c r="P142" s="35" t="s">
        <v>5391</v>
      </c>
    </row>
    <row r="143" spans="1:16">
      <c r="A143" s="35">
        <v>516</v>
      </c>
      <c r="B143" s="36" t="s">
        <v>2268</v>
      </c>
      <c r="C143">
        <f>VLOOKUP(A143,'TABELA SPOLINE'!A:J,10,FALSE)</f>
        <v>158.93639999999999</v>
      </c>
      <c r="D143">
        <f t="shared" ref="D143:D146" si="35">C143*0.1+C143</f>
        <v>174.83004</v>
      </c>
      <c r="E143">
        <f t="shared" ref="E143:E146" si="36">ROUNDUP(D143,2)</f>
        <v>174.84</v>
      </c>
      <c r="F143">
        <f t="shared" ref="F143:F146" si="37">E143*0.0975+E143</f>
        <v>191.8869</v>
      </c>
      <c r="G143">
        <f t="shared" ref="G143:G146" si="38">ROUNDUP(F143,2)</f>
        <v>191.89</v>
      </c>
      <c r="H143">
        <v>665</v>
      </c>
      <c r="I143">
        <v>1</v>
      </c>
      <c r="J143" s="35" t="s">
        <v>3653</v>
      </c>
      <c r="K143" t="str">
        <f t="shared" si="30"/>
        <v>516</v>
      </c>
      <c r="L143" s="36" t="s">
        <v>4265</v>
      </c>
      <c r="M143" s="35">
        <v>7629</v>
      </c>
      <c r="N143" s="36" t="s">
        <v>5269</v>
      </c>
      <c r="O143" s="35" t="s">
        <v>5390</v>
      </c>
      <c r="P143" s="35" t="s">
        <v>5391</v>
      </c>
    </row>
    <row r="144" spans="1:16">
      <c r="A144" s="35">
        <v>518</v>
      </c>
      <c r="B144" s="36" t="s">
        <v>2269</v>
      </c>
      <c r="C144">
        <f>VLOOKUP(A144,'TABELA SPOLINE'!A:J,10,FALSE)</f>
        <v>158.93639999999999</v>
      </c>
      <c r="D144">
        <f t="shared" si="35"/>
        <v>174.83004</v>
      </c>
      <c r="E144">
        <f t="shared" si="36"/>
        <v>174.84</v>
      </c>
      <c r="F144">
        <f t="shared" si="37"/>
        <v>191.8869</v>
      </c>
      <c r="G144">
        <f t="shared" si="38"/>
        <v>191.89</v>
      </c>
      <c r="H144">
        <v>665</v>
      </c>
      <c r="I144">
        <v>1</v>
      </c>
      <c r="J144" s="35" t="s">
        <v>3654</v>
      </c>
      <c r="K144" t="str">
        <f t="shared" si="30"/>
        <v>518</v>
      </c>
      <c r="L144" s="36" t="s">
        <v>4266</v>
      </c>
      <c r="M144" s="35">
        <v>7629</v>
      </c>
      <c r="N144" s="36" t="s">
        <v>5269</v>
      </c>
      <c r="O144" s="35" t="s">
        <v>5398</v>
      </c>
      <c r="P144" s="35" t="s">
        <v>5399</v>
      </c>
    </row>
    <row r="145" spans="1:16">
      <c r="A145" s="35">
        <v>521</v>
      </c>
      <c r="B145" s="36" t="s">
        <v>2270</v>
      </c>
      <c r="C145">
        <f>VLOOKUP(A145,'TABELA SPOLINE'!A:J,10,FALSE)</f>
        <v>132.447</v>
      </c>
      <c r="D145">
        <f t="shared" si="35"/>
        <v>145.6917</v>
      </c>
      <c r="E145">
        <f t="shared" si="36"/>
        <v>145.69999999999999</v>
      </c>
      <c r="F145">
        <f t="shared" si="37"/>
        <v>159.90574999999998</v>
      </c>
      <c r="G145">
        <f t="shared" si="38"/>
        <v>159.91</v>
      </c>
      <c r="H145">
        <v>665</v>
      </c>
      <c r="I145">
        <v>1</v>
      </c>
      <c r="J145" s="35" t="s">
        <v>3655</v>
      </c>
      <c r="K145" t="str">
        <f t="shared" si="30"/>
        <v>521</v>
      </c>
      <c r="L145" s="36" t="s">
        <v>4267</v>
      </c>
      <c r="M145" s="35">
        <v>7629</v>
      </c>
      <c r="N145" s="36" t="s">
        <v>5269</v>
      </c>
      <c r="O145" s="35" t="s">
        <v>5400</v>
      </c>
      <c r="P145" s="35" t="s">
        <v>5401</v>
      </c>
    </row>
    <row r="146" spans="1:16">
      <c r="A146" s="35">
        <v>522</v>
      </c>
      <c r="B146" s="36" t="s">
        <v>2271</v>
      </c>
      <c r="C146">
        <f>VLOOKUP(A146,'TABELA SPOLINE'!A:J,10,FALSE)</f>
        <v>132.447</v>
      </c>
      <c r="D146">
        <f t="shared" si="35"/>
        <v>145.6917</v>
      </c>
      <c r="E146">
        <f t="shared" si="36"/>
        <v>145.69999999999999</v>
      </c>
      <c r="F146">
        <f t="shared" si="37"/>
        <v>159.90574999999998</v>
      </c>
      <c r="G146">
        <f t="shared" si="38"/>
        <v>159.91</v>
      </c>
      <c r="H146">
        <v>665</v>
      </c>
      <c r="I146">
        <v>1</v>
      </c>
      <c r="J146" s="35" t="s">
        <v>3656</v>
      </c>
      <c r="K146" t="str">
        <f t="shared" si="30"/>
        <v>522</v>
      </c>
      <c r="L146" s="36" t="s">
        <v>4268</v>
      </c>
      <c r="M146" s="35">
        <v>7629</v>
      </c>
      <c r="N146" s="36" t="s">
        <v>5269</v>
      </c>
      <c r="O146" s="35" t="s">
        <v>5402</v>
      </c>
      <c r="P146" s="35" t="s">
        <v>5403</v>
      </c>
    </row>
    <row r="147" spans="1:16" hidden="1">
      <c r="A147" s="35">
        <v>523</v>
      </c>
      <c r="B147" s="36" t="s">
        <v>2272</v>
      </c>
      <c r="C147" t="e">
        <f>VLOOKUP(A147,'TABELA SPOLINE'!A:J,10,FALSE)</f>
        <v>#N/A</v>
      </c>
      <c r="H147">
        <v>665</v>
      </c>
      <c r="I147">
        <v>1</v>
      </c>
      <c r="J147" s="35" t="s">
        <v>3657</v>
      </c>
      <c r="K147" t="str">
        <f t="shared" si="30"/>
        <v>523</v>
      </c>
      <c r="L147" s="36" t="s">
        <v>4269</v>
      </c>
      <c r="M147" s="35">
        <v>7629</v>
      </c>
      <c r="N147" s="36" t="s">
        <v>5269</v>
      </c>
      <c r="O147" s="35" t="s">
        <v>5404</v>
      </c>
      <c r="P147" s="35" t="s">
        <v>5405</v>
      </c>
    </row>
    <row r="148" spans="1:16" hidden="1">
      <c r="A148" s="35">
        <v>524</v>
      </c>
      <c r="B148" s="36" t="s">
        <v>2319</v>
      </c>
      <c r="C148" t="e">
        <f>VLOOKUP(A148,'TABELA SPOLINE'!A:J,10,FALSE)</f>
        <v>#N/A</v>
      </c>
      <c r="H148">
        <v>666</v>
      </c>
      <c r="I148">
        <v>1</v>
      </c>
      <c r="J148" s="35" t="s">
        <v>3704</v>
      </c>
      <c r="K148" t="str">
        <f t="shared" si="30"/>
        <v>524</v>
      </c>
      <c r="L148" s="36" t="s">
        <v>4270</v>
      </c>
      <c r="M148" s="35">
        <v>7629</v>
      </c>
      <c r="N148" s="36" t="s">
        <v>5269</v>
      </c>
      <c r="O148" s="35" t="s">
        <v>5398</v>
      </c>
      <c r="P148" s="35" t="s">
        <v>5399</v>
      </c>
    </row>
    <row r="149" spans="1:16" hidden="1">
      <c r="A149" s="35">
        <v>525</v>
      </c>
      <c r="B149" s="36" t="s">
        <v>2320</v>
      </c>
      <c r="C149" t="e">
        <f>VLOOKUP(A149,'TABELA SPOLINE'!A:J,10,FALSE)</f>
        <v>#N/A</v>
      </c>
      <c r="H149">
        <v>666</v>
      </c>
      <c r="I149">
        <v>1</v>
      </c>
      <c r="J149" s="35" t="s">
        <v>3705</v>
      </c>
      <c r="K149" t="str">
        <f t="shared" si="30"/>
        <v>525</v>
      </c>
      <c r="L149" s="36" t="s">
        <v>4271</v>
      </c>
      <c r="M149" s="35">
        <v>7629</v>
      </c>
      <c r="N149" s="36" t="s">
        <v>5269</v>
      </c>
      <c r="O149" s="35" t="s">
        <v>5406</v>
      </c>
      <c r="P149" s="35" t="s">
        <v>5407</v>
      </c>
    </row>
    <row r="150" spans="1:16">
      <c r="A150" s="35">
        <v>528</v>
      </c>
      <c r="B150" s="36" t="s">
        <v>2321</v>
      </c>
      <c r="C150">
        <f>VLOOKUP(A150,'TABELA SPOLINE'!A:J,10,FALSE)</f>
        <v>298.28399999999999</v>
      </c>
      <c r="D150">
        <f t="shared" ref="D150:D153" si="39">C150*0.1+C150</f>
        <v>328.11239999999998</v>
      </c>
      <c r="E150">
        <f t="shared" ref="E150:E153" si="40">ROUNDUP(D150,2)</f>
        <v>328.12</v>
      </c>
      <c r="F150">
        <f t="shared" ref="F150:F153" si="41">E150*0.0975+E150</f>
        <v>360.11169999999998</v>
      </c>
      <c r="G150">
        <f t="shared" ref="G150:G153" si="42">ROUNDUP(F150,2)</f>
        <v>360.12</v>
      </c>
      <c r="H150">
        <v>666</v>
      </c>
      <c r="I150">
        <v>1</v>
      </c>
      <c r="J150" s="35" t="s">
        <v>3706</v>
      </c>
      <c r="K150" t="str">
        <f t="shared" si="30"/>
        <v>528</v>
      </c>
      <c r="L150" s="36" t="s">
        <v>4272</v>
      </c>
      <c r="M150" s="35">
        <v>7629</v>
      </c>
      <c r="N150" s="36" t="s">
        <v>5269</v>
      </c>
      <c r="O150" s="35" t="s">
        <v>5402</v>
      </c>
      <c r="P150" s="35" t="s">
        <v>5403</v>
      </c>
    </row>
    <row r="151" spans="1:16">
      <c r="A151" s="35">
        <v>530</v>
      </c>
      <c r="B151" s="36" t="s">
        <v>2322</v>
      </c>
      <c r="C151">
        <f>VLOOKUP(A151,'TABELA SPOLINE'!A:J,10,FALSE)</f>
        <v>298.28399999999999</v>
      </c>
      <c r="D151">
        <f t="shared" si="39"/>
        <v>328.11239999999998</v>
      </c>
      <c r="E151">
        <f t="shared" si="40"/>
        <v>328.12</v>
      </c>
      <c r="F151">
        <f t="shared" si="41"/>
        <v>360.11169999999998</v>
      </c>
      <c r="G151">
        <f t="shared" si="42"/>
        <v>360.12</v>
      </c>
      <c r="H151">
        <v>666</v>
      </c>
      <c r="I151">
        <v>1</v>
      </c>
      <c r="J151" s="35" t="s">
        <v>3707</v>
      </c>
      <c r="K151" t="str">
        <f t="shared" si="30"/>
        <v>530</v>
      </c>
      <c r="L151" s="36" t="s">
        <v>4273</v>
      </c>
      <c r="M151" s="35">
        <v>7629</v>
      </c>
      <c r="N151" s="36" t="s">
        <v>5269</v>
      </c>
      <c r="O151" s="35" t="s">
        <v>5398</v>
      </c>
      <c r="P151" s="35" t="s">
        <v>5399</v>
      </c>
    </row>
    <row r="152" spans="1:16">
      <c r="A152" s="35">
        <v>531</v>
      </c>
      <c r="B152" s="36" t="s">
        <v>2323</v>
      </c>
      <c r="C152">
        <f>VLOOKUP(A152,'TABELA SPOLINE'!A:J,10,FALSE)</f>
        <v>298.28399999999999</v>
      </c>
      <c r="D152">
        <f t="shared" si="39"/>
        <v>328.11239999999998</v>
      </c>
      <c r="E152">
        <f t="shared" si="40"/>
        <v>328.12</v>
      </c>
      <c r="F152">
        <f t="shared" si="41"/>
        <v>360.11169999999998</v>
      </c>
      <c r="G152">
        <f t="shared" si="42"/>
        <v>360.12</v>
      </c>
      <c r="H152">
        <v>666</v>
      </c>
      <c r="I152">
        <v>1</v>
      </c>
      <c r="J152" s="35" t="s">
        <v>3708</v>
      </c>
      <c r="K152" t="str">
        <f t="shared" si="30"/>
        <v>531</v>
      </c>
      <c r="L152" s="36" t="s">
        <v>4274</v>
      </c>
      <c r="M152" s="35">
        <v>7629</v>
      </c>
      <c r="N152" s="36" t="s">
        <v>5269</v>
      </c>
      <c r="O152" s="35" t="s">
        <v>5408</v>
      </c>
      <c r="P152" s="35" t="s">
        <v>5409</v>
      </c>
    </row>
    <row r="153" spans="1:16">
      <c r="A153" s="35">
        <v>716</v>
      </c>
      <c r="B153" s="36" t="s">
        <v>2070</v>
      </c>
      <c r="C153">
        <f>VLOOKUP(A153,'TABELA SPOLINE'!A:J,10,FALSE)</f>
        <v>52.311000000000007</v>
      </c>
      <c r="D153">
        <f t="shared" si="39"/>
        <v>57.542100000000005</v>
      </c>
      <c r="E153">
        <f t="shared" si="40"/>
        <v>57.55</v>
      </c>
      <c r="F153">
        <f t="shared" si="41"/>
        <v>63.161124999999998</v>
      </c>
      <c r="G153">
        <f t="shared" si="42"/>
        <v>63.169999999999995</v>
      </c>
      <c r="H153">
        <v>709</v>
      </c>
      <c r="I153">
        <v>1</v>
      </c>
      <c r="J153" s="35" t="s">
        <v>3455</v>
      </c>
      <c r="K153" t="str">
        <f t="shared" si="30"/>
        <v>716</v>
      </c>
      <c r="L153" s="36" t="s">
        <v>4275</v>
      </c>
      <c r="M153" s="35">
        <v>7629</v>
      </c>
      <c r="N153" s="36" t="s">
        <v>5269</v>
      </c>
      <c r="O153" s="35" t="s">
        <v>5410</v>
      </c>
      <c r="P153" s="35" t="s">
        <v>5411</v>
      </c>
    </row>
    <row r="154" spans="1:16" hidden="1">
      <c r="A154" s="35">
        <v>718</v>
      </c>
      <c r="B154" s="36" t="s">
        <v>2071</v>
      </c>
      <c r="C154" t="e">
        <f>VLOOKUP(A154,'TABELA SPOLINE'!A:J,10,FALSE)</f>
        <v>#N/A</v>
      </c>
      <c r="H154">
        <v>709</v>
      </c>
      <c r="I154">
        <v>1</v>
      </c>
      <c r="J154" s="35" t="s">
        <v>3456</v>
      </c>
      <c r="K154" t="str">
        <f t="shared" si="30"/>
        <v>718</v>
      </c>
      <c r="L154" s="36" t="s">
        <v>4276</v>
      </c>
      <c r="M154" s="35">
        <v>7629</v>
      </c>
      <c r="N154" s="36" t="s">
        <v>5269</v>
      </c>
      <c r="O154" s="35" t="s">
        <v>5410</v>
      </c>
      <c r="P154" s="35" t="s">
        <v>5411</v>
      </c>
    </row>
    <row r="155" spans="1:16" hidden="1">
      <c r="A155" s="35">
        <v>719</v>
      </c>
      <c r="B155" s="36" t="s">
        <v>2072</v>
      </c>
      <c r="C155" t="e">
        <f>VLOOKUP(A155,'TABELA SPOLINE'!A:J,10,FALSE)</f>
        <v>#N/A</v>
      </c>
      <c r="H155">
        <v>709</v>
      </c>
      <c r="I155">
        <v>1</v>
      </c>
      <c r="J155" s="35" t="s">
        <v>3457</v>
      </c>
      <c r="K155" t="str">
        <f t="shared" si="30"/>
        <v>719</v>
      </c>
      <c r="L155" s="36" t="s">
        <v>4276</v>
      </c>
      <c r="M155" s="35">
        <v>7629</v>
      </c>
      <c r="N155" s="36" t="s">
        <v>5269</v>
      </c>
      <c r="O155" s="35" t="s">
        <v>5410</v>
      </c>
      <c r="P155" s="35" t="s">
        <v>5411</v>
      </c>
    </row>
    <row r="156" spans="1:16">
      <c r="A156" s="35">
        <v>725</v>
      </c>
      <c r="B156" s="36" t="s">
        <v>2073</v>
      </c>
      <c r="C156">
        <f>VLOOKUP(A156,'TABELA SPOLINE'!A:J,10,FALSE)</f>
        <v>52.311000000000007</v>
      </c>
      <c r="D156">
        <f t="shared" ref="D156:D157" si="43">C156*0.1+C156</f>
        <v>57.542100000000005</v>
      </c>
      <c r="E156">
        <f t="shared" ref="E156:E157" si="44">ROUNDUP(D156,2)</f>
        <v>57.55</v>
      </c>
      <c r="F156">
        <f t="shared" ref="F156:F157" si="45">E156*0.0975+E156</f>
        <v>63.161124999999998</v>
      </c>
      <c r="G156">
        <f t="shared" ref="G156:G157" si="46">ROUNDUP(F156,2)</f>
        <v>63.169999999999995</v>
      </c>
      <c r="H156">
        <v>709</v>
      </c>
      <c r="I156">
        <v>1</v>
      </c>
      <c r="J156" s="35" t="s">
        <v>3458</v>
      </c>
      <c r="K156" t="str">
        <f t="shared" si="30"/>
        <v>725</v>
      </c>
      <c r="L156" s="36" t="s">
        <v>4277</v>
      </c>
      <c r="M156" s="35">
        <v>7629</v>
      </c>
      <c r="N156" s="36" t="s">
        <v>5269</v>
      </c>
      <c r="O156" s="35" t="s">
        <v>5412</v>
      </c>
      <c r="P156" s="35" t="s">
        <v>5413</v>
      </c>
    </row>
    <row r="157" spans="1:16">
      <c r="A157" s="35">
        <v>728</v>
      </c>
      <c r="B157" s="36" t="s">
        <v>2074</v>
      </c>
      <c r="C157">
        <f>VLOOKUP(A157,'TABELA SPOLINE'!A:J,10,FALSE)</f>
        <v>52.311000000000007</v>
      </c>
      <c r="D157">
        <f t="shared" si="43"/>
        <v>57.542100000000005</v>
      </c>
      <c r="E157">
        <f t="shared" si="44"/>
        <v>57.55</v>
      </c>
      <c r="F157">
        <f t="shared" si="45"/>
        <v>63.161124999999998</v>
      </c>
      <c r="G157">
        <f t="shared" si="46"/>
        <v>63.169999999999995</v>
      </c>
      <c r="H157">
        <v>709</v>
      </c>
      <c r="I157">
        <v>1</v>
      </c>
      <c r="J157" s="35" t="s">
        <v>3459</v>
      </c>
      <c r="K157" t="str">
        <f t="shared" si="30"/>
        <v>728</v>
      </c>
      <c r="L157" s="36" t="s">
        <v>4276</v>
      </c>
      <c r="M157" s="35">
        <v>7629</v>
      </c>
      <c r="N157" s="36" t="s">
        <v>5269</v>
      </c>
      <c r="O157" s="35" t="s">
        <v>5414</v>
      </c>
      <c r="P157" s="35" t="s">
        <v>5415</v>
      </c>
    </row>
    <row r="158" spans="1:16" hidden="1">
      <c r="A158" s="35">
        <v>729</v>
      </c>
      <c r="B158" s="36" t="s">
        <v>2075</v>
      </c>
      <c r="C158" t="e">
        <f>VLOOKUP(A158,'TABELA SPOLINE'!A:J,10,FALSE)</f>
        <v>#N/A</v>
      </c>
      <c r="H158">
        <v>709</v>
      </c>
      <c r="I158">
        <v>1</v>
      </c>
      <c r="J158" s="35" t="s">
        <v>3460</v>
      </c>
      <c r="K158" t="str">
        <f t="shared" si="30"/>
        <v>729</v>
      </c>
      <c r="L158" s="36" t="s">
        <v>4278</v>
      </c>
      <c r="M158" s="35">
        <v>7629</v>
      </c>
      <c r="N158" s="36" t="s">
        <v>5269</v>
      </c>
      <c r="O158" s="35" t="s">
        <v>5414</v>
      </c>
      <c r="P158" s="35" t="s">
        <v>5415</v>
      </c>
    </row>
    <row r="159" spans="1:16">
      <c r="A159" s="35">
        <v>730</v>
      </c>
      <c r="B159" s="36" t="s">
        <v>2076</v>
      </c>
      <c r="C159">
        <f>VLOOKUP(A159,'TABELA SPOLINE'!A:J,10,FALSE)</f>
        <v>52.311000000000007</v>
      </c>
      <c r="D159">
        <f>C159*0.1+C159</f>
        <v>57.542100000000005</v>
      </c>
      <c r="E159">
        <f>ROUNDUP(D159,2)</f>
        <v>57.55</v>
      </c>
      <c r="F159">
        <f>E159*0.0975+E159</f>
        <v>63.161124999999998</v>
      </c>
      <c r="G159">
        <f>ROUNDUP(F159,2)</f>
        <v>63.169999999999995</v>
      </c>
      <c r="H159">
        <v>709</v>
      </c>
      <c r="I159">
        <v>1</v>
      </c>
      <c r="J159" s="35" t="s">
        <v>3461</v>
      </c>
      <c r="K159" t="str">
        <f t="shared" si="30"/>
        <v>730</v>
      </c>
      <c r="L159" s="36" t="s">
        <v>4279</v>
      </c>
      <c r="M159" s="35">
        <v>7629</v>
      </c>
      <c r="N159" s="36" t="s">
        <v>5269</v>
      </c>
      <c r="O159" s="35" t="s">
        <v>5416</v>
      </c>
      <c r="P159" s="35" t="s">
        <v>5417</v>
      </c>
    </row>
    <row r="160" spans="1:16" hidden="1">
      <c r="A160" s="35">
        <v>796</v>
      </c>
      <c r="B160" s="36" t="s">
        <v>1794</v>
      </c>
      <c r="C160" t="e">
        <f>VLOOKUP(A160,'TABELA SPOLINE'!A:J,10,FALSE)</f>
        <v>#N/A</v>
      </c>
      <c r="H160">
        <v>723</v>
      </c>
      <c r="I160">
        <v>12</v>
      </c>
      <c r="J160" s="35" t="s">
        <v>3179</v>
      </c>
      <c r="K160" t="str">
        <f t="shared" si="30"/>
        <v>796</v>
      </c>
      <c r="L160" s="36" t="s">
        <v>4280</v>
      </c>
      <c r="M160" s="35">
        <v>7629</v>
      </c>
      <c r="N160" s="36" t="s">
        <v>5269</v>
      </c>
      <c r="O160" s="35" t="s">
        <v>5418</v>
      </c>
      <c r="P160" s="35" t="s">
        <v>5419</v>
      </c>
    </row>
    <row r="161" spans="1:16" hidden="1">
      <c r="A161" s="35">
        <v>797</v>
      </c>
      <c r="B161" s="36" t="s">
        <v>1795</v>
      </c>
      <c r="C161" t="e">
        <f>VLOOKUP(A161,'TABELA SPOLINE'!A:J,10,FALSE)</f>
        <v>#N/A</v>
      </c>
      <c r="H161">
        <v>723</v>
      </c>
      <c r="I161">
        <v>12</v>
      </c>
      <c r="J161" s="35" t="s">
        <v>3180</v>
      </c>
      <c r="K161" t="str">
        <f t="shared" si="30"/>
        <v>797</v>
      </c>
      <c r="L161" s="36" t="s">
        <v>4276</v>
      </c>
      <c r="M161" s="35">
        <v>7629</v>
      </c>
      <c r="N161" s="36" t="s">
        <v>5269</v>
      </c>
      <c r="O161" s="35" t="s">
        <v>5418</v>
      </c>
      <c r="P161" s="35" t="s">
        <v>5419</v>
      </c>
    </row>
    <row r="162" spans="1:16" hidden="1">
      <c r="A162" s="35">
        <v>798</v>
      </c>
      <c r="B162" s="36" t="s">
        <v>1796</v>
      </c>
      <c r="C162" t="e">
        <f>VLOOKUP(A162,'TABELA SPOLINE'!A:J,10,FALSE)</f>
        <v>#N/A</v>
      </c>
      <c r="H162">
        <v>723</v>
      </c>
      <c r="I162">
        <v>12</v>
      </c>
      <c r="J162" s="35" t="s">
        <v>3181</v>
      </c>
      <c r="K162" t="str">
        <f t="shared" si="30"/>
        <v>798</v>
      </c>
      <c r="L162" s="36" t="s">
        <v>4276</v>
      </c>
      <c r="M162" s="35">
        <v>7629</v>
      </c>
      <c r="N162" s="36" t="s">
        <v>5269</v>
      </c>
      <c r="O162" s="35" t="s">
        <v>5418</v>
      </c>
      <c r="P162" s="35" t="s">
        <v>5419</v>
      </c>
    </row>
    <row r="163" spans="1:16" hidden="1">
      <c r="A163" s="35">
        <v>799</v>
      </c>
      <c r="B163" s="36" t="s">
        <v>1797</v>
      </c>
      <c r="C163" t="e">
        <f>VLOOKUP(A163,'TABELA SPOLINE'!A:J,10,FALSE)</f>
        <v>#N/A</v>
      </c>
      <c r="H163">
        <v>723</v>
      </c>
      <c r="I163">
        <v>12</v>
      </c>
      <c r="J163" s="35" t="s">
        <v>3182</v>
      </c>
      <c r="K163" t="str">
        <f t="shared" si="30"/>
        <v>799</v>
      </c>
      <c r="L163" s="36" t="s">
        <v>4281</v>
      </c>
      <c r="M163" s="35">
        <v>7629</v>
      </c>
      <c r="N163" s="36" t="s">
        <v>5269</v>
      </c>
      <c r="O163" s="35" t="s">
        <v>5420</v>
      </c>
      <c r="P163" s="35" t="s">
        <v>5421</v>
      </c>
    </row>
    <row r="164" spans="1:16" hidden="1">
      <c r="A164" s="35">
        <v>800</v>
      </c>
      <c r="B164" s="36" t="s">
        <v>1798</v>
      </c>
      <c r="C164" t="e">
        <f>VLOOKUP(A164,'TABELA SPOLINE'!A:J,10,FALSE)</f>
        <v>#N/A</v>
      </c>
      <c r="H164">
        <v>723</v>
      </c>
      <c r="I164">
        <v>12</v>
      </c>
      <c r="J164" s="35" t="s">
        <v>3183</v>
      </c>
      <c r="K164" t="str">
        <f t="shared" si="30"/>
        <v>800</v>
      </c>
      <c r="L164" s="36" t="s">
        <v>4276</v>
      </c>
      <c r="M164" s="35">
        <v>7629</v>
      </c>
      <c r="N164" s="36" t="s">
        <v>5269</v>
      </c>
      <c r="O164" s="35" t="s">
        <v>5422</v>
      </c>
      <c r="P164" s="35" t="s">
        <v>5423</v>
      </c>
    </row>
    <row r="165" spans="1:16" hidden="1">
      <c r="A165" s="35">
        <v>802</v>
      </c>
      <c r="B165" s="36" t="s">
        <v>1799</v>
      </c>
      <c r="C165" t="e">
        <f>VLOOKUP(A165,'TABELA SPOLINE'!A:J,10,FALSE)</f>
        <v>#N/A</v>
      </c>
      <c r="H165">
        <v>723</v>
      </c>
      <c r="I165">
        <v>12</v>
      </c>
      <c r="J165" s="35" t="s">
        <v>3184</v>
      </c>
      <c r="K165" t="str">
        <f t="shared" si="30"/>
        <v>802</v>
      </c>
      <c r="L165" s="36" t="s">
        <v>4276</v>
      </c>
      <c r="M165" s="35">
        <v>7629</v>
      </c>
      <c r="N165" s="36" t="s">
        <v>5269</v>
      </c>
      <c r="O165" s="35" t="s">
        <v>5422</v>
      </c>
      <c r="P165" s="35" t="s">
        <v>5423</v>
      </c>
    </row>
    <row r="166" spans="1:16" hidden="1">
      <c r="A166" s="35">
        <v>804</v>
      </c>
      <c r="B166" s="36" t="s">
        <v>1800</v>
      </c>
      <c r="C166" t="e">
        <f>VLOOKUP(A166,'TABELA SPOLINE'!A:J,10,FALSE)</f>
        <v>#N/A</v>
      </c>
      <c r="H166">
        <v>723</v>
      </c>
      <c r="I166">
        <v>12</v>
      </c>
      <c r="J166" s="35" t="s">
        <v>3185</v>
      </c>
      <c r="K166" t="str">
        <f t="shared" si="30"/>
        <v>804</v>
      </c>
      <c r="L166" s="36" t="s">
        <v>4282</v>
      </c>
      <c r="M166" s="35">
        <v>7629</v>
      </c>
      <c r="N166" s="36" t="s">
        <v>5269</v>
      </c>
      <c r="O166" s="35" t="s">
        <v>5398</v>
      </c>
      <c r="P166" s="35" t="s">
        <v>5399</v>
      </c>
    </row>
    <row r="167" spans="1:16" hidden="1">
      <c r="A167" s="35">
        <v>805</v>
      </c>
      <c r="B167" s="36" t="s">
        <v>1801</v>
      </c>
      <c r="C167" t="e">
        <f>VLOOKUP(A167,'TABELA SPOLINE'!A:J,10,FALSE)</f>
        <v>#N/A</v>
      </c>
      <c r="H167">
        <v>723</v>
      </c>
      <c r="I167">
        <v>12</v>
      </c>
      <c r="J167" s="35" t="s">
        <v>3186</v>
      </c>
      <c r="K167" t="str">
        <f t="shared" si="30"/>
        <v>805</v>
      </c>
      <c r="L167" s="36" t="s">
        <v>4283</v>
      </c>
      <c r="M167" s="35">
        <v>7629</v>
      </c>
      <c r="N167" s="36" t="s">
        <v>5269</v>
      </c>
      <c r="O167" s="35" t="s">
        <v>5424</v>
      </c>
      <c r="P167" s="35" t="s">
        <v>5425</v>
      </c>
    </row>
    <row r="168" spans="1:16" hidden="1">
      <c r="A168" s="35">
        <v>809</v>
      </c>
      <c r="B168" s="36" t="s">
        <v>1792</v>
      </c>
      <c r="C168" t="e">
        <f>VLOOKUP(A168,'TABELA SPOLINE'!A:J,10,FALSE)</f>
        <v>#N/A</v>
      </c>
      <c r="H168">
        <v>723</v>
      </c>
      <c r="I168">
        <v>8</v>
      </c>
      <c r="J168" s="35" t="s">
        <v>3177</v>
      </c>
      <c r="K168" t="str">
        <f t="shared" si="30"/>
        <v>809</v>
      </c>
      <c r="L168" s="36" t="s">
        <v>4284</v>
      </c>
      <c r="M168" s="35">
        <v>7629</v>
      </c>
      <c r="N168" s="36" t="s">
        <v>5269</v>
      </c>
      <c r="O168" s="35" t="s">
        <v>5402</v>
      </c>
      <c r="P168" s="35" t="s">
        <v>5403</v>
      </c>
    </row>
    <row r="169" spans="1:16" hidden="1">
      <c r="A169" s="35">
        <v>810</v>
      </c>
      <c r="B169" s="36" t="s">
        <v>1784</v>
      </c>
      <c r="C169" t="e">
        <f>VLOOKUP(A169,'TABELA SPOLINE'!A:J,10,FALSE)</f>
        <v>#N/A</v>
      </c>
      <c r="H169">
        <v>723</v>
      </c>
      <c r="I169">
        <v>8</v>
      </c>
      <c r="J169" s="35" t="s">
        <v>3169</v>
      </c>
      <c r="K169" t="str">
        <f t="shared" si="30"/>
        <v>810</v>
      </c>
      <c r="L169" s="36" t="s">
        <v>4285</v>
      </c>
      <c r="M169" s="35">
        <v>7629</v>
      </c>
      <c r="N169" s="36" t="s">
        <v>5269</v>
      </c>
      <c r="O169" s="35" t="s">
        <v>5426</v>
      </c>
      <c r="P169" s="35" t="s">
        <v>5427</v>
      </c>
    </row>
    <row r="170" spans="1:16" hidden="1">
      <c r="A170" s="35">
        <v>811</v>
      </c>
      <c r="B170" s="36" t="s">
        <v>1785</v>
      </c>
      <c r="C170" t="e">
        <f>VLOOKUP(A170,'TABELA SPOLINE'!A:J,10,FALSE)</f>
        <v>#N/A</v>
      </c>
      <c r="H170">
        <v>723</v>
      </c>
      <c r="I170">
        <v>8</v>
      </c>
      <c r="J170" s="35" t="s">
        <v>3170</v>
      </c>
      <c r="K170" t="str">
        <f t="shared" si="30"/>
        <v>811</v>
      </c>
      <c r="L170" s="36" t="s">
        <v>4286</v>
      </c>
      <c r="M170" s="35">
        <v>7629</v>
      </c>
      <c r="N170" s="36" t="s">
        <v>5269</v>
      </c>
      <c r="O170" s="35" t="s">
        <v>5424</v>
      </c>
      <c r="P170" s="35" t="s">
        <v>5425</v>
      </c>
    </row>
    <row r="171" spans="1:16" hidden="1">
      <c r="A171" s="35">
        <v>812</v>
      </c>
      <c r="B171" s="36" t="s">
        <v>1786</v>
      </c>
      <c r="C171" t="e">
        <f>VLOOKUP(A171,'TABELA SPOLINE'!A:J,10,FALSE)</f>
        <v>#N/A</v>
      </c>
      <c r="H171">
        <v>723</v>
      </c>
      <c r="I171">
        <v>8</v>
      </c>
      <c r="J171" s="35" t="s">
        <v>3171</v>
      </c>
      <c r="K171" t="str">
        <f t="shared" si="30"/>
        <v>812</v>
      </c>
      <c r="L171" s="36" t="s">
        <v>4287</v>
      </c>
      <c r="M171" s="35">
        <v>7629</v>
      </c>
      <c r="N171" s="36" t="s">
        <v>5269</v>
      </c>
      <c r="O171" s="35" t="s">
        <v>5402</v>
      </c>
      <c r="P171" s="35" t="s">
        <v>5403</v>
      </c>
    </row>
    <row r="172" spans="1:16" hidden="1">
      <c r="A172" s="35">
        <v>813</v>
      </c>
      <c r="B172" s="36" t="s">
        <v>1787</v>
      </c>
      <c r="C172" t="e">
        <f>VLOOKUP(A172,'TABELA SPOLINE'!A:J,10,FALSE)</f>
        <v>#N/A</v>
      </c>
      <c r="H172">
        <v>723</v>
      </c>
      <c r="I172">
        <v>8</v>
      </c>
      <c r="J172" s="35" t="s">
        <v>3172</v>
      </c>
      <c r="K172" t="str">
        <f t="shared" si="30"/>
        <v>813</v>
      </c>
      <c r="L172" s="36" t="s">
        <v>4288</v>
      </c>
      <c r="M172" s="35">
        <v>7629</v>
      </c>
      <c r="N172" s="36" t="s">
        <v>5269</v>
      </c>
      <c r="O172" s="35" t="s">
        <v>5398</v>
      </c>
      <c r="P172" s="35" t="s">
        <v>5399</v>
      </c>
    </row>
    <row r="173" spans="1:16" hidden="1">
      <c r="A173" s="35">
        <v>815</v>
      </c>
      <c r="B173" s="36" t="s">
        <v>1788</v>
      </c>
      <c r="C173" t="e">
        <f>VLOOKUP(A173,'TABELA SPOLINE'!A:J,10,FALSE)</f>
        <v>#N/A</v>
      </c>
      <c r="H173">
        <v>723</v>
      </c>
      <c r="I173">
        <v>8</v>
      </c>
      <c r="J173" s="35" t="s">
        <v>3173</v>
      </c>
      <c r="K173" t="str">
        <f t="shared" si="30"/>
        <v>815</v>
      </c>
      <c r="L173" s="36" t="s">
        <v>4289</v>
      </c>
      <c r="M173" s="35">
        <v>7629</v>
      </c>
      <c r="N173" s="36" t="s">
        <v>5269</v>
      </c>
      <c r="O173" s="35" t="s">
        <v>5428</v>
      </c>
      <c r="P173" s="35" t="s">
        <v>5429</v>
      </c>
    </row>
    <row r="174" spans="1:16" hidden="1">
      <c r="A174" s="35">
        <v>816</v>
      </c>
      <c r="B174" s="36" t="s">
        <v>1789</v>
      </c>
      <c r="C174" t="e">
        <f>VLOOKUP(A174,'TABELA SPOLINE'!A:J,10,FALSE)</f>
        <v>#N/A</v>
      </c>
      <c r="H174">
        <v>723</v>
      </c>
      <c r="I174">
        <v>8</v>
      </c>
      <c r="J174" s="35" t="s">
        <v>3174</v>
      </c>
      <c r="K174" t="str">
        <f t="shared" si="30"/>
        <v>816</v>
      </c>
      <c r="L174" s="36" t="s">
        <v>4290</v>
      </c>
      <c r="M174" s="35">
        <v>7629</v>
      </c>
      <c r="N174" s="36" t="s">
        <v>5269</v>
      </c>
      <c r="O174" s="35" t="s">
        <v>5430</v>
      </c>
      <c r="P174" s="35" t="s">
        <v>5431</v>
      </c>
    </row>
    <row r="175" spans="1:16" hidden="1">
      <c r="A175" s="35">
        <v>817</v>
      </c>
      <c r="B175" s="36" t="s">
        <v>1790</v>
      </c>
      <c r="C175" t="e">
        <f>VLOOKUP(A175,'TABELA SPOLINE'!A:J,10,FALSE)</f>
        <v>#N/A</v>
      </c>
      <c r="H175">
        <v>723</v>
      </c>
      <c r="I175">
        <v>8</v>
      </c>
      <c r="J175" s="35" t="s">
        <v>3175</v>
      </c>
      <c r="K175" t="str">
        <f t="shared" si="30"/>
        <v>817</v>
      </c>
      <c r="L175" s="36" t="s">
        <v>4291</v>
      </c>
      <c r="M175" s="35">
        <v>7629</v>
      </c>
      <c r="N175" s="36" t="s">
        <v>5269</v>
      </c>
      <c r="O175" s="35" t="s">
        <v>5430</v>
      </c>
      <c r="P175" s="35" t="s">
        <v>5431</v>
      </c>
    </row>
    <row r="176" spans="1:16" hidden="1">
      <c r="A176" s="35">
        <v>820</v>
      </c>
      <c r="B176" s="36" t="s">
        <v>2086</v>
      </c>
      <c r="C176" t="e">
        <f>VLOOKUP(A176,'TABELA SPOLINE'!A:J,10,FALSE)</f>
        <v>#N/A</v>
      </c>
      <c r="H176">
        <v>727</v>
      </c>
      <c r="I176">
        <v>1</v>
      </c>
      <c r="J176" s="35" t="s">
        <v>3471</v>
      </c>
      <c r="K176" t="str">
        <f t="shared" si="30"/>
        <v>820</v>
      </c>
      <c r="L176" s="36" t="s">
        <v>4292</v>
      </c>
      <c r="M176" s="35">
        <v>7629</v>
      </c>
      <c r="N176" s="36" t="s">
        <v>5269</v>
      </c>
      <c r="O176" s="35" t="s">
        <v>5432</v>
      </c>
      <c r="P176" s="35" t="s">
        <v>5433</v>
      </c>
    </row>
    <row r="177" spans="1:16" hidden="1">
      <c r="A177" s="35">
        <v>821</v>
      </c>
      <c r="B177" s="36" t="s">
        <v>2087</v>
      </c>
      <c r="C177" t="e">
        <f>VLOOKUP(A177,'TABELA SPOLINE'!A:J,10,FALSE)</f>
        <v>#N/A</v>
      </c>
      <c r="H177">
        <v>727</v>
      </c>
      <c r="I177">
        <v>1</v>
      </c>
      <c r="J177" s="35" t="s">
        <v>3472</v>
      </c>
      <c r="K177" t="str">
        <f t="shared" si="30"/>
        <v>821</v>
      </c>
      <c r="L177" s="36" t="s">
        <v>4291</v>
      </c>
      <c r="M177" s="35">
        <v>7629</v>
      </c>
      <c r="N177" s="36" t="s">
        <v>5269</v>
      </c>
      <c r="O177" s="35" t="s">
        <v>5432</v>
      </c>
      <c r="P177" s="35" t="s">
        <v>5433</v>
      </c>
    </row>
    <row r="178" spans="1:16" hidden="1">
      <c r="A178" s="35">
        <v>824</v>
      </c>
      <c r="B178" s="36" t="s">
        <v>2088</v>
      </c>
      <c r="C178" t="e">
        <f>VLOOKUP(A178,'TABELA SPOLINE'!A:J,10,FALSE)</f>
        <v>#N/A</v>
      </c>
      <c r="H178">
        <v>727</v>
      </c>
      <c r="I178">
        <v>1</v>
      </c>
      <c r="J178" s="35" t="s">
        <v>3473</v>
      </c>
      <c r="K178" t="str">
        <f t="shared" si="30"/>
        <v>824</v>
      </c>
      <c r="L178" s="36" t="s">
        <v>4293</v>
      </c>
      <c r="M178" s="35">
        <v>7629</v>
      </c>
      <c r="N178" s="36" t="s">
        <v>5269</v>
      </c>
      <c r="O178" s="35" t="s">
        <v>5434</v>
      </c>
      <c r="P178" s="35" t="s">
        <v>5435</v>
      </c>
    </row>
    <row r="179" spans="1:16" hidden="1">
      <c r="A179" s="35">
        <v>828</v>
      </c>
      <c r="B179" s="36" t="s">
        <v>2089</v>
      </c>
      <c r="C179" t="e">
        <f>VLOOKUP(A179,'TABELA SPOLINE'!A:J,10,FALSE)</f>
        <v>#N/A</v>
      </c>
      <c r="H179">
        <v>727</v>
      </c>
      <c r="I179">
        <v>1</v>
      </c>
      <c r="J179" s="35" t="s">
        <v>3474</v>
      </c>
      <c r="K179" t="str">
        <f t="shared" si="30"/>
        <v>828</v>
      </c>
      <c r="L179" s="36" t="s">
        <v>4294</v>
      </c>
      <c r="M179" s="35">
        <v>7629</v>
      </c>
      <c r="N179" s="36" t="s">
        <v>5269</v>
      </c>
      <c r="O179" s="35" t="s">
        <v>5436</v>
      </c>
      <c r="P179" s="35" t="s">
        <v>5437</v>
      </c>
    </row>
    <row r="180" spans="1:16" hidden="1">
      <c r="A180" s="35">
        <v>829</v>
      </c>
      <c r="B180" s="36" t="s">
        <v>2090</v>
      </c>
      <c r="C180" t="e">
        <f>VLOOKUP(A180,'TABELA SPOLINE'!A:J,10,FALSE)</f>
        <v>#N/A</v>
      </c>
      <c r="H180">
        <v>727</v>
      </c>
      <c r="I180">
        <v>1</v>
      </c>
      <c r="J180" s="35" t="s">
        <v>3475</v>
      </c>
      <c r="K180" t="str">
        <f t="shared" si="30"/>
        <v>829</v>
      </c>
      <c r="L180" s="36" t="s">
        <v>4291</v>
      </c>
      <c r="M180" s="35">
        <v>7629</v>
      </c>
      <c r="N180" s="36" t="s">
        <v>5269</v>
      </c>
      <c r="O180" s="35" t="s">
        <v>5438</v>
      </c>
      <c r="P180" s="35" t="s">
        <v>5439</v>
      </c>
    </row>
    <row r="181" spans="1:16" hidden="1">
      <c r="A181" s="35">
        <v>831</v>
      </c>
      <c r="B181" s="36" t="s">
        <v>2091</v>
      </c>
      <c r="C181" t="e">
        <f>VLOOKUP(A181,'TABELA SPOLINE'!A:J,10,FALSE)</f>
        <v>#N/A</v>
      </c>
      <c r="H181">
        <v>727</v>
      </c>
      <c r="I181">
        <v>1</v>
      </c>
      <c r="J181" s="35" t="s">
        <v>3476</v>
      </c>
      <c r="K181" t="str">
        <f t="shared" si="30"/>
        <v>831</v>
      </c>
      <c r="L181" s="36" t="s">
        <v>4295</v>
      </c>
      <c r="M181" s="35">
        <v>7629</v>
      </c>
      <c r="N181" s="36" t="s">
        <v>5269</v>
      </c>
      <c r="O181" s="35" t="s">
        <v>5440</v>
      </c>
      <c r="P181" s="35" t="s">
        <v>5441</v>
      </c>
    </row>
    <row r="182" spans="1:16" hidden="1">
      <c r="A182" s="35">
        <v>832</v>
      </c>
      <c r="B182" s="36" t="s">
        <v>2092</v>
      </c>
      <c r="C182" t="e">
        <f>VLOOKUP(A182,'TABELA SPOLINE'!A:J,10,FALSE)</f>
        <v>#N/A</v>
      </c>
      <c r="H182">
        <v>727</v>
      </c>
      <c r="I182">
        <v>1</v>
      </c>
      <c r="J182" s="35" t="s">
        <v>3477</v>
      </c>
      <c r="K182" t="str">
        <f t="shared" si="30"/>
        <v>832</v>
      </c>
      <c r="L182" s="36" t="s">
        <v>4291</v>
      </c>
      <c r="M182" s="35">
        <v>7629</v>
      </c>
      <c r="N182" s="36" t="s">
        <v>5269</v>
      </c>
      <c r="O182" s="35" t="s">
        <v>5440</v>
      </c>
      <c r="P182" s="35" t="s">
        <v>5441</v>
      </c>
    </row>
    <row r="183" spans="1:16" hidden="1">
      <c r="A183" s="35">
        <v>833</v>
      </c>
      <c r="B183" s="36" t="s">
        <v>2093</v>
      </c>
      <c r="C183" t="e">
        <f>VLOOKUP(A183,'TABELA SPOLINE'!A:J,10,FALSE)</f>
        <v>#N/A</v>
      </c>
      <c r="H183">
        <v>727</v>
      </c>
      <c r="I183">
        <v>1</v>
      </c>
      <c r="J183" s="35" t="s">
        <v>3478</v>
      </c>
      <c r="K183" t="str">
        <f t="shared" si="30"/>
        <v>833</v>
      </c>
      <c r="L183" s="36" t="s">
        <v>4296</v>
      </c>
      <c r="M183" s="35">
        <v>7629</v>
      </c>
      <c r="N183" s="36" t="s">
        <v>5269</v>
      </c>
      <c r="O183" s="35" t="s">
        <v>5440</v>
      </c>
      <c r="P183" s="35" t="s">
        <v>5441</v>
      </c>
    </row>
    <row r="184" spans="1:16" hidden="1">
      <c r="A184" s="35">
        <v>834</v>
      </c>
      <c r="B184" s="36" t="s">
        <v>2094</v>
      </c>
      <c r="C184" t="e">
        <f>VLOOKUP(A184,'TABELA SPOLINE'!A:J,10,FALSE)</f>
        <v>#N/A</v>
      </c>
      <c r="H184">
        <v>727</v>
      </c>
      <c r="I184">
        <v>1</v>
      </c>
      <c r="J184" s="35" t="s">
        <v>3479</v>
      </c>
      <c r="K184" t="str">
        <f t="shared" si="30"/>
        <v>834</v>
      </c>
      <c r="L184" s="36" t="s">
        <v>4297</v>
      </c>
      <c r="M184" s="35">
        <v>7629</v>
      </c>
      <c r="N184" s="36" t="s">
        <v>5269</v>
      </c>
      <c r="O184" s="35" t="s">
        <v>5442</v>
      </c>
      <c r="P184" s="35" t="s">
        <v>5443</v>
      </c>
    </row>
    <row r="185" spans="1:16" hidden="1">
      <c r="A185" s="35">
        <v>836</v>
      </c>
      <c r="B185" s="36" t="s">
        <v>2095</v>
      </c>
      <c r="C185" t="e">
        <f>VLOOKUP(A185,'TABELA SPOLINE'!A:J,10,FALSE)</f>
        <v>#N/A</v>
      </c>
      <c r="H185">
        <v>727</v>
      </c>
      <c r="I185">
        <v>1</v>
      </c>
      <c r="J185" s="35" t="s">
        <v>3480</v>
      </c>
      <c r="K185" t="str">
        <f t="shared" si="30"/>
        <v>836</v>
      </c>
      <c r="L185" s="36" t="s">
        <v>4298</v>
      </c>
      <c r="M185" s="35">
        <v>7629</v>
      </c>
      <c r="N185" s="36" t="s">
        <v>5269</v>
      </c>
      <c r="O185" s="35" t="s">
        <v>5444</v>
      </c>
      <c r="P185" s="35" t="s">
        <v>5445</v>
      </c>
    </row>
    <row r="186" spans="1:16" hidden="1">
      <c r="A186" s="35">
        <v>837</v>
      </c>
      <c r="B186" s="36" t="s">
        <v>1805</v>
      </c>
      <c r="C186" t="e">
        <f>VLOOKUP(A186,'TABELA SPOLINE'!A:J,10,FALSE)</f>
        <v>#N/A</v>
      </c>
      <c r="H186">
        <v>732</v>
      </c>
      <c r="I186">
        <v>1</v>
      </c>
      <c r="J186" s="35" t="s">
        <v>3190</v>
      </c>
      <c r="K186" t="str">
        <f t="shared" si="30"/>
        <v>837</v>
      </c>
      <c r="L186" s="36" t="s">
        <v>4299</v>
      </c>
      <c r="M186" s="35">
        <v>7629</v>
      </c>
      <c r="N186" s="36" t="s">
        <v>5269</v>
      </c>
      <c r="O186" s="35" t="s">
        <v>5442</v>
      </c>
      <c r="P186" s="35" t="s">
        <v>5443</v>
      </c>
    </row>
    <row r="187" spans="1:16" hidden="1">
      <c r="A187" s="35">
        <v>838</v>
      </c>
      <c r="B187" s="36" t="s">
        <v>1806</v>
      </c>
      <c r="C187" t="e">
        <f>VLOOKUP(A187,'TABELA SPOLINE'!A:J,10,FALSE)</f>
        <v>#N/A</v>
      </c>
      <c r="H187">
        <v>732</v>
      </c>
      <c r="I187">
        <v>1</v>
      </c>
      <c r="J187" s="35" t="s">
        <v>3191</v>
      </c>
      <c r="K187" t="str">
        <f t="shared" si="30"/>
        <v>838</v>
      </c>
      <c r="L187" s="36" t="s">
        <v>4300</v>
      </c>
      <c r="M187" s="35">
        <v>7629</v>
      </c>
      <c r="N187" s="36" t="s">
        <v>5269</v>
      </c>
      <c r="O187" s="35" t="s">
        <v>5444</v>
      </c>
      <c r="P187" s="35" t="s">
        <v>5445</v>
      </c>
    </row>
    <row r="188" spans="1:16" hidden="1">
      <c r="A188" s="35">
        <v>840</v>
      </c>
      <c r="B188" s="36" t="s">
        <v>1807</v>
      </c>
      <c r="C188" t="e">
        <f>VLOOKUP(A188,'TABELA SPOLINE'!A:J,10,FALSE)</f>
        <v>#N/A</v>
      </c>
      <c r="H188">
        <v>732</v>
      </c>
      <c r="I188">
        <v>1</v>
      </c>
      <c r="J188" s="35" t="s">
        <v>3192</v>
      </c>
      <c r="K188" t="str">
        <f t="shared" si="30"/>
        <v>840</v>
      </c>
      <c r="L188" s="36" t="s">
        <v>4301</v>
      </c>
      <c r="M188" s="35">
        <v>7629</v>
      </c>
      <c r="N188" s="36" t="s">
        <v>5269</v>
      </c>
      <c r="O188" s="35" t="s">
        <v>5442</v>
      </c>
      <c r="P188" s="35" t="s">
        <v>5443</v>
      </c>
    </row>
    <row r="189" spans="1:16" hidden="1">
      <c r="A189" s="35">
        <v>841</v>
      </c>
      <c r="B189" s="36" t="s">
        <v>1808</v>
      </c>
      <c r="C189" t="e">
        <f>VLOOKUP(A189,'TABELA SPOLINE'!A:J,10,FALSE)</f>
        <v>#N/A</v>
      </c>
      <c r="H189">
        <v>732</v>
      </c>
      <c r="I189">
        <v>1</v>
      </c>
      <c r="J189" s="35" t="s">
        <v>3193</v>
      </c>
      <c r="K189" t="str">
        <f t="shared" si="30"/>
        <v>841</v>
      </c>
      <c r="L189" s="36" t="s">
        <v>4302</v>
      </c>
      <c r="M189" s="35">
        <v>7629</v>
      </c>
      <c r="N189" s="36" t="s">
        <v>5269</v>
      </c>
      <c r="O189" s="35" t="s">
        <v>5442</v>
      </c>
      <c r="P189" s="35" t="s">
        <v>5443</v>
      </c>
    </row>
    <row r="190" spans="1:16" hidden="1">
      <c r="A190" s="35">
        <v>843</v>
      </c>
      <c r="B190" s="36" t="s">
        <v>1809</v>
      </c>
      <c r="C190" t="e">
        <f>VLOOKUP(A190,'TABELA SPOLINE'!A:J,10,FALSE)</f>
        <v>#N/A</v>
      </c>
      <c r="H190">
        <v>732</v>
      </c>
      <c r="I190">
        <v>1</v>
      </c>
      <c r="J190" s="35" t="s">
        <v>3194</v>
      </c>
      <c r="K190" t="str">
        <f t="shared" si="30"/>
        <v>843</v>
      </c>
      <c r="L190" s="36" t="s">
        <v>4302</v>
      </c>
      <c r="M190" s="35">
        <v>7629</v>
      </c>
      <c r="N190" s="36" t="s">
        <v>5269</v>
      </c>
      <c r="O190" s="35" t="s">
        <v>5442</v>
      </c>
      <c r="P190" s="35" t="s">
        <v>5443</v>
      </c>
    </row>
    <row r="191" spans="1:16" hidden="1">
      <c r="A191" s="35">
        <v>844</v>
      </c>
      <c r="B191" s="36" t="s">
        <v>1810</v>
      </c>
      <c r="C191" t="e">
        <f>VLOOKUP(A191,'TABELA SPOLINE'!A:J,10,FALSE)</f>
        <v>#N/A</v>
      </c>
      <c r="H191">
        <v>732</v>
      </c>
      <c r="I191">
        <v>1</v>
      </c>
      <c r="J191" s="35" t="s">
        <v>3195</v>
      </c>
      <c r="K191" t="str">
        <f t="shared" si="30"/>
        <v>844</v>
      </c>
      <c r="L191" s="36" t="s">
        <v>4302</v>
      </c>
      <c r="M191" s="35">
        <v>7629</v>
      </c>
      <c r="N191" s="36" t="s">
        <v>5269</v>
      </c>
      <c r="O191" s="35" t="s">
        <v>5442</v>
      </c>
      <c r="P191" s="35" t="s">
        <v>5443</v>
      </c>
    </row>
    <row r="192" spans="1:16" hidden="1">
      <c r="A192" s="35">
        <v>846</v>
      </c>
      <c r="B192" s="36" t="s">
        <v>1811</v>
      </c>
      <c r="C192" t="e">
        <f>VLOOKUP(A192,'TABELA SPOLINE'!A:J,10,FALSE)</f>
        <v>#N/A</v>
      </c>
      <c r="H192">
        <v>732</v>
      </c>
      <c r="I192">
        <v>1</v>
      </c>
      <c r="J192" s="35" t="s">
        <v>3196</v>
      </c>
      <c r="K192" t="str">
        <f t="shared" si="30"/>
        <v>846</v>
      </c>
      <c r="L192" s="36" t="s">
        <v>4303</v>
      </c>
      <c r="M192" s="35">
        <v>7629</v>
      </c>
      <c r="N192" s="36" t="s">
        <v>5269</v>
      </c>
      <c r="O192" s="35" t="s">
        <v>5442</v>
      </c>
      <c r="P192" s="35" t="s">
        <v>5443</v>
      </c>
    </row>
    <row r="193" spans="1:16" hidden="1">
      <c r="A193" s="35">
        <v>847</v>
      </c>
      <c r="B193" s="36" t="s">
        <v>1812</v>
      </c>
      <c r="C193" t="e">
        <f>VLOOKUP(A193,'TABELA SPOLINE'!A:J,10,FALSE)</f>
        <v>#N/A</v>
      </c>
      <c r="H193">
        <v>732</v>
      </c>
      <c r="I193">
        <v>1</v>
      </c>
      <c r="J193" s="35" t="s">
        <v>3197</v>
      </c>
      <c r="K193" t="str">
        <f t="shared" si="30"/>
        <v>847</v>
      </c>
      <c r="L193" s="36" t="s">
        <v>4302</v>
      </c>
      <c r="M193" s="35">
        <v>7629</v>
      </c>
      <c r="N193" s="36" t="s">
        <v>5269</v>
      </c>
      <c r="O193" s="35" t="s">
        <v>5442</v>
      </c>
      <c r="P193" s="35" t="s">
        <v>5443</v>
      </c>
    </row>
    <row r="194" spans="1:16" hidden="1">
      <c r="A194" s="35">
        <v>849</v>
      </c>
      <c r="B194" s="36" t="s">
        <v>1813</v>
      </c>
      <c r="C194" t="e">
        <f>VLOOKUP(A194,'TABELA SPOLINE'!A:J,10,FALSE)</f>
        <v>#N/A</v>
      </c>
      <c r="H194">
        <v>733</v>
      </c>
      <c r="I194">
        <v>3</v>
      </c>
      <c r="J194" s="35" t="s">
        <v>3198</v>
      </c>
      <c r="K194" t="str">
        <f t="shared" si="30"/>
        <v>849</v>
      </c>
      <c r="L194" s="36" t="s">
        <v>4303</v>
      </c>
      <c r="M194" s="35">
        <v>7629</v>
      </c>
      <c r="N194" s="36" t="s">
        <v>5269</v>
      </c>
      <c r="O194" s="35" t="s">
        <v>5342</v>
      </c>
      <c r="P194" s="35" t="s">
        <v>5343</v>
      </c>
    </row>
    <row r="195" spans="1:16" hidden="1">
      <c r="A195" s="35">
        <v>851</v>
      </c>
      <c r="B195" s="36" t="s">
        <v>1814</v>
      </c>
      <c r="C195" t="e">
        <f>VLOOKUP(A195,'TABELA SPOLINE'!A:J,10,FALSE)</f>
        <v>#N/A</v>
      </c>
      <c r="H195">
        <v>733</v>
      </c>
      <c r="I195">
        <v>3</v>
      </c>
      <c r="J195" s="35" t="s">
        <v>3199</v>
      </c>
      <c r="K195" t="str">
        <f t="shared" ref="K195:K258" si="47">TRIM(A195)</f>
        <v>851</v>
      </c>
      <c r="L195" s="36" t="s">
        <v>4304</v>
      </c>
      <c r="M195" s="35">
        <v>7629</v>
      </c>
      <c r="N195" s="36" t="s">
        <v>5269</v>
      </c>
      <c r="O195" s="35" t="s">
        <v>5342</v>
      </c>
      <c r="P195" s="35" t="s">
        <v>5343</v>
      </c>
    </row>
    <row r="196" spans="1:16" hidden="1">
      <c r="A196" s="35">
        <v>852</v>
      </c>
      <c r="B196" s="36" t="s">
        <v>1815</v>
      </c>
      <c r="C196" t="e">
        <f>VLOOKUP(A196,'TABELA SPOLINE'!A:J,10,FALSE)</f>
        <v>#N/A</v>
      </c>
      <c r="H196">
        <v>733</v>
      </c>
      <c r="I196">
        <v>3</v>
      </c>
      <c r="J196" s="35" t="s">
        <v>3200</v>
      </c>
      <c r="K196" t="str">
        <f t="shared" si="47"/>
        <v>852</v>
      </c>
      <c r="L196" s="36" t="s">
        <v>4305</v>
      </c>
      <c r="M196" s="35">
        <v>7629</v>
      </c>
      <c r="N196" s="36" t="s">
        <v>5269</v>
      </c>
      <c r="O196" s="35" t="s">
        <v>5338</v>
      </c>
      <c r="P196" s="35" t="s">
        <v>5339</v>
      </c>
    </row>
    <row r="197" spans="1:16" hidden="1">
      <c r="A197" s="35">
        <v>854</v>
      </c>
      <c r="B197" s="36" t="s">
        <v>1816</v>
      </c>
      <c r="C197" t="e">
        <f>VLOOKUP(A197,'TABELA SPOLINE'!A:J,10,FALSE)</f>
        <v>#N/A</v>
      </c>
      <c r="H197">
        <v>733</v>
      </c>
      <c r="I197">
        <v>3</v>
      </c>
      <c r="J197" s="35" t="s">
        <v>3201</v>
      </c>
      <c r="K197" t="str">
        <f t="shared" si="47"/>
        <v>854</v>
      </c>
      <c r="L197" s="36" t="s">
        <v>4306</v>
      </c>
      <c r="M197" s="35">
        <v>7629</v>
      </c>
      <c r="N197" s="36" t="s">
        <v>5269</v>
      </c>
      <c r="O197" s="35" t="s">
        <v>5342</v>
      </c>
      <c r="P197" s="35" t="s">
        <v>5343</v>
      </c>
    </row>
    <row r="198" spans="1:16" hidden="1">
      <c r="A198" s="35">
        <v>855</v>
      </c>
      <c r="B198" s="36" t="s">
        <v>1817</v>
      </c>
      <c r="C198" t="e">
        <f>VLOOKUP(A198,'TABELA SPOLINE'!A:J,10,FALSE)</f>
        <v>#N/A</v>
      </c>
      <c r="H198">
        <v>733</v>
      </c>
      <c r="I198">
        <v>3</v>
      </c>
      <c r="J198" s="35" t="s">
        <v>3202</v>
      </c>
      <c r="K198" t="str">
        <f t="shared" si="47"/>
        <v>855</v>
      </c>
      <c r="L198" s="36" t="s">
        <v>4307</v>
      </c>
      <c r="M198" s="35">
        <v>7629</v>
      </c>
      <c r="N198" s="36" t="s">
        <v>5269</v>
      </c>
      <c r="O198" s="35" t="s">
        <v>5338</v>
      </c>
      <c r="P198" s="35" t="s">
        <v>5339</v>
      </c>
    </row>
    <row r="199" spans="1:16" hidden="1">
      <c r="A199" s="35">
        <v>856</v>
      </c>
      <c r="B199" s="36" t="s">
        <v>1818</v>
      </c>
      <c r="C199" t="e">
        <f>VLOOKUP(A199,'TABELA SPOLINE'!A:J,10,FALSE)</f>
        <v>#N/A</v>
      </c>
      <c r="H199">
        <v>733</v>
      </c>
      <c r="I199">
        <v>3</v>
      </c>
      <c r="J199" s="35" t="s">
        <v>3203</v>
      </c>
      <c r="K199" t="str">
        <f t="shared" si="47"/>
        <v>856</v>
      </c>
      <c r="L199" s="36" t="s">
        <v>4308</v>
      </c>
      <c r="M199" s="35">
        <v>7629</v>
      </c>
      <c r="N199" s="36" t="s">
        <v>5269</v>
      </c>
      <c r="O199" s="35" t="s">
        <v>5342</v>
      </c>
      <c r="P199" s="35" t="s">
        <v>5343</v>
      </c>
    </row>
    <row r="200" spans="1:16" hidden="1">
      <c r="A200" s="35">
        <v>858</v>
      </c>
      <c r="B200" s="36" t="s">
        <v>1819</v>
      </c>
      <c r="C200" t="e">
        <f>VLOOKUP(A200,'TABELA SPOLINE'!A:J,10,FALSE)</f>
        <v>#N/A</v>
      </c>
      <c r="H200">
        <v>733</v>
      </c>
      <c r="I200">
        <v>3</v>
      </c>
      <c r="J200" s="35" t="s">
        <v>3204</v>
      </c>
      <c r="K200" t="str">
        <f t="shared" si="47"/>
        <v>858</v>
      </c>
      <c r="L200" s="36" t="s">
        <v>4302</v>
      </c>
      <c r="M200" s="35">
        <v>7629</v>
      </c>
      <c r="N200" s="36" t="s">
        <v>5269</v>
      </c>
      <c r="O200" s="35" t="s">
        <v>5342</v>
      </c>
      <c r="P200" s="35" t="s">
        <v>5343</v>
      </c>
    </row>
    <row r="201" spans="1:16" hidden="1">
      <c r="A201" s="35">
        <v>859</v>
      </c>
      <c r="B201" s="36" t="s">
        <v>1820</v>
      </c>
      <c r="C201" t="e">
        <f>VLOOKUP(A201,'TABELA SPOLINE'!A:J,10,FALSE)</f>
        <v>#N/A</v>
      </c>
      <c r="H201">
        <v>733</v>
      </c>
      <c r="I201">
        <v>3</v>
      </c>
      <c r="J201" s="35" t="s">
        <v>3205</v>
      </c>
      <c r="K201" t="str">
        <f t="shared" si="47"/>
        <v>859</v>
      </c>
      <c r="L201" s="36" t="s">
        <v>4302</v>
      </c>
      <c r="M201" s="35">
        <v>7629</v>
      </c>
      <c r="N201" s="36" t="s">
        <v>5269</v>
      </c>
      <c r="O201" s="35" t="s">
        <v>5342</v>
      </c>
      <c r="P201" s="35" t="s">
        <v>5343</v>
      </c>
    </row>
    <row r="202" spans="1:16" hidden="1">
      <c r="A202" s="35">
        <v>860</v>
      </c>
      <c r="B202" s="36" t="s">
        <v>1823</v>
      </c>
      <c r="C202" t="e">
        <f>VLOOKUP(A202,'TABELA SPOLINE'!A:J,10,FALSE)</f>
        <v>#N/A</v>
      </c>
      <c r="H202">
        <v>733</v>
      </c>
      <c r="I202">
        <v>6</v>
      </c>
      <c r="J202" s="35" t="s">
        <v>3208</v>
      </c>
      <c r="K202" t="str">
        <f t="shared" si="47"/>
        <v>860</v>
      </c>
      <c r="L202" s="36" t="s">
        <v>4302</v>
      </c>
      <c r="M202" s="35">
        <v>7629</v>
      </c>
      <c r="N202" s="36" t="s">
        <v>5269</v>
      </c>
      <c r="O202" s="35" t="s">
        <v>5342</v>
      </c>
      <c r="P202" s="35" t="s">
        <v>5343</v>
      </c>
    </row>
    <row r="203" spans="1:16" hidden="1">
      <c r="A203" s="35">
        <v>861</v>
      </c>
      <c r="B203" s="36" t="s">
        <v>1824</v>
      </c>
      <c r="C203" t="e">
        <f>VLOOKUP(A203,'TABELA SPOLINE'!A:J,10,FALSE)</f>
        <v>#N/A</v>
      </c>
      <c r="H203">
        <v>733</v>
      </c>
      <c r="I203">
        <v>6</v>
      </c>
      <c r="J203" s="35" t="s">
        <v>3209</v>
      </c>
      <c r="K203" t="str">
        <f t="shared" si="47"/>
        <v>861</v>
      </c>
      <c r="L203" s="36" t="s">
        <v>4303</v>
      </c>
      <c r="M203" s="35">
        <v>7629</v>
      </c>
      <c r="N203" s="36" t="s">
        <v>5269</v>
      </c>
      <c r="O203" s="35" t="s">
        <v>5342</v>
      </c>
      <c r="P203" s="35" t="s">
        <v>5343</v>
      </c>
    </row>
    <row r="204" spans="1:16" hidden="1">
      <c r="A204" s="35">
        <v>862</v>
      </c>
      <c r="B204" s="36" t="s">
        <v>1825</v>
      </c>
      <c r="C204" t="e">
        <f>VLOOKUP(A204,'TABELA SPOLINE'!A:J,10,FALSE)</f>
        <v>#N/A</v>
      </c>
      <c r="H204">
        <v>733</v>
      </c>
      <c r="I204">
        <v>6</v>
      </c>
      <c r="J204" s="35" t="s">
        <v>3210</v>
      </c>
      <c r="K204" t="str">
        <f t="shared" si="47"/>
        <v>862</v>
      </c>
      <c r="L204" s="36" t="s">
        <v>4302</v>
      </c>
      <c r="M204" s="35">
        <v>7629</v>
      </c>
      <c r="N204" s="36" t="s">
        <v>5269</v>
      </c>
      <c r="O204" s="35" t="s">
        <v>5342</v>
      </c>
      <c r="P204" s="35" t="s">
        <v>5343</v>
      </c>
    </row>
    <row r="205" spans="1:16" hidden="1">
      <c r="A205" s="35">
        <v>863</v>
      </c>
      <c r="B205" s="36" t="s">
        <v>1826</v>
      </c>
      <c r="C205" t="e">
        <f>VLOOKUP(A205,'TABELA SPOLINE'!A:J,10,FALSE)</f>
        <v>#N/A</v>
      </c>
      <c r="H205">
        <v>733</v>
      </c>
      <c r="I205">
        <v>6</v>
      </c>
      <c r="J205" s="35" t="s">
        <v>3211</v>
      </c>
      <c r="K205" t="str">
        <f t="shared" si="47"/>
        <v>863</v>
      </c>
      <c r="L205" s="36" t="s">
        <v>4309</v>
      </c>
      <c r="M205" s="35">
        <v>7629</v>
      </c>
      <c r="N205" s="36" t="s">
        <v>5269</v>
      </c>
      <c r="O205" s="35" t="s">
        <v>5446</v>
      </c>
      <c r="P205" s="35" t="s">
        <v>5447</v>
      </c>
    </row>
    <row r="206" spans="1:16">
      <c r="A206" s="35">
        <v>865</v>
      </c>
      <c r="B206" s="36" t="s">
        <v>1827</v>
      </c>
      <c r="C206">
        <f>VLOOKUP(A206,'TABELA SPOLINE'!A:J,10,FALSE)</f>
        <v>694.51200000000006</v>
      </c>
      <c r="D206">
        <f t="shared" ref="D206:D208" si="48">C206*0.1+C206</f>
        <v>763.96320000000003</v>
      </c>
      <c r="E206">
        <f t="shared" ref="E206:E208" si="49">ROUNDUP(D206,2)</f>
        <v>763.97</v>
      </c>
      <c r="F206">
        <f t="shared" ref="F206:F208" si="50">E206*0.0975+E206</f>
        <v>838.45707500000003</v>
      </c>
      <c r="G206">
        <f t="shared" ref="G206:G208" si="51">ROUNDUP(F206,2)</f>
        <v>838.46</v>
      </c>
      <c r="H206">
        <v>733</v>
      </c>
      <c r="I206">
        <v>6</v>
      </c>
      <c r="J206" s="35" t="s">
        <v>3212</v>
      </c>
      <c r="K206" t="str">
        <f t="shared" si="47"/>
        <v>865</v>
      </c>
      <c r="L206" s="36" t="s">
        <v>4310</v>
      </c>
      <c r="M206" s="35">
        <v>7629</v>
      </c>
      <c r="N206" s="36" t="s">
        <v>5269</v>
      </c>
      <c r="O206" s="35" t="s">
        <v>5448</v>
      </c>
      <c r="P206" s="35" t="s">
        <v>5449</v>
      </c>
    </row>
    <row r="207" spans="1:16">
      <c r="A207" s="35">
        <v>866</v>
      </c>
      <c r="B207" s="36" t="s">
        <v>1828</v>
      </c>
      <c r="C207">
        <f>VLOOKUP(A207,'TABELA SPOLINE'!A:J,10,FALSE)</f>
        <v>578.76</v>
      </c>
      <c r="D207">
        <f t="shared" si="48"/>
        <v>636.63599999999997</v>
      </c>
      <c r="E207">
        <f t="shared" si="49"/>
        <v>636.64</v>
      </c>
      <c r="F207">
        <f t="shared" si="50"/>
        <v>698.7124</v>
      </c>
      <c r="G207">
        <f t="shared" si="51"/>
        <v>698.72</v>
      </c>
      <c r="H207">
        <v>733</v>
      </c>
      <c r="I207">
        <v>6</v>
      </c>
      <c r="J207" s="35" t="s">
        <v>3213</v>
      </c>
      <c r="K207" t="str">
        <f t="shared" si="47"/>
        <v>866</v>
      </c>
      <c r="L207" s="36" t="s">
        <v>4311</v>
      </c>
      <c r="M207" s="35">
        <v>7629</v>
      </c>
      <c r="N207" s="36" t="s">
        <v>5269</v>
      </c>
      <c r="O207" s="35" t="s">
        <v>5448</v>
      </c>
      <c r="P207" s="35" t="s">
        <v>5449</v>
      </c>
    </row>
    <row r="208" spans="1:16">
      <c r="A208" s="35">
        <v>867</v>
      </c>
      <c r="B208" s="36" t="s">
        <v>1829</v>
      </c>
      <c r="C208">
        <f>VLOOKUP(A208,'TABELA SPOLINE'!A:J,10,FALSE)</f>
        <v>694.51200000000006</v>
      </c>
      <c r="D208">
        <f t="shared" si="48"/>
        <v>763.96320000000003</v>
      </c>
      <c r="E208">
        <f t="shared" si="49"/>
        <v>763.97</v>
      </c>
      <c r="F208">
        <f t="shared" si="50"/>
        <v>838.45707500000003</v>
      </c>
      <c r="G208">
        <f t="shared" si="51"/>
        <v>838.46</v>
      </c>
      <c r="H208">
        <v>733</v>
      </c>
      <c r="I208">
        <v>6</v>
      </c>
      <c r="J208" s="35" t="s">
        <v>3214</v>
      </c>
      <c r="K208" t="str">
        <f t="shared" si="47"/>
        <v>867</v>
      </c>
      <c r="L208" s="36" t="s">
        <v>4312</v>
      </c>
      <c r="M208" s="35">
        <v>7629</v>
      </c>
      <c r="N208" s="36" t="s">
        <v>5269</v>
      </c>
      <c r="O208" s="35" t="s">
        <v>5446</v>
      </c>
      <c r="P208" s="35" t="s">
        <v>5447</v>
      </c>
    </row>
    <row r="209" spans="1:16" hidden="1">
      <c r="A209" s="35">
        <v>868</v>
      </c>
      <c r="B209" s="36" t="s">
        <v>1830</v>
      </c>
      <c r="C209" t="e">
        <f>VLOOKUP(A209,'TABELA SPOLINE'!A:J,10,FALSE)</f>
        <v>#N/A</v>
      </c>
      <c r="H209">
        <v>733</v>
      </c>
      <c r="I209">
        <v>6</v>
      </c>
      <c r="J209" s="35" t="s">
        <v>3215</v>
      </c>
      <c r="K209" t="str">
        <f t="shared" si="47"/>
        <v>868</v>
      </c>
      <c r="L209" s="36" t="s">
        <v>4313</v>
      </c>
      <c r="M209" s="35">
        <v>7629</v>
      </c>
      <c r="N209" s="36" t="s">
        <v>5269</v>
      </c>
      <c r="O209" s="35" t="s">
        <v>5448</v>
      </c>
      <c r="P209" s="35" t="s">
        <v>5449</v>
      </c>
    </row>
    <row r="210" spans="1:16" hidden="1">
      <c r="A210" s="35">
        <v>870</v>
      </c>
      <c r="B210" s="36" t="s">
        <v>1831</v>
      </c>
      <c r="C210" t="e">
        <f>VLOOKUP(A210,'TABELA SPOLINE'!A:J,10,FALSE)</f>
        <v>#N/A</v>
      </c>
      <c r="H210">
        <v>733</v>
      </c>
      <c r="I210">
        <v>6</v>
      </c>
      <c r="J210" s="35" t="s">
        <v>3216</v>
      </c>
      <c r="K210" t="str">
        <f t="shared" si="47"/>
        <v>870</v>
      </c>
      <c r="L210" s="36" t="s">
        <v>4314</v>
      </c>
      <c r="M210" s="35">
        <v>7629</v>
      </c>
      <c r="N210" s="36" t="s">
        <v>5269</v>
      </c>
      <c r="O210" s="35" t="s">
        <v>5446</v>
      </c>
      <c r="P210" s="35" t="s">
        <v>5447</v>
      </c>
    </row>
    <row r="211" spans="1:16">
      <c r="A211" s="35">
        <v>871</v>
      </c>
      <c r="B211" s="36" t="s">
        <v>1832</v>
      </c>
      <c r="C211">
        <f>VLOOKUP(A211,'TABELA SPOLINE'!A:J,10,FALSE)</f>
        <v>578.76</v>
      </c>
      <c r="D211">
        <f t="shared" ref="D211:D212" si="52">C211*0.1+C211</f>
        <v>636.63599999999997</v>
      </c>
      <c r="E211">
        <f t="shared" ref="E211:E212" si="53">ROUNDUP(D211,2)</f>
        <v>636.64</v>
      </c>
      <c r="F211">
        <f t="shared" ref="F211:F212" si="54">E211*0.0975+E211</f>
        <v>698.7124</v>
      </c>
      <c r="G211">
        <f t="shared" ref="G211:G212" si="55">ROUNDUP(F211,2)</f>
        <v>698.72</v>
      </c>
      <c r="H211">
        <v>733</v>
      </c>
      <c r="I211">
        <v>6</v>
      </c>
      <c r="J211" s="35" t="s">
        <v>3217</v>
      </c>
      <c r="K211" t="str">
        <f t="shared" si="47"/>
        <v>871</v>
      </c>
      <c r="L211" s="36" t="s">
        <v>4315</v>
      </c>
      <c r="M211" s="35">
        <v>7629</v>
      </c>
      <c r="N211" s="36" t="s">
        <v>5269</v>
      </c>
      <c r="O211" s="35" t="s">
        <v>5446</v>
      </c>
      <c r="P211" s="35" t="s">
        <v>5447</v>
      </c>
    </row>
    <row r="212" spans="1:16">
      <c r="A212" s="35">
        <v>873</v>
      </c>
      <c r="B212" s="36" t="s">
        <v>1643</v>
      </c>
      <c r="C212">
        <f>VLOOKUP(A212,'TABELA SPOLINE'!A:J,10,FALSE)</f>
        <v>131.334</v>
      </c>
      <c r="D212">
        <f t="shared" si="52"/>
        <v>144.4674</v>
      </c>
      <c r="E212">
        <f t="shared" si="53"/>
        <v>144.47</v>
      </c>
      <c r="F212">
        <f t="shared" si="54"/>
        <v>158.555825</v>
      </c>
      <c r="G212">
        <f t="shared" si="55"/>
        <v>158.56</v>
      </c>
      <c r="H212">
        <v>735</v>
      </c>
      <c r="I212">
        <v>25</v>
      </c>
      <c r="J212" s="35" t="s">
        <v>3031</v>
      </c>
      <c r="K212" t="str">
        <f t="shared" si="47"/>
        <v>873</v>
      </c>
      <c r="L212" s="36" t="s">
        <v>4316</v>
      </c>
      <c r="M212" s="35">
        <v>7629</v>
      </c>
      <c r="N212" s="36" t="s">
        <v>5269</v>
      </c>
      <c r="O212" s="35" t="s">
        <v>5448</v>
      </c>
      <c r="P212" s="35" t="s">
        <v>5449</v>
      </c>
    </row>
    <row r="213" spans="1:16" hidden="1">
      <c r="A213" s="35">
        <v>876</v>
      </c>
      <c r="B213" s="36" t="s">
        <v>1647</v>
      </c>
      <c r="C213" t="e">
        <f>VLOOKUP(A213,'TABELA SPOLINE'!A:J,10,FALSE)</f>
        <v>#N/A</v>
      </c>
      <c r="H213">
        <v>735</v>
      </c>
      <c r="I213">
        <v>25</v>
      </c>
      <c r="J213" s="35" t="s">
        <v>3035</v>
      </c>
      <c r="K213" t="str">
        <f t="shared" si="47"/>
        <v>876</v>
      </c>
      <c r="L213" s="36" t="s">
        <v>4317</v>
      </c>
      <c r="M213" s="35">
        <v>7629</v>
      </c>
      <c r="N213" s="36" t="s">
        <v>5269</v>
      </c>
      <c r="O213" s="35" t="s">
        <v>5450</v>
      </c>
      <c r="P213" s="35" t="s">
        <v>5451</v>
      </c>
    </row>
    <row r="214" spans="1:16" hidden="1">
      <c r="A214" s="35">
        <v>877</v>
      </c>
      <c r="B214" s="36" t="s">
        <v>1644</v>
      </c>
      <c r="C214" t="e">
        <f>VLOOKUP(A214,'TABELA SPOLINE'!A:J,10,FALSE)</f>
        <v>#N/A</v>
      </c>
      <c r="H214">
        <v>735</v>
      </c>
      <c r="I214">
        <v>25</v>
      </c>
      <c r="J214" s="35" t="s">
        <v>3032</v>
      </c>
      <c r="K214" t="str">
        <f t="shared" si="47"/>
        <v>877</v>
      </c>
      <c r="L214" s="36" t="s">
        <v>4318</v>
      </c>
      <c r="M214" s="35">
        <v>7629</v>
      </c>
      <c r="N214" s="36" t="s">
        <v>5269</v>
      </c>
      <c r="O214" s="35" t="s">
        <v>5450</v>
      </c>
      <c r="P214" s="35" t="s">
        <v>5451</v>
      </c>
    </row>
    <row r="215" spans="1:16" hidden="1">
      <c r="A215" s="35">
        <v>878</v>
      </c>
      <c r="B215" s="36" t="s">
        <v>1648</v>
      </c>
      <c r="C215" t="e">
        <f>VLOOKUP(A215,'TABELA SPOLINE'!A:J,10,FALSE)</f>
        <v>#N/A</v>
      </c>
      <c r="H215">
        <v>735</v>
      </c>
      <c r="I215">
        <v>25</v>
      </c>
      <c r="J215" s="35" t="s">
        <v>3036</v>
      </c>
      <c r="K215" t="str">
        <f t="shared" si="47"/>
        <v>878</v>
      </c>
      <c r="L215" s="36" t="s">
        <v>4319</v>
      </c>
      <c r="M215" s="35">
        <v>7629</v>
      </c>
      <c r="N215" s="36" t="s">
        <v>5269</v>
      </c>
      <c r="O215" s="35" t="s">
        <v>5452</v>
      </c>
      <c r="P215" s="35" t="s">
        <v>5453</v>
      </c>
    </row>
    <row r="216" spans="1:16">
      <c r="A216" s="35">
        <v>879</v>
      </c>
      <c r="B216" s="36" t="s">
        <v>1645</v>
      </c>
      <c r="C216">
        <f>VLOOKUP(A216,'TABELA SPOLINE'!A:J,10,FALSE)</f>
        <v>131.334</v>
      </c>
      <c r="D216">
        <f>C216*0.1+C216</f>
        <v>144.4674</v>
      </c>
      <c r="E216">
        <f>ROUNDUP(D216,2)</f>
        <v>144.47</v>
      </c>
      <c r="F216">
        <f>E216*0.0975+E216</f>
        <v>158.555825</v>
      </c>
      <c r="G216">
        <f>ROUNDUP(F216,2)</f>
        <v>158.56</v>
      </c>
      <c r="H216">
        <v>735</v>
      </c>
      <c r="I216">
        <v>25</v>
      </c>
      <c r="J216" s="35" t="s">
        <v>3033</v>
      </c>
      <c r="K216" t="str">
        <f t="shared" si="47"/>
        <v>879</v>
      </c>
      <c r="L216" s="36" t="s">
        <v>4320</v>
      </c>
      <c r="M216" s="35">
        <v>7629</v>
      </c>
      <c r="N216" s="36" t="s">
        <v>5269</v>
      </c>
      <c r="O216" s="35" t="s">
        <v>5452</v>
      </c>
      <c r="P216" s="35" t="s">
        <v>5453</v>
      </c>
    </row>
    <row r="217" spans="1:16" hidden="1">
      <c r="A217" s="35">
        <v>880</v>
      </c>
      <c r="B217" s="36" t="s">
        <v>1649</v>
      </c>
      <c r="C217" t="e">
        <f>VLOOKUP(A217,'TABELA SPOLINE'!A:J,10,FALSE)</f>
        <v>#N/A</v>
      </c>
      <c r="H217">
        <v>735</v>
      </c>
      <c r="I217">
        <v>25</v>
      </c>
      <c r="J217" s="35" t="s">
        <v>3037</v>
      </c>
      <c r="K217" t="str">
        <f t="shared" si="47"/>
        <v>880</v>
      </c>
      <c r="L217" s="36" t="s">
        <v>4321</v>
      </c>
      <c r="M217" s="35">
        <v>7629</v>
      </c>
      <c r="N217" s="36" t="s">
        <v>5269</v>
      </c>
      <c r="O217" s="35" t="s">
        <v>5450</v>
      </c>
      <c r="P217" s="35" t="s">
        <v>5451</v>
      </c>
    </row>
    <row r="218" spans="1:16">
      <c r="A218" s="35">
        <v>882</v>
      </c>
      <c r="B218" s="36" t="s">
        <v>1652</v>
      </c>
      <c r="C218">
        <f>VLOOKUP(A218,'TABELA SPOLINE'!A:J,10,FALSE)</f>
        <v>171.40199999999999</v>
      </c>
      <c r="D218">
        <f>C218*0.1+C218</f>
        <v>188.54219999999998</v>
      </c>
      <c r="E218">
        <f>ROUNDUP(D218,2)</f>
        <v>188.54999999999998</v>
      </c>
      <c r="F218">
        <f>E218*0.0975+E218</f>
        <v>206.93362499999998</v>
      </c>
      <c r="G218">
        <f>ROUNDUP(F218,2)</f>
        <v>206.94</v>
      </c>
      <c r="H218">
        <v>735</v>
      </c>
      <c r="I218">
        <v>35</v>
      </c>
      <c r="J218" s="35" t="s">
        <v>3040</v>
      </c>
      <c r="K218" t="str">
        <f t="shared" si="47"/>
        <v>882</v>
      </c>
      <c r="L218" s="36" t="s">
        <v>4322</v>
      </c>
      <c r="M218" s="35">
        <v>7629</v>
      </c>
      <c r="N218" s="36" t="s">
        <v>5269</v>
      </c>
      <c r="O218" s="35" t="s">
        <v>5452</v>
      </c>
      <c r="P218" s="35" t="s">
        <v>5453</v>
      </c>
    </row>
    <row r="219" spans="1:16" hidden="1">
      <c r="A219" s="35">
        <v>883</v>
      </c>
      <c r="B219" s="36" t="s">
        <v>1656</v>
      </c>
      <c r="C219" t="e">
        <f>VLOOKUP(A219,'TABELA SPOLINE'!A:J,10,FALSE)</f>
        <v>#N/A</v>
      </c>
      <c r="H219">
        <v>735</v>
      </c>
      <c r="I219">
        <v>35</v>
      </c>
      <c r="J219" s="35" t="s">
        <v>3044</v>
      </c>
      <c r="K219" t="str">
        <f t="shared" si="47"/>
        <v>883</v>
      </c>
      <c r="L219" s="36" t="s">
        <v>4323</v>
      </c>
      <c r="M219" s="35">
        <v>7629</v>
      </c>
      <c r="N219" s="36" t="s">
        <v>5269</v>
      </c>
      <c r="O219" s="35" t="s">
        <v>5450</v>
      </c>
      <c r="P219" s="35" t="s">
        <v>5451</v>
      </c>
    </row>
    <row r="220" spans="1:16" hidden="1">
      <c r="A220" s="35">
        <v>884</v>
      </c>
      <c r="B220" s="36" t="s">
        <v>1653</v>
      </c>
      <c r="C220" t="e">
        <f>VLOOKUP(A220,'TABELA SPOLINE'!A:J,10,FALSE)</f>
        <v>#N/A</v>
      </c>
      <c r="H220">
        <v>735</v>
      </c>
      <c r="I220">
        <v>35</v>
      </c>
      <c r="J220" s="35" t="s">
        <v>3041</v>
      </c>
      <c r="K220" t="str">
        <f t="shared" si="47"/>
        <v>884</v>
      </c>
      <c r="L220" s="36" t="s">
        <v>4324</v>
      </c>
      <c r="M220" s="35">
        <v>7629</v>
      </c>
      <c r="N220" s="36" t="s">
        <v>5269</v>
      </c>
      <c r="O220" s="35" t="s">
        <v>5452</v>
      </c>
      <c r="P220" s="35" t="s">
        <v>5453</v>
      </c>
    </row>
    <row r="221" spans="1:16" hidden="1">
      <c r="A221" s="35">
        <v>885</v>
      </c>
      <c r="B221" s="36" t="s">
        <v>1657</v>
      </c>
      <c r="C221" t="e">
        <f>VLOOKUP(A221,'TABELA SPOLINE'!A:J,10,FALSE)</f>
        <v>#N/A</v>
      </c>
      <c r="H221">
        <v>735</v>
      </c>
      <c r="I221">
        <v>35</v>
      </c>
      <c r="J221" s="35" t="s">
        <v>3045</v>
      </c>
      <c r="K221" t="str">
        <f t="shared" si="47"/>
        <v>885</v>
      </c>
      <c r="L221" s="36" t="s">
        <v>4325</v>
      </c>
      <c r="M221" s="35">
        <v>7629</v>
      </c>
      <c r="N221" s="36" t="s">
        <v>5269</v>
      </c>
      <c r="O221" s="35" t="s">
        <v>5452</v>
      </c>
      <c r="P221" s="35" t="s">
        <v>5453</v>
      </c>
    </row>
    <row r="222" spans="1:16" hidden="1">
      <c r="A222" s="35">
        <v>889</v>
      </c>
      <c r="B222" s="36" t="s">
        <v>1654</v>
      </c>
      <c r="C222" t="e">
        <f>VLOOKUP(A222,'TABELA SPOLINE'!A:J,10,FALSE)</f>
        <v>#N/A</v>
      </c>
      <c r="H222">
        <v>735</v>
      </c>
      <c r="I222">
        <v>35</v>
      </c>
      <c r="J222" s="35" t="s">
        <v>3042</v>
      </c>
      <c r="K222" t="str">
        <f t="shared" si="47"/>
        <v>889</v>
      </c>
      <c r="L222" s="36" t="s">
        <v>4326</v>
      </c>
      <c r="M222" s="35">
        <v>7629</v>
      </c>
      <c r="N222" s="36" t="s">
        <v>5269</v>
      </c>
      <c r="O222" s="35" t="s">
        <v>5452</v>
      </c>
      <c r="P222" s="35" t="s">
        <v>5453</v>
      </c>
    </row>
    <row r="223" spans="1:16" hidden="1">
      <c r="A223" s="35">
        <v>890</v>
      </c>
      <c r="B223" s="36" t="s">
        <v>1658</v>
      </c>
      <c r="C223" t="e">
        <f>VLOOKUP(A223,'TABELA SPOLINE'!A:J,10,FALSE)</f>
        <v>#N/A</v>
      </c>
      <c r="H223">
        <v>735</v>
      </c>
      <c r="I223">
        <v>35</v>
      </c>
      <c r="J223" s="35" t="s">
        <v>3046</v>
      </c>
      <c r="K223" t="str">
        <f t="shared" si="47"/>
        <v>890</v>
      </c>
      <c r="L223" s="36" t="s">
        <v>4327</v>
      </c>
      <c r="M223" s="35">
        <v>7629</v>
      </c>
      <c r="N223" s="36" t="s">
        <v>5269</v>
      </c>
      <c r="O223" s="35" t="s">
        <v>5454</v>
      </c>
      <c r="P223" s="35" t="s">
        <v>5455</v>
      </c>
    </row>
    <row r="224" spans="1:16">
      <c r="A224" s="35">
        <v>891</v>
      </c>
      <c r="B224" s="36" t="s">
        <v>1655</v>
      </c>
      <c r="C224">
        <f>VLOOKUP(A224,'TABELA SPOLINE'!A:J,10,FALSE)</f>
        <v>171.40199999999999</v>
      </c>
      <c r="D224">
        <f>C224*0.1+C224</f>
        <v>188.54219999999998</v>
      </c>
      <c r="E224">
        <f>ROUNDUP(D224,2)</f>
        <v>188.54999999999998</v>
      </c>
      <c r="F224">
        <f>E224*0.0975+E224</f>
        <v>206.93362499999998</v>
      </c>
      <c r="G224">
        <f>ROUNDUP(F224,2)</f>
        <v>206.94</v>
      </c>
      <c r="H224">
        <v>735</v>
      </c>
      <c r="I224">
        <v>35</v>
      </c>
      <c r="J224" s="35" t="s">
        <v>3043</v>
      </c>
      <c r="K224" t="str">
        <f t="shared" si="47"/>
        <v>891</v>
      </c>
      <c r="L224" s="36" t="s">
        <v>4328</v>
      </c>
      <c r="M224" s="35">
        <v>7629</v>
      </c>
      <c r="N224" s="36" t="s">
        <v>5269</v>
      </c>
      <c r="O224" s="35" t="s">
        <v>5456</v>
      </c>
      <c r="P224" s="35" t="s">
        <v>5457</v>
      </c>
    </row>
    <row r="225" spans="1:16" hidden="1">
      <c r="A225" s="35">
        <v>892</v>
      </c>
      <c r="B225" s="36" t="s">
        <v>1660</v>
      </c>
      <c r="C225" t="e">
        <f>VLOOKUP(A225,'TABELA SPOLINE'!A:J,10,FALSE)</f>
        <v>#N/A</v>
      </c>
      <c r="H225">
        <v>735</v>
      </c>
      <c r="I225">
        <v>35</v>
      </c>
      <c r="J225" s="35" t="s">
        <v>3048</v>
      </c>
      <c r="K225" t="str">
        <f t="shared" si="47"/>
        <v>892</v>
      </c>
      <c r="L225" s="36" t="s">
        <v>4329</v>
      </c>
      <c r="M225" s="35">
        <v>7629</v>
      </c>
      <c r="N225" s="36" t="s">
        <v>5269</v>
      </c>
      <c r="O225" s="35" t="s">
        <v>5454</v>
      </c>
      <c r="P225" s="35" t="s">
        <v>5455</v>
      </c>
    </row>
    <row r="226" spans="1:16">
      <c r="A226" s="35">
        <v>894</v>
      </c>
      <c r="B226" s="36" t="s">
        <v>1661</v>
      </c>
      <c r="C226">
        <f>VLOOKUP(A226,'TABELA SPOLINE'!A:J,10,FALSE)</f>
        <v>389.55</v>
      </c>
      <c r="D226">
        <f>C226*0.1+C226</f>
        <v>428.505</v>
      </c>
      <c r="E226">
        <f>ROUNDUP(D226,2)</f>
        <v>428.51</v>
      </c>
      <c r="F226">
        <f>E226*0.0975+E226</f>
        <v>470.28972499999998</v>
      </c>
      <c r="G226">
        <f>ROUNDUP(F226,2)</f>
        <v>470.28999999999996</v>
      </c>
      <c r="H226">
        <v>735</v>
      </c>
      <c r="I226">
        <v>50</v>
      </c>
      <c r="J226" s="35" t="s">
        <v>3049</v>
      </c>
      <c r="K226" t="str">
        <f t="shared" si="47"/>
        <v>894</v>
      </c>
      <c r="L226" s="36" t="s">
        <v>4330</v>
      </c>
      <c r="M226" s="35">
        <v>7629</v>
      </c>
      <c r="N226" s="36" t="s">
        <v>5269</v>
      </c>
      <c r="O226" s="35" t="s">
        <v>5456</v>
      </c>
      <c r="P226" s="35" t="s">
        <v>5457</v>
      </c>
    </row>
    <row r="227" spans="1:16" hidden="1">
      <c r="A227" s="35">
        <v>895</v>
      </c>
      <c r="B227" s="36" t="s">
        <v>1666</v>
      </c>
      <c r="C227" t="e">
        <f>VLOOKUP(A227,'TABELA SPOLINE'!A:J,10,FALSE)</f>
        <v>#N/A</v>
      </c>
      <c r="H227">
        <v>735</v>
      </c>
      <c r="I227">
        <v>50</v>
      </c>
      <c r="J227" s="35" t="s">
        <v>3054</v>
      </c>
      <c r="K227" t="str">
        <f t="shared" si="47"/>
        <v>895</v>
      </c>
      <c r="L227" s="36" t="s">
        <v>4331</v>
      </c>
      <c r="M227" s="35">
        <v>7629</v>
      </c>
      <c r="N227" s="36" t="s">
        <v>5269</v>
      </c>
      <c r="O227" s="35" t="s">
        <v>5458</v>
      </c>
      <c r="P227" s="35" t="s">
        <v>5459</v>
      </c>
    </row>
    <row r="228" spans="1:16" hidden="1">
      <c r="A228" s="35">
        <v>896</v>
      </c>
      <c r="B228" s="36" t="s">
        <v>1667</v>
      </c>
      <c r="C228" t="e">
        <f>VLOOKUP(A228,'TABELA SPOLINE'!A:J,10,FALSE)</f>
        <v>#N/A</v>
      </c>
      <c r="H228">
        <v>735</v>
      </c>
      <c r="I228">
        <v>50</v>
      </c>
      <c r="J228" s="35" t="s">
        <v>3055</v>
      </c>
      <c r="K228" t="str">
        <f t="shared" si="47"/>
        <v>896</v>
      </c>
      <c r="L228" s="36" t="s">
        <v>4332</v>
      </c>
      <c r="M228" s="35">
        <v>7629</v>
      </c>
      <c r="N228" s="36" t="s">
        <v>5269</v>
      </c>
      <c r="O228" s="35" t="s">
        <v>5460</v>
      </c>
      <c r="P228" s="35" t="s">
        <v>5461</v>
      </c>
    </row>
    <row r="229" spans="1:16" hidden="1">
      <c r="A229" s="35">
        <v>899</v>
      </c>
      <c r="B229" s="36" t="s">
        <v>1662</v>
      </c>
      <c r="C229" t="e">
        <f>VLOOKUP(A229,'TABELA SPOLINE'!A:J,10,FALSE)</f>
        <v>#N/A</v>
      </c>
      <c r="H229">
        <v>735</v>
      </c>
      <c r="I229">
        <v>50</v>
      </c>
      <c r="J229" s="35" t="s">
        <v>3050</v>
      </c>
      <c r="K229" t="str">
        <f t="shared" si="47"/>
        <v>899</v>
      </c>
      <c r="L229" s="36" t="s">
        <v>4333</v>
      </c>
      <c r="M229" s="35">
        <v>7629</v>
      </c>
      <c r="N229" s="36" t="s">
        <v>5269</v>
      </c>
      <c r="O229" s="35" t="s">
        <v>5458</v>
      </c>
      <c r="P229" s="35" t="s">
        <v>5459</v>
      </c>
    </row>
    <row r="230" spans="1:16" hidden="1">
      <c r="A230" s="35">
        <v>900</v>
      </c>
      <c r="B230" s="36" t="s">
        <v>1668</v>
      </c>
      <c r="C230" t="e">
        <f>VLOOKUP(A230,'TABELA SPOLINE'!A:J,10,FALSE)</f>
        <v>#N/A</v>
      </c>
      <c r="H230">
        <v>735</v>
      </c>
      <c r="I230">
        <v>50</v>
      </c>
      <c r="J230" s="35" t="s">
        <v>3056</v>
      </c>
      <c r="K230" t="str">
        <f t="shared" si="47"/>
        <v>900</v>
      </c>
      <c r="L230" s="36" t="s">
        <v>4334</v>
      </c>
      <c r="M230" s="35">
        <v>7629</v>
      </c>
      <c r="N230" s="36" t="s">
        <v>5269</v>
      </c>
      <c r="O230" s="35" t="s">
        <v>5456</v>
      </c>
      <c r="P230" s="35" t="s">
        <v>5457</v>
      </c>
    </row>
    <row r="231" spans="1:16">
      <c r="A231" s="35">
        <v>901</v>
      </c>
      <c r="B231" s="36" t="s">
        <v>1663</v>
      </c>
      <c r="C231">
        <f>VLOOKUP(A231,'TABELA SPOLINE'!A:J,10,FALSE)</f>
        <v>389.55</v>
      </c>
      <c r="D231">
        <f>C231*0.1+C231</f>
        <v>428.505</v>
      </c>
      <c r="E231">
        <f>ROUNDUP(D231,2)</f>
        <v>428.51</v>
      </c>
      <c r="F231">
        <f>E231*0.0975+E231</f>
        <v>470.28972499999998</v>
      </c>
      <c r="G231">
        <f>ROUNDUP(F231,2)</f>
        <v>470.28999999999996</v>
      </c>
      <c r="H231">
        <v>735</v>
      </c>
      <c r="I231">
        <v>50</v>
      </c>
      <c r="J231" s="35" t="s">
        <v>3051</v>
      </c>
      <c r="K231" t="str">
        <f t="shared" si="47"/>
        <v>901</v>
      </c>
      <c r="L231" s="36" t="s">
        <v>4335</v>
      </c>
      <c r="M231" s="35">
        <v>7629</v>
      </c>
      <c r="N231" s="36" t="s">
        <v>5269</v>
      </c>
      <c r="O231" s="35" t="s">
        <v>5456</v>
      </c>
      <c r="P231" s="35" t="s">
        <v>5457</v>
      </c>
    </row>
    <row r="232" spans="1:16" hidden="1">
      <c r="A232" s="35">
        <v>902</v>
      </c>
      <c r="B232" s="36" t="s">
        <v>1669</v>
      </c>
      <c r="C232" t="e">
        <f>VLOOKUP(A232,'TABELA SPOLINE'!A:J,10,FALSE)</f>
        <v>#N/A</v>
      </c>
      <c r="H232">
        <v>735</v>
      </c>
      <c r="I232">
        <v>50</v>
      </c>
      <c r="J232" s="35" t="s">
        <v>3057</v>
      </c>
      <c r="K232" t="str">
        <f t="shared" si="47"/>
        <v>902</v>
      </c>
      <c r="L232" s="36" t="s">
        <v>4336</v>
      </c>
      <c r="M232" s="35">
        <v>7629</v>
      </c>
      <c r="N232" s="36" t="s">
        <v>5269</v>
      </c>
      <c r="O232" s="35" t="s">
        <v>5460</v>
      </c>
      <c r="P232" s="35" t="s">
        <v>5461</v>
      </c>
    </row>
    <row r="233" spans="1:16" hidden="1">
      <c r="A233" s="35">
        <v>903</v>
      </c>
      <c r="B233" s="36" t="s">
        <v>1833</v>
      </c>
      <c r="C233" t="e">
        <f>VLOOKUP(A233,'TABELA SPOLINE'!A:J,10,FALSE)</f>
        <v>#N/A</v>
      </c>
      <c r="H233">
        <v>736</v>
      </c>
      <c r="I233">
        <v>35</v>
      </c>
      <c r="J233" s="35" t="s">
        <v>3218</v>
      </c>
      <c r="K233" t="str">
        <f t="shared" si="47"/>
        <v>903</v>
      </c>
      <c r="L233" s="36" t="s">
        <v>4337</v>
      </c>
      <c r="M233" s="35">
        <v>7629</v>
      </c>
      <c r="N233" s="36" t="s">
        <v>5269</v>
      </c>
      <c r="O233" s="35" t="s">
        <v>5462</v>
      </c>
      <c r="P233" s="35" t="s">
        <v>5463</v>
      </c>
    </row>
    <row r="234" spans="1:16" hidden="1">
      <c r="A234" s="35">
        <v>904</v>
      </c>
      <c r="B234" s="36" t="s">
        <v>1837</v>
      </c>
      <c r="C234" t="e">
        <f>VLOOKUP(A234,'TABELA SPOLINE'!A:J,10,FALSE)</f>
        <v>#N/A</v>
      </c>
      <c r="H234">
        <v>736</v>
      </c>
      <c r="I234">
        <v>35</v>
      </c>
      <c r="J234" s="35" t="s">
        <v>3222</v>
      </c>
      <c r="K234" t="str">
        <f t="shared" si="47"/>
        <v>904</v>
      </c>
      <c r="L234" s="36" t="s">
        <v>4338</v>
      </c>
      <c r="M234" s="35">
        <v>7629</v>
      </c>
      <c r="N234" s="36" t="s">
        <v>5269</v>
      </c>
      <c r="O234" s="35" t="s">
        <v>5464</v>
      </c>
      <c r="P234" s="35" t="s">
        <v>5465</v>
      </c>
    </row>
    <row r="235" spans="1:16" hidden="1">
      <c r="A235" s="35">
        <v>905</v>
      </c>
      <c r="B235" s="36" t="s">
        <v>1834</v>
      </c>
      <c r="C235" t="e">
        <f>VLOOKUP(A235,'TABELA SPOLINE'!A:J,10,FALSE)</f>
        <v>#N/A</v>
      </c>
      <c r="H235">
        <v>736</v>
      </c>
      <c r="I235">
        <v>35</v>
      </c>
      <c r="J235" s="35" t="s">
        <v>3219</v>
      </c>
      <c r="K235" t="str">
        <f t="shared" si="47"/>
        <v>905</v>
      </c>
      <c r="L235" s="36" t="s">
        <v>4339</v>
      </c>
      <c r="M235" s="35">
        <v>7629</v>
      </c>
      <c r="N235" s="36" t="s">
        <v>5269</v>
      </c>
      <c r="O235" s="35" t="s">
        <v>5464</v>
      </c>
      <c r="P235" s="35" t="s">
        <v>5465</v>
      </c>
    </row>
    <row r="236" spans="1:16" hidden="1">
      <c r="A236" s="35">
        <v>906</v>
      </c>
      <c r="B236" s="36" t="s">
        <v>1838</v>
      </c>
      <c r="C236" t="e">
        <f>VLOOKUP(A236,'TABELA SPOLINE'!A:J,10,FALSE)</f>
        <v>#N/A</v>
      </c>
      <c r="H236">
        <v>736</v>
      </c>
      <c r="I236">
        <v>35</v>
      </c>
      <c r="J236" s="35" t="s">
        <v>3223</v>
      </c>
      <c r="K236" t="str">
        <f t="shared" si="47"/>
        <v>906</v>
      </c>
      <c r="L236" s="36" t="s">
        <v>4340</v>
      </c>
      <c r="M236" s="35">
        <v>7629</v>
      </c>
      <c r="N236" s="36" t="s">
        <v>5269</v>
      </c>
      <c r="O236" s="35" t="s">
        <v>5462</v>
      </c>
      <c r="P236" s="35" t="s">
        <v>5463</v>
      </c>
    </row>
    <row r="237" spans="1:16" hidden="1">
      <c r="A237" s="35">
        <v>907</v>
      </c>
      <c r="B237" s="36" t="s">
        <v>1839</v>
      </c>
      <c r="C237" t="e">
        <f>VLOOKUP(A237,'TABELA SPOLINE'!A:J,10,FALSE)</f>
        <v>#N/A</v>
      </c>
      <c r="H237">
        <v>736</v>
      </c>
      <c r="I237">
        <v>35</v>
      </c>
      <c r="J237" s="35" t="s">
        <v>3224</v>
      </c>
      <c r="K237" t="str">
        <f t="shared" si="47"/>
        <v>907</v>
      </c>
      <c r="L237" s="36" t="s">
        <v>4341</v>
      </c>
      <c r="M237" s="35">
        <v>7629</v>
      </c>
      <c r="N237" s="36" t="s">
        <v>5269</v>
      </c>
      <c r="O237" s="35" t="s">
        <v>5462</v>
      </c>
      <c r="P237" s="35" t="s">
        <v>5463</v>
      </c>
    </row>
    <row r="238" spans="1:16" hidden="1">
      <c r="A238" s="35">
        <v>908</v>
      </c>
      <c r="B238" s="36" t="s">
        <v>1836</v>
      </c>
      <c r="C238" t="e">
        <f>VLOOKUP(A238,'TABELA SPOLINE'!A:J,10,FALSE)</f>
        <v>#N/A</v>
      </c>
      <c r="H238">
        <v>736</v>
      </c>
      <c r="I238">
        <v>35</v>
      </c>
      <c r="J238" s="35" t="s">
        <v>3221</v>
      </c>
      <c r="K238" t="str">
        <f t="shared" si="47"/>
        <v>908</v>
      </c>
      <c r="L238" s="36" t="s">
        <v>4342</v>
      </c>
      <c r="M238" s="35">
        <v>7629</v>
      </c>
      <c r="N238" s="36" t="s">
        <v>5269</v>
      </c>
      <c r="O238" s="35" t="s">
        <v>5464</v>
      </c>
      <c r="P238" s="35" t="s">
        <v>5465</v>
      </c>
    </row>
    <row r="239" spans="1:16" hidden="1">
      <c r="A239" s="35">
        <v>909</v>
      </c>
      <c r="B239" s="36" t="s">
        <v>1840</v>
      </c>
      <c r="C239" t="e">
        <f>VLOOKUP(A239,'TABELA SPOLINE'!A:J,10,FALSE)</f>
        <v>#N/A</v>
      </c>
      <c r="H239">
        <v>736</v>
      </c>
      <c r="I239">
        <v>35</v>
      </c>
      <c r="J239" s="35" t="s">
        <v>3225</v>
      </c>
      <c r="K239" t="str">
        <f t="shared" si="47"/>
        <v>909</v>
      </c>
      <c r="L239" s="36" t="s">
        <v>4343</v>
      </c>
      <c r="M239" s="35">
        <v>7629</v>
      </c>
      <c r="N239" s="36" t="s">
        <v>5269</v>
      </c>
      <c r="O239" s="35" t="s">
        <v>5464</v>
      </c>
      <c r="P239" s="35" t="s">
        <v>5465</v>
      </c>
    </row>
    <row r="240" spans="1:16" hidden="1">
      <c r="A240" s="35">
        <v>911</v>
      </c>
      <c r="B240" s="36" t="s">
        <v>1841</v>
      </c>
      <c r="C240" t="e">
        <f>VLOOKUP(A240,'TABELA SPOLINE'!A:J,10,FALSE)</f>
        <v>#N/A</v>
      </c>
      <c r="H240">
        <v>736</v>
      </c>
      <c r="I240">
        <v>50</v>
      </c>
      <c r="J240" s="35" t="s">
        <v>3226</v>
      </c>
      <c r="K240" t="str">
        <f t="shared" si="47"/>
        <v>911</v>
      </c>
      <c r="L240" s="36" t="s">
        <v>4344</v>
      </c>
      <c r="M240" s="35">
        <v>7629</v>
      </c>
      <c r="N240" s="36" t="s">
        <v>5269</v>
      </c>
      <c r="O240" s="35" t="s">
        <v>5462</v>
      </c>
      <c r="P240" s="35" t="s">
        <v>5463</v>
      </c>
    </row>
    <row r="241" spans="1:16" hidden="1">
      <c r="A241" s="35">
        <v>912</v>
      </c>
      <c r="B241" s="36" t="s">
        <v>1845</v>
      </c>
      <c r="C241" t="e">
        <f>VLOOKUP(A241,'TABELA SPOLINE'!A:J,10,FALSE)</f>
        <v>#N/A</v>
      </c>
      <c r="H241">
        <v>736</v>
      </c>
      <c r="I241">
        <v>50</v>
      </c>
      <c r="J241" s="35" t="s">
        <v>3230</v>
      </c>
      <c r="K241" t="str">
        <f t="shared" si="47"/>
        <v>912</v>
      </c>
      <c r="L241" s="36" t="s">
        <v>4345</v>
      </c>
      <c r="M241" s="35">
        <v>7629</v>
      </c>
      <c r="N241" s="36" t="s">
        <v>5269</v>
      </c>
      <c r="O241" s="35" t="s">
        <v>5466</v>
      </c>
      <c r="P241" s="35" t="s">
        <v>5467</v>
      </c>
    </row>
    <row r="242" spans="1:16" hidden="1">
      <c r="A242" s="35">
        <v>913</v>
      </c>
      <c r="B242" s="36" t="s">
        <v>1842</v>
      </c>
      <c r="C242" t="e">
        <f>VLOOKUP(A242,'TABELA SPOLINE'!A:J,10,FALSE)</f>
        <v>#N/A</v>
      </c>
      <c r="H242">
        <v>736</v>
      </c>
      <c r="I242">
        <v>50</v>
      </c>
      <c r="J242" s="35" t="s">
        <v>3227</v>
      </c>
      <c r="K242" t="str">
        <f t="shared" si="47"/>
        <v>913</v>
      </c>
      <c r="L242" s="36" t="s">
        <v>4346</v>
      </c>
      <c r="M242" s="35">
        <v>7629</v>
      </c>
      <c r="N242" s="36" t="s">
        <v>5269</v>
      </c>
      <c r="O242" s="35" t="s">
        <v>5468</v>
      </c>
      <c r="P242" s="35" t="s">
        <v>5469</v>
      </c>
    </row>
    <row r="243" spans="1:16" hidden="1">
      <c r="A243" s="35">
        <v>914</v>
      </c>
      <c r="B243" s="36" t="s">
        <v>1846</v>
      </c>
      <c r="C243" t="e">
        <f>VLOOKUP(A243,'TABELA SPOLINE'!A:J,10,FALSE)</f>
        <v>#N/A</v>
      </c>
      <c r="H243">
        <v>736</v>
      </c>
      <c r="I243">
        <v>50</v>
      </c>
      <c r="J243" s="35" t="s">
        <v>3231</v>
      </c>
      <c r="K243" t="str">
        <f t="shared" si="47"/>
        <v>914</v>
      </c>
      <c r="L243" s="36" t="s">
        <v>4347</v>
      </c>
      <c r="M243" s="35">
        <v>7629</v>
      </c>
      <c r="N243" s="36" t="s">
        <v>5269</v>
      </c>
      <c r="O243" s="35" t="s">
        <v>5468</v>
      </c>
      <c r="P243" s="35" t="s">
        <v>5469</v>
      </c>
    </row>
    <row r="244" spans="1:16" hidden="1">
      <c r="A244" s="35">
        <v>915</v>
      </c>
      <c r="B244" s="36" t="s">
        <v>1847</v>
      </c>
      <c r="C244" t="e">
        <f>VLOOKUP(A244,'TABELA SPOLINE'!A:J,10,FALSE)</f>
        <v>#N/A</v>
      </c>
      <c r="H244">
        <v>736</v>
      </c>
      <c r="I244">
        <v>50</v>
      </c>
      <c r="J244" s="35" t="s">
        <v>3232</v>
      </c>
      <c r="K244" t="str">
        <f t="shared" si="47"/>
        <v>915</v>
      </c>
      <c r="L244" s="36" t="s">
        <v>4348</v>
      </c>
      <c r="M244" s="35">
        <v>7629</v>
      </c>
      <c r="N244" s="36" t="s">
        <v>5269</v>
      </c>
      <c r="O244" s="35" t="s">
        <v>5466</v>
      </c>
      <c r="P244" s="35" t="s">
        <v>5467</v>
      </c>
    </row>
    <row r="245" spans="1:16" hidden="1">
      <c r="A245" s="35">
        <v>916</v>
      </c>
      <c r="B245" s="36" t="s">
        <v>1844</v>
      </c>
      <c r="C245" t="e">
        <f>VLOOKUP(A245,'TABELA SPOLINE'!A:J,10,FALSE)</f>
        <v>#N/A</v>
      </c>
      <c r="H245">
        <v>736</v>
      </c>
      <c r="I245">
        <v>50</v>
      </c>
      <c r="J245" s="35" t="s">
        <v>3229</v>
      </c>
      <c r="K245" t="str">
        <f t="shared" si="47"/>
        <v>916</v>
      </c>
      <c r="L245" s="36" t="s">
        <v>4349</v>
      </c>
      <c r="M245" s="35">
        <v>7629</v>
      </c>
      <c r="N245" s="36" t="s">
        <v>5269</v>
      </c>
      <c r="O245" s="35" t="s">
        <v>5466</v>
      </c>
      <c r="P245" s="35" t="s">
        <v>5467</v>
      </c>
    </row>
    <row r="246" spans="1:16" hidden="1">
      <c r="A246" s="35">
        <v>917</v>
      </c>
      <c r="B246" s="36" t="s">
        <v>1848</v>
      </c>
      <c r="C246" t="e">
        <f>VLOOKUP(A246,'TABELA SPOLINE'!A:J,10,FALSE)</f>
        <v>#N/A</v>
      </c>
      <c r="H246">
        <v>736</v>
      </c>
      <c r="I246">
        <v>50</v>
      </c>
      <c r="J246" s="35" t="s">
        <v>3233</v>
      </c>
      <c r="K246" t="str">
        <f t="shared" si="47"/>
        <v>917</v>
      </c>
      <c r="L246" s="36" t="s">
        <v>4350</v>
      </c>
      <c r="M246" s="35">
        <v>7629</v>
      </c>
      <c r="N246" s="36" t="s">
        <v>5269</v>
      </c>
      <c r="O246" s="35" t="s">
        <v>5468</v>
      </c>
      <c r="P246" s="35" t="s">
        <v>5469</v>
      </c>
    </row>
    <row r="247" spans="1:16" hidden="1">
      <c r="A247" s="35">
        <v>928</v>
      </c>
      <c r="B247" s="36" t="s">
        <v>1849</v>
      </c>
      <c r="C247" t="e">
        <f>VLOOKUP(A247,'TABELA SPOLINE'!A:J,10,FALSE)</f>
        <v>#N/A</v>
      </c>
      <c r="H247">
        <v>743</v>
      </c>
      <c r="I247">
        <v>6</v>
      </c>
      <c r="J247" s="35" t="s">
        <v>3234</v>
      </c>
      <c r="K247" t="str">
        <f t="shared" si="47"/>
        <v>928</v>
      </c>
      <c r="L247" s="36" t="s">
        <v>4351</v>
      </c>
      <c r="M247" s="35">
        <v>7629</v>
      </c>
      <c r="N247" s="36" t="s">
        <v>5269</v>
      </c>
      <c r="O247" s="35" t="s">
        <v>5468</v>
      </c>
      <c r="P247" s="35" t="s">
        <v>5469</v>
      </c>
    </row>
    <row r="248" spans="1:16" hidden="1">
      <c r="A248" s="35">
        <v>930</v>
      </c>
      <c r="B248" s="36" t="s">
        <v>1850</v>
      </c>
      <c r="C248" t="e">
        <f>VLOOKUP(A248,'TABELA SPOLINE'!A:J,10,FALSE)</f>
        <v>#N/A</v>
      </c>
      <c r="H248">
        <v>743</v>
      </c>
      <c r="I248">
        <v>6</v>
      </c>
      <c r="J248" s="35" t="s">
        <v>3235</v>
      </c>
      <c r="K248" t="str">
        <f t="shared" si="47"/>
        <v>930</v>
      </c>
      <c r="L248" s="36" t="s">
        <v>4352</v>
      </c>
      <c r="M248" s="35">
        <v>7629</v>
      </c>
      <c r="N248" s="36" t="s">
        <v>5269</v>
      </c>
      <c r="O248" s="35" t="s">
        <v>5466</v>
      </c>
      <c r="P248" s="35" t="s">
        <v>5467</v>
      </c>
    </row>
    <row r="249" spans="1:16" hidden="1">
      <c r="A249" s="35">
        <v>932</v>
      </c>
      <c r="B249" s="36" t="s">
        <v>1851</v>
      </c>
      <c r="C249" t="e">
        <f>VLOOKUP(A249,'TABELA SPOLINE'!A:J,10,FALSE)</f>
        <v>#N/A</v>
      </c>
      <c r="H249">
        <v>743</v>
      </c>
      <c r="I249">
        <v>6</v>
      </c>
      <c r="J249" s="35" t="s">
        <v>3236</v>
      </c>
      <c r="K249" t="str">
        <f t="shared" si="47"/>
        <v>932</v>
      </c>
      <c r="L249" s="36" t="s">
        <v>4353</v>
      </c>
      <c r="M249" s="35">
        <v>7629</v>
      </c>
      <c r="N249" s="36" t="s">
        <v>5269</v>
      </c>
      <c r="O249" s="35" t="s">
        <v>5372</v>
      </c>
      <c r="P249" s="35" t="s">
        <v>5373</v>
      </c>
    </row>
    <row r="250" spans="1:16" hidden="1">
      <c r="A250" s="35">
        <v>933</v>
      </c>
      <c r="B250" s="36" t="s">
        <v>1852</v>
      </c>
      <c r="C250" t="e">
        <f>VLOOKUP(A250,'TABELA SPOLINE'!A:J,10,FALSE)</f>
        <v>#N/A</v>
      </c>
      <c r="H250">
        <v>743</v>
      </c>
      <c r="I250">
        <v>6</v>
      </c>
      <c r="J250" s="35" t="s">
        <v>3237</v>
      </c>
      <c r="K250" t="str">
        <f t="shared" si="47"/>
        <v>933</v>
      </c>
      <c r="L250" s="36" t="s">
        <v>4354</v>
      </c>
      <c r="M250" s="35">
        <v>7629</v>
      </c>
      <c r="N250" s="36" t="s">
        <v>5269</v>
      </c>
      <c r="O250" s="35" t="s">
        <v>5374</v>
      </c>
      <c r="P250" s="35" t="s">
        <v>5375</v>
      </c>
    </row>
    <row r="251" spans="1:16" hidden="1">
      <c r="A251" s="35">
        <v>934</v>
      </c>
      <c r="B251" s="36" t="s">
        <v>1853</v>
      </c>
      <c r="C251" t="e">
        <f>VLOOKUP(A251,'TABELA SPOLINE'!A:J,10,FALSE)</f>
        <v>#N/A</v>
      </c>
      <c r="H251">
        <v>743</v>
      </c>
      <c r="I251">
        <v>6</v>
      </c>
      <c r="J251" s="35" t="s">
        <v>3238</v>
      </c>
      <c r="K251" t="str">
        <f t="shared" si="47"/>
        <v>934</v>
      </c>
      <c r="L251" s="36" t="s">
        <v>4355</v>
      </c>
      <c r="M251" s="35">
        <v>7629</v>
      </c>
      <c r="N251" s="36" t="s">
        <v>5269</v>
      </c>
      <c r="O251" s="35" t="s">
        <v>5372</v>
      </c>
      <c r="P251" s="35" t="s">
        <v>5373</v>
      </c>
    </row>
    <row r="252" spans="1:16" hidden="1">
      <c r="A252" s="35">
        <v>935</v>
      </c>
      <c r="B252" s="36" t="s">
        <v>1854</v>
      </c>
      <c r="C252" t="e">
        <f>VLOOKUP(A252,'TABELA SPOLINE'!A:J,10,FALSE)</f>
        <v>#N/A</v>
      </c>
      <c r="H252">
        <v>743</v>
      </c>
      <c r="I252">
        <v>6</v>
      </c>
      <c r="J252" s="35" t="s">
        <v>3239</v>
      </c>
      <c r="K252" t="str">
        <f t="shared" si="47"/>
        <v>935</v>
      </c>
      <c r="L252" s="36" t="s">
        <v>4356</v>
      </c>
      <c r="M252" s="35">
        <v>7629</v>
      </c>
      <c r="N252" s="36" t="s">
        <v>5269</v>
      </c>
      <c r="O252" s="35" t="s">
        <v>5372</v>
      </c>
      <c r="P252" s="35" t="s">
        <v>5373</v>
      </c>
    </row>
    <row r="253" spans="1:16" hidden="1">
      <c r="A253" s="35">
        <v>936</v>
      </c>
      <c r="B253" s="36" t="s">
        <v>1855</v>
      </c>
      <c r="C253" t="e">
        <f>VLOOKUP(A253,'TABELA SPOLINE'!A:J,10,FALSE)</f>
        <v>#N/A</v>
      </c>
      <c r="H253">
        <v>743</v>
      </c>
      <c r="I253">
        <v>6</v>
      </c>
      <c r="J253" s="35" t="s">
        <v>3240</v>
      </c>
      <c r="K253" t="str">
        <f t="shared" si="47"/>
        <v>936</v>
      </c>
      <c r="L253" s="36" t="s">
        <v>4357</v>
      </c>
      <c r="M253" s="35">
        <v>7629</v>
      </c>
      <c r="N253" s="36" t="s">
        <v>5269</v>
      </c>
      <c r="O253" s="35" t="s">
        <v>5374</v>
      </c>
      <c r="P253" s="35" t="s">
        <v>5375</v>
      </c>
    </row>
    <row r="254" spans="1:16" hidden="1">
      <c r="A254" s="35">
        <v>937</v>
      </c>
      <c r="B254" s="36" t="s">
        <v>1856</v>
      </c>
      <c r="C254" t="e">
        <f>VLOOKUP(A254,'TABELA SPOLINE'!A:J,10,FALSE)</f>
        <v>#N/A</v>
      </c>
      <c r="H254">
        <v>743</v>
      </c>
      <c r="I254">
        <v>6</v>
      </c>
      <c r="J254" s="35" t="s">
        <v>3241</v>
      </c>
      <c r="K254" t="str">
        <f t="shared" si="47"/>
        <v>937</v>
      </c>
      <c r="L254" s="36" t="s">
        <v>4358</v>
      </c>
      <c r="M254" s="35">
        <v>7629</v>
      </c>
      <c r="N254" s="36" t="s">
        <v>5269</v>
      </c>
      <c r="O254" s="35" t="s">
        <v>5372</v>
      </c>
      <c r="P254" s="35" t="s">
        <v>5373</v>
      </c>
    </row>
    <row r="255" spans="1:16">
      <c r="A255" s="35">
        <v>965</v>
      </c>
      <c r="B255" s="36" t="s">
        <v>2100</v>
      </c>
      <c r="C255">
        <f>VLOOKUP(A255,'TABELA SPOLINE'!A:J,10,FALSE)</f>
        <v>107.961</v>
      </c>
      <c r="D255">
        <f>C255*0.1+C255</f>
        <v>118.75709999999999</v>
      </c>
      <c r="E255">
        <f>ROUNDUP(D255,2)</f>
        <v>118.76</v>
      </c>
      <c r="F255">
        <f>E255*0.0975+E255</f>
        <v>130.3391</v>
      </c>
      <c r="G255">
        <f>ROUNDUP(F255,2)</f>
        <v>130.34</v>
      </c>
      <c r="H255">
        <v>757</v>
      </c>
      <c r="I255">
        <v>1</v>
      </c>
      <c r="J255" s="35" t="s">
        <v>3485</v>
      </c>
      <c r="K255" t="str">
        <f t="shared" si="47"/>
        <v>965</v>
      </c>
      <c r="L255" s="36" t="s">
        <v>4359</v>
      </c>
      <c r="M255" s="35">
        <v>7629</v>
      </c>
      <c r="N255" s="36" t="s">
        <v>5269</v>
      </c>
      <c r="O255" s="35" t="s">
        <v>5372</v>
      </c>
      <c r="P255" s="35" t="s">
        <v>5373</v>
      </c>
    </row>
    <row r="256" spans="1:16" hidden="1">
      <c r="A256" s="35">
        <v>966</v>
      </c>
      <c r="B256" s="36" t="s">
        <v>2101</v>
      </c>
      <c r="C256" t="e">
        <f>VLOOKUP(A256,'TABELA SPOLINE'!A:J,10,FALSE)</f>
        <v>#N/A</v>
      </c>
      <c r="H256">
        <v>757</v>
      </c>
      <c r="I256">
        <v>1</v>
      </c>
      <c r="J256" s="35" t="s">
        <v>3486</v>
      </c>
      <c r="K256" t="str">
        <f t="shared" si="47"/>
        <v>966</v>
      </c>
      <c r="L256" s="36" t="s">
        <v>4360</v>
      </c>
      <c r="M256" s="35">
        <v>7629</v>
      </c>
      <c r="N256" s="36" t="s">
        <v>5269</v>
      </c>
      <c r="O256" s="35" t="s">
        <v>5374</v>
      </c>
      <c r="P256" s="35" t="s">
        <v>5375</v>
      </c>
    </row>
    <row r="257" spans="1:16" hidden="1">
      <c r="A257" s="35">
        <v>967</v>
      </c>
      <c r="B257" s="36" t="s">
        <v>2102</v>
      </c>
      <c r="C257" t="e">
        <f>VLOOKUP(A257,'TABELA SPOLINE'!A:J,10,FALSE)</f>
        <v>#N/A</v>
      </c>
      <c r="H257">
        <v>757</v>
      </c>
      <c r="I257">
        <v>1</v>
      </c>
      <c r="J257" s="35" t="s">
        <v>3487</v>
      </c>
      <c r="K257" t="str">
        <f t="shared" si="47"/>
        <v>967</v>
      </c>
      <c r="L257" s="36" t="s">
        <v>4361</v>
      </c>
      <c r="M257" s="35">
        <v>7629</v>
      </c>
      <c r="N257" s="36" t="s">
        <v>5269</v>
      </c>
      <c r="O257" s="35" t="s">
        <v>5374</v>
      </c>
      <c r="P257" s="35" t="s">
        <v>5375</v>
      </c>
    </row>
    <row r="258" spans="1:16">
      <c r="A258" s="35">
        <v>968</v>
      </c>
      <c r="B258" s="36" t="s">
        <v>2103</v>
      </c>
      <c r="C258">
        <f>VLOOKUP(A258,'TABELA SPOLINE'!A:J,10,FALSE)</f>
        <v>107.961</v>
      </c>
      <c r="D258">
        <f t="shared" ref="D258:D260" si="56">C258*0.1+C258</f>
        <v>118.75709999999999</v>
      </c>
      <c r="E258">
        <f t="shared" ref="E258:E260" si="57">ROUNDUP(D258,2)</f>
        <v>118.76</v>
      </c>
      <c r="F258">
        <f t="shared" ref="F258:F260" si="58">E258*0.0975+E258</f>
        <v>130.3391</v>
      </c>
      <c r="G258">
        <f t="shared" ref="G258:G260" si="59">ROUNDUP(F258,2)</f>
        <v>130.34</v>
      </c>
      <c r="H258">
        <v>757</v>
      </c>
      <c r="I258">
        <v>1</v>
      </c>
      <c r="J258" s="35" t="s">
        <v>3488</v>
      </c>
      <c r="K258" t="str">
        <f t="shared" si="47"/>
        <v>968</v>
      </c>
      <c r="L258" s="36" t="s">
        <v>4362</v>
      </c>
      <c r="M258" s="35">
        <v>7629</v>
      </c>
      <c r="N258" s="36" t="s">
        <v>5269</v>
      </c>
      <c r="O258" s="35" t="s">
        <v>5470</v>
      </c>
      <c r="P258" s="35" t="s">
        <v>5471</v>
      </c>
    </row>
    <row r="259" spans="1:16">
      <c r="A259" s="35">
        <v>969</v>
      </c>
      <c r="B259" s="36" t="s">
        <v>2104</v>
      </c>
      <c r="C259">
        <f>VLOOKUP(A259,'TABELA SPOLINE'!A:J,10,FALSE)</f>
        <v>107.961</v>
      </c>
      <c r="D259">
        <f t="shared" si="56"/>
        <v>118.75709999999999</v>
      </c>
      <c r="E259">
        <f t="shared" si="57"/>
        <v>118.76</v>
      </c>
      <c r="F259">
        <f t="shared" si="58"/>
        <v>130.3391</v>
      </c>
      <c r="G259">
        <f t="shared" si="59"/>
        <v>130.34</v>
      </c>
      <c r="H259">
        <v>757</v>
      </c>
      <c r="I259">
        <v>1</v>
      </c>
      <c r="J259" s="35" t="s">
        <v>3489</v>
      </c>
      <c r="K259" t="str">
        <f t="shared" ref="K259:K322" si="60">TRIM(A259)</f>
        <v>969</v>
      </c>
      <c r="L259" s="36" t="s">
        <v>4363</v>
      </c>
      <c r="M259" s="35">
        <v>7629</v>
      </c>
      <c r="N259" s="36" t="s">
        <v>5269</v>
      </c>
      <c r="O259" s="35" t="s">
        <v>5472</v>
      </c>
      <c r="P259" s="35" t="s">
        <v>5473</v>
      </c>
    </row>
    <row r="260" spans="1:16">
      <c r="A260" s="35">
        <v>971</v>
      </c>
      <c r="B260" s="36" t="s">
        <v>2105</v>
      </c>
      <c r="C260">
        <f>VLOOKUP(A260,'TABELA SPOLINE'!A:J,10,FALSE)</f>
        <v>129.5532</v>
      </c>
      <c r="D260">
        <f t="shared" si="56"/>
        <v>142.50852</v>
      </c>
      <c r="E260">
        <f t="shared" si="57"/>
        <v>142.51</v>
      </c>
      <c r="F260">
        <f t="shared" si="58"/>
        <v>156.40472499999998</v>
      </c>
      <c r="G260">
        <f t="shared" si="59"/>
        <v>156.41</v>
      </c>
      <c r="H260">
        <v>757</v>
      </c>
      <c r="I260">
        <v>1</v>
      </c>
      <c r="J260" s="35" t="s">
        <v>3490</v>
      </c>
      <c r="K260" t="str">
        <f t="shared" si="60"/>
        <v>971</v>
      </c>
      <c r="L260" s="36" t="s">
        <v>4364</v>
      </c>
      <c r="M260" s="35">
        <v>7629</v>
      </c>
      <c r="N260" s="36" t="s">
        <v>5269</v>
      </c>
      <c r="O260" s="35" t="s">
        <v>5474</v>
      </c>
      <c r="P260" s="35" t="s">
        <v>5475</v>
      </c>
    </row>
    <row r="261" spans="1:16" hidden="1">
      <c r="A261" s="35">
        <v>974</v>
      </c>
      <c r="B261" s="36" t="s">
        <v>2107</v>
      </c>
      <c r="C261" t="e">
        <f>VLOOKUP(A261,'TABELA SPOLINE'!A:J,10,FALSE)</f>
        <v>#N/A</v>
      </c>
      <c r="H261">
        <v>761</v>
      </c>
      <c r="I261">
        <v>1</v>
      </c>
      <c r="J261" s="35" t="s">
        <v>3492</v>
      </c>
      <c r="K261" t="str">
        <f t="shared" si="60"/>
        <v>974</v>
      </c>
      <c r="L261" s="36" t="s">
        <v>4365</v>
      </c>
      <c r="M261" s="35">
        <v>7629</v>
      </c>
      <c r="N261" s="36" t="s">
        <v>5269</v>
      </c>
      <c r="O261" s="35" t="s">
        <v>5470</v>
      </c>
      <c r="P261" s="35" t="s">
        <v>5471</v>
      </c>
    </row>
    <row r="262" spans="1:16" hidden="1">
      <c r="A262" s="35">
        <v>975</v>
      </c>
      <c r="B262" s="36" t="s">
        <v>2108</v>
      </c>
      <c r="C262" t="e">
        <f>VLOOKUP(A262,'TABELA SPOLINE'!A:J,10,FALSE)</f>
        <v>#N/A</v>
      </c>
      <c r="H262">
        <v>761</v>
      </c>
      <c r="I262">
        <v>1</v>
      </c>
      <c r="J262" s="35" t="s">
        <v>3493</v>
      </c>
      <c r="K262" t="str">
        <f t="shared" si="60"/>
        <v>975</v>
      </c>
      <c r="L262" s="36" t="s">
        <v>4366</v>
      </c>
      <c r="M262" s="35">
        <v>7629</v>
      </c>
      <c r="N262" s="36" t="s">
        <v>5269</v>
      </c>
      <c r="O262" s="35" t="s">
        <v>5474</v>
      </c>
      <c r="P262" s="35" t="s">
        <v>5475</v>
      </c>
    </row>
    <row r="263" spans="1:16" hidden="1">
      <c r="A263" s="35">
        <v>977</v>
      </c>
      <c r="B263" s="36" t="s">
        <v>2109</v>
      </c>
      <c r="C263" t="e">
        <f>VLOOKUP(A263,'TABELA SPOLINE'!A:J,10,FALSE)</f>
        <v>#N/A</v>
      </c>
      <c r="H263">
        <v>761</v>
      </c>
      <c r="I263">
        <v>1</v>
      </c>
      <c r="J263" s="35" t="s">
        <v>3494</v>
      </c>
      <c r="K263" t="str">
        <f t="shared" si="60"/>
        <v>977</v>
      </c>
      <c r="L263" s="36" t="s">
        <v>4367</v>
      </c>
      <c r="M263" s="35">
        <v>7629</v>
      </c>
      <c r="N263" s="36" t="s">
        <v>5269</v>
      </c>
      <c r="O263" s="35" t="s">
        <v>5470</v>
      </c>
      <c r="P263" s="35" t="s">
        <v>5471</v>
      </c>
    </row>
    <row r="264" spans="1:16" hidden="1">
      <c r="A264" s="35">
        <v>978</v>
      </c>
      <c r="B264" s="36" t="s">
        <v>2110</v>
      </c>
      <c r="C264" t="e">
        <f>VLOOKUP(A264,'TABELA SPOLINE'!A:J,10,FALSE)</f>
        <v>#N/A</v>
      </c>
      <c r="H264">
        <v>761</v>
      </c>
      <c r="I264">
        <v>1</v>
      </c>
      <c r="J264" s="35" t="s">
        <v>3495</v>
      </c>
      <c r="K264" t="str">
        <f t="shared" si="60"/>
        <v>978</v>
      </c>
      <c r="L264" s="36" t="s">
        <v>4368</v>
      </c>
      <c r="M264" s="35">
        <v>7629</v>
      </c>
      <c r="N264" s="36" t="s">
        <v>5269</v>
      </c>
      <c r="O264" s="35" t="s">
        <v>5476</v>
      </c>
      <c r="P264" s="35" t="s">
        <v>5477</v>
      </c>
    </row>
    <row r="265" spans="1:16" hidden="1">
      <c r="A265" s="35">
        <v>980</v>
      </c>
      <c r="B265" s="36" t="s">
        <v>2111</v>
      </c>
      <c r="C265" t="e">
        <f>VLOOKUP(A265,'TABELA SPOLINE'!A:J,10,FALSE)</f>
        <v>#N/A</v>
      </c>
      <c r="H265">
        <v>761</v>
      </c>
      <c r="I265">
        <v>1</v>
      </c>
      <c r="J265" s="35" t="s">
        <v>3496</v>
      </c>
      <c r="K265" t="str">
        <f t="shared" si="60"/>
        <v>980</v>
      </c>
      <c r="L265" s="36" t="s">
        <v>4369</v>
      </c>
      <c r="M265" s="35">
        <v>7629</v>
      </c>
      <c r="N265" s="36" t="s">
        <v>5269</v>
      </c>
      <c r="O265" s="35" t="s">
        <v>5388</v>
      </c>
      <c r="P265" s="35" t="s">
        <v>5389</v>
      </c>
    </row>
    <row r="266" spans="1:16" hidden="1">
      <c r="A266" s="35">
        <v>982</v>
      </c>
      <c r="B266" s="36" t="s">
        <v>2112</v>
      </c>
      <c r="C266" t="e">
        <f>VLOOKUP(A266,'TABELA SPOLINE'!A:J,10,FALSE)</f>
        <v>#N/A</v>
      </c>
      <c r="H266">
        <v>761</v>
      </c>
      <c r="I266">
        <v>1</v>
      </c>
      <c r="J266" s="35" t="s">
        <v>3497</v>
      </c>
      <c r="K266" t="str">
        <f t="shared" si="60"/>
        <v>982</v>
      </c>
      <c r="L266" s="36" t="s">
        <v>4370</v>
      </c>
      <c r="M266" s="35">
        <v>7629</v>
      </c>
      <c r="N266" s="36" t="s">
        <v>5269</v>
      </c>
      <c r="O266" s="35" t="s">
        <v>5478</v>
      </c>
      <c r="P266" s="35" t="s">
        <v>5479</v>
      </c>
    </row>
    <row r="267" spans="1:16" hidden="1">
      <c r="A267" s="35">
        <v>983</v>
      </c>
      <c r="B267" s="36" t="s">
        <v>2273</v>
      </c>
      <c r="C267" t="e">
        <f>VLOOKUP(A267,'TABELA SPOLINE'!A:J,10,FALSE)</f>
        <v>#N/A</v>
      </c>
      <c r="H267">
        <v>765</v>
      </c>
      <c r="I267">
        <v>1</v>
      </c>
      <c r="J267" s="35" t="s">
        <v>3658</v>
      </c>
      <c r="K267" t="str">
        <f t="shared" si="60"/>
        <v>983</v>
      </c>
      <c r="L267" s="36" t="s">
        <v>4371</v>
      </c>
      <c r="M267" s="35">
        <v>7629</v>
      </c>
      <c r="N267" s="36" t="s">
        <v>5269</v>
      </c>
      <c r="O267" s="35" t="s">
        <v>5480</v>
      </c>
      <c r="P267" s="35" t="s">
        <v>5481</v>
      </c>
    </row>
    <row r="268" spans="1:16">
      <c r="A268" s="35">
        <v>984</v>
      </c>
      <c r="B268" s="36" t="s">
        <v>2274</v>
      </c>
      <c r="C268">
        <f>VLOOKUP(A268,'TABELA SPOLINE'!A:J,10,FALSE)</f>
        <v>144.69</v>
      </c>
      <c r="D268">
        <f t="shared" ref="D268:D272" si="61">C268*0.1+C268</f>
        <v>159.15899999999999</v>
      </c>
      <c r="E268">
        <f t="shared" ref="E268:E272" si="62">ROUNDUP(D268,2)</f>
        <v>159.16</v>
      </c>
      <c r="F268">
        <f t="shared" ref="F268:F272" si="63">E268*0.0975+E268</f>
        <v>174.6781</v>
      </c>
      <c r="G268">
        <f t="shared" ref="G268:G272" si="64">ROUNDUP(F268,2)</f>
        <v>174.67999999999998</v>
      </c>
      <c r="H268">
        <v>765</v>
      </c>
      <c r="I268">
        <v>1</v>
      </c>
      <c r="J268" s="35" t="s">
        <v>3659</v>
      </c>
      <c r="K268" t="str">
        <f t="shared" si="60"/>
        <v>984</v>
      </c>
      <c r="L268" s="36" t="s">
        <v>4372</v>
      </c>
      <c r="M268" s="35">
        <v>7629</v>
      </c>
      <c r="N268" s="36" t="s">
        <v>5269</v>
      </c>
      <c r="O268" s="35" t="s">
        <v>5480</v>
      </c>
      <c r="P268" s="35" t="s">
        <v>5481</v>
      </c>
    </row>
    <row r="269" spans="1:16">
      <c r="A269" s="35">
        <v>985</v>
      </c>
      <c r="B269" s="36" t="s">
        <v>2275</v>
      </c>
      <c r="C269">
        <f>VLOOKUP(A269,'TABELA SPOLINE'!A:J,10,FALSE)</f>
        <v>173.62800000000001</v>
      </c>
      <c r="D269">
        <f t="shared" si="61"/>
        <v>190.99080000000001</v>
      </c>
      <c r="E269">
        <f t="shared" si="62"/>
        <v>191</v>
      </c>
      <c r="F269">
        <f t="shared" si="63"/>
        <v>209.6225</v>
      </c>
      <c r="G269">
        <f t="shared" si="64"/>
        <v>209.63</v>
      </c>
      <c r="H269">
        <v>765</v>
      </c>
      <c r="I269">
        <v>1</v>
      </c>
      <c r="J269" s="35" t="s">
        <v>3660</v>
      </c>
      <c r="K269" t="str">
        <f t="shared" si="60"/>
        <v>985</v>
      </c>
      <c r="L269" s="36" t="s">
        <v>4373</v>
      </c>
      <c r="M269" s="35">
        <v>7629</v>
      </c>
      <c r="N269" s="36" t="s">
        <v>5269</v>
      </c>
      <c r="O269" s="35" t="s">
        <v>5478</v>
      </c>
      <c r="P269" s="35" t="s">
        <v>5479</v>
      </c>
    </row>
    <row r="270" spans="1:16">
      <c r="A270" s="35">
        <v>986</v>
      </c>
      <c r="B270" s="36" t="s">
        <v>2276</v>
      </c>
      <c r="C270">
        <f>VLOOKUP(A270,'TABELA SPOLINE'!A:J,10,FALSE)</f>
        <v>144.69</v>
      </c>
      <c r="D270">
        <f t="shared" si="61"/>
        <v>159.15899999999999</v>
      </c>
      <c r="E270">
        <f t="shared" si="62"/>
        <v>159.16</v>
      </c>
      <c r="F270">
        <f t="shared" si="63"/>
        <v>174.6781</v>
      </c>
      <c r="G270">
        <f t="shared" si="64"/>
        <v>174.67999999999998</v>
      </c>
      <c r="H270">
        <v>765</v>
      </c>
      <c r="I270">
        <v>1</v>
      </c>
      <c r="J270" s="35" t="s">
        <v>3661</v>
      </c>
      <c r="K270" t="str">
        <f t="shared" si="60"/>
        <v>986</v>
      </c>
      <c r="L270" s="36" t="s">
        <v>4374</v>
      </c>
      <c r="M270" s="35">
        <v>7629</v>
      </c>
      <c r="N270" s="36" t="s">
        <v>5269</v>
      </c>
      <c r="O270" s="35" t="s">
        <v>5478</v>
      </c>
      <c r="P270" s="35" t="s">
        <v>5479</v>
      </c>
    </row>
    <row r="271" spans="1:16">
      <c r="A271" s="35">
        <v>987</v>
      </c>
      <c r="B271" s="36" t="s">
        <v>2277</v>
      </c>
      <c r="C271">
        <f>VLOOKUP(A271,'TABELA SPOLINE'!A:J,10,FALSE)</f>
        <v>173.62800000000001</v>
      </c>
      <c r="D271">
        <f t="shared" si="61"/>
        <v>190.99080000000001</v>
      </c>
      <c r="E271">
        <f t="shared" si="62"/>
        <v>191</v>
      </c>
      <c r="F271">
        <f t="shared" si="63"/>
        <v>209.6225</v>
      </c>
      <c r="G271">
        <f t="shared" si="64"/>
        <v>209.63</v>
      </c>
      <c r="H271">
        <v>765</v>
      </c>
      <c r="I271">
        <v>1</v>
      </c>
      <c r="J271" s="35" t="s">
        <v>3662</v>
      </c>
      <c r="K271" t="str">
        <f t="shared" si="60"/>
        <v>987</v>
      </c>
      <c r="L271" s="36" t="s">
        <v>4375</v>
      </c>
      <c r="M271" s="35">
        <v>7629</v>
      </c>
      <c r="N271" s="36" t="s">
        <v>5269</v>
      </c>
      <c r="O271" s="35" t="s">
        <v>5480</v>
      </c>
      <c r="P271" s="35" t="s">
        <v>5481</v>
      </c>
    </row>
    <row r="272" spans="1:16">
      <c r="A272" s="35">
        <v>988</v>
      </c>
      <c r="B272" s="36" t="s">
        <v>2278</v>
      </c>
      <c r="C272">
        <f>VLOOKUP(A272,'TABELA SPOLINE'!A:J,10,FALSE)</f>
        <v>144.69</v>
      </c>
      <c r="D272">
        <f t="shared" si="61"/>
        <v>159.15899999999999</v>
      </c>
      <c r="E272">
        <f t="shared" si="62"/>
        <v>159.16</v>
      </c>
      <c r="F272">
        <f t="shared" si="63"/>
        <v>174.6781</v>
      </c>
      <c r="G272">
        <f t="shared" si="64"/>
        <v>174.67999999999998</v>
      </c>
      <c r="H272">
        <v>765</v>
      </c>
      <c r="I272">
        <v>1</v>
      </c>
      <c r="J272" s="35" t="s">
        <v>3663</v>
      </c>
      <c r="K272" t="str">
        <f t="shared" si="60"/>
        <v>988</v>
      </c>
      <c r="L272" s="36" t="s">
        <v>4376</v>
      </c>
      <c r="M272" s="35">
        <v>7629</v>
      </c>
      <c r="N272" s="36" t="s">
        <v>5269</v>
      </c>
      <c r="O272" s="35" t="s">
        <v>5482</v>
      </c>
      <c r="P272" s="35" t="s">
        <v>5483</v>
      </c>
    </row>
    <row r="273" spans="1:16" hidden="1">
      <c r="A273" s="35">
        <v>989</v>
      </c>
      <c r="B273" s="36" t="s">
        <v>2279</v>
      </c>
      <c r="C273" t="e">
        <f>VLOOKUP(A273,'TABELA SPOLINE'!A:J,10,FALSE)</f>
        <v>#N/A</v>
      </c>
      <c r="H273">
        <v>765</v>
      </c>
      <c r="I273">
        <v>1</v>
      </c>
      <c r="J273" s="35" t="s">
        <v>3664</v>
      </c>
      <c r="K273" t="str">
        <f t="shared" si="60"/>
        <v>989</v>
      </c>
      <c r="L273" s="36" t="s">
        <v>4377</v>
      </c>
      <c r="M273" s="35">
        <v>7629</v>
      </c>
      <c r="N273" s="36" t="s">
        <v>5269</v>
      </c>
      <c r="O273" s="35" t="s">
        <v>5482</v>
      </c>
      <c r="P273" s="35" t="s">
        <v>5483</v>
      </c>
    </row>
    <row r="274" spans="1:16">
      <c r="A274" s="35">
        <v>997</v>
      </c>
      <c r="B274" s="36" t="s">
        <v>2114</v>
      </c>
      <c r="C274">
        <f>VLOOKUP(A274,'TABELA SPOLINE'!A:J,10,FALSE)</f>
        <v>148.02900000000002</v>
      </c>
      <c r="D274">
        <f>C274*0.1+C274</f>
        <v>162.83190000000002</v>
      </c>
      <c r="E274">
        <f>ROUNDUP(D274,2)</f>
        <v>162.84</v>
      </c>
      <c r="F274">
        <f>E274*0.0975+E274</f>
        <v>178.71690000000001</v>
      </c>
      <c r="G274">
        <f>ROUNDUP(F274,2)</f>
        <v>178.72</v>
      </c>
      <c r="H274">
        <v>777</v>
      </c>
      <c r="I274">
        <v>1</v>
      </c>
      <c r="J274" s="35" t="s">
        <v>3499</v>
      </c>
      <c r="K274" t="str">
        <f t="shared" si="60"/>
        <v>997</v>
      </c>
      <c r="L274" s="36" t="s">
        <v>4378</v>
      </c>
      <c r="M274" s="35">
        <v>7629</v>
      </c>
      <c r="N274" s="36" t="s">
        <v>5269</v>
      </c>
      <c r="O274" s="35" t="s">
        <v>5482</v>
      </c>
      <c r="P274" s="35" t="s">
        <v>5483</v>
      </c>
    </row>
    <row r="275" spans="1:16" hidden="1">
      <c r="A275" s="35">
        <v>999</v>
      </c>
      <c r="B275" s="36" t="s">
        <v>2115</v>
      </c>
      <c r="C275" t="e">
        <f>VLOOKUP(A275,'TABELA SPOLINE'!A:J,10,FALSE)</f>
        <v>#N/A</v>
      </c>
      <c r="H275">
        <v>777</v>
      </c>
      <c r="I275">
        <v>1</v>
      </c>
      <c r="J275" s="35" t="s">
        <v>3500</v>
      </c>
      <c r="K275" t="str">
        <f t="shared" si="60"/>
        <v>999</v>
      </c>
      <c r="L275" s="36" t="s">
        <v>4379</v>
      </c>
      <c r="M275" s="35">
        <v>7629</v>
      </c>
      <c r="N275" s="36" t="s">
        <v>5269</v>
      </c>
      <c r="O275" s="35" t="s">
        <v>5484</v>
      </c>
      <c r="P275" s="35" t="s">
        <v>5485</v>
      </c>
    </row>
    <row r="276" spans="1:16" hidden="1">
      <c r="A276" s="35">
        <v>1000</v>
      </c>
      <c r="B276" s="36" t="s">
        <v>2116</v>
      </c>
      <c r="C276" t="e">
        <f>VLOOKUP(A276,'TABELA SPOLINE'!A:J,10,FALSE)</f>
        <v>#N/A</v>
      </c>
      <c r="H276">
        <v>777</v>
      </c>
      <c r="I276">
        <v>1</v>
      </c>
      <c r="J276" s="35" t="s">
        <v>3501</v>
      </c>
      <c r="K276" t="str">
        <f t="shared" si="60"/>
        <v>1000</v>
      </c>
      <c r="L276" s="36" t="s">
        <v>4380</v>
      </c>
      <c r="M276" s="35">
        <v>7629</v>
      </c>
      <c r="N276" s="36" t="s">
        <v>5269</v>
      </c>
      <c r="O276" s="35" t="s">
        <v>5484</v>
      </c>
      <c r="P276" s="35" t="s">
        <v>5485</v>
      </c>
    </row>
    <row r="277" spans="1:16">
      <c r="A277" s="35">
        <v>1001</v>
      </c>
      <c r="B277" s="36" t="s">
        <v>2117</v>
      </c>
      <c r="C277">
        <f>VLOOKUP(A277,'TABELA SPOLINE'!A:J,10,FALSE)</f>
        <v>148.02900000000002</v>
      </c>
      <c r="D277">
        <f t="shared" ref="D277:D278" si="65">C277*0.1+C277</f>
        <v>162.83190000000002</v>
      </c>
      <c r="E277">
        <f t="shared" ref="E277:E278" si="66">ROUNDUP(D277,2)</f>
        <v>162.84</v>
      </c>
      <c r="F277">
        <f t="shared" ref="F277:F278" si="67">E277*0.0975+E277</f>
        <v>178.71690000000001</v>
      </c>
      <c r="G277">
        <f t="shared" ref="G277:G278" si="68">ROUNDUP(F277,2)</f>
        <v>178.72</v>
      </c>
      <c r="H277">
        <v>777</v>
      </c>
      <c r="I277">
        <v>1</v>
      </c>
      <c r="J277" s="35" t="s">
        <v>3502</v>
      </c>
      <c r="K277" t="str">
        <f t="shared" si="60"/>
        <v>1001</v>
      </c>
      <c r="L277" s="36" t="s">
        <v>4381</v>
      </c>
      <c r="M277" s="35">
        <v>7629</v>
      </c>
      <c r="N277" s="36" t="s">
        <v>5269</v>
      </c>
      <c r="O277" s="35" t="s">
        <v>5484</v>
      </c>
      <c r="P277" s="35" t="s">
        <v>5485</v>
      </c>
    </row>
    <row r="278" spans="1:16">
      <c r="A278" s="35">
        <v>1002</v>
      </c>
      <c r="B278" s="36" t="s">
        <v>2118</v>
      </c>
      <c r="C278">
        <f>VLOOKUP(A278,'TABELA SPOLINE'!A:J,10,FALSE)</f>
        <v>177.63479999999998</v>
      </c>
      <c r="D278">
        <f t="shared" si="65"/>
        <v>195.39827999999997</v>
      </c>
      <c r="E278">
        <f t="shared" si="66"/>
        <v>195.39999999999998</v>
      </c>
      <c r="F278">
        <f t="shared" si="67"/>
        <v>214.45149999999998</v>
      </c>
      <c r="G278">
        <f t="shared" si="68"/>
        <v>214.45999999999998</v>
      </c>
      <c r="H278">
        <v>777</v>
      </c>
      <c r="I278">
        <v>1</v>
      </c>
      <c r="J278" s="35" t="s">
        <v>3503</v>
      </c>
      <c r="K278" t="str">
        <f t="shared" si="60"/>
        <v>1002</v>
      </c>
      <c r="L278" s="36" t="s">
        <v>4382</v>
      </c>
      <c r="M278" s="35">
        <v>7629</v>
      </c>
      <c r="N278" s="36" t="s">
        <v>5269</v>
      </c>
      <c r="O278" s="35" t="s">
        <v>5482</v>
      </c>
      <c r="P278" s="35" t="s">
        <v>5483</v>
      </c>
    </row>
    <row r="279" spans="1:16" hidden="1">
      <c r="A279" s="35">
        <v>1003</v>
      </c>
      <c r="B279" s="36" t="s">
        <v>2119</v>
      </c>
      <c r="C279" t="e">
        <f>VLOOKUP(A279,'TABELA SPOLINE'!A:J,10,FALSE)</f>
        <v>#N/A</v>
      </c>
      <c r="H279">
        <v>777</v>
      </c>
      <c r="I279">
        <v>1</v>
      </c>
      <c r="J279" s="35" t="s">
        <v>3504</v>
      </c>
      <c r="K279" t="str">
        <f t="shared" si="60"/>
        <v>1003</v>
      </c>
      <c r="L279" s="36" t="s">
        <v>4383</v>
      </c>
      <c r="M279" s="35">
        <v>7629</v>
      </c>
      <c r="N279" s="36" t="s">
        <v>5269</v>
      </c>
      <c r="O279" s="35" t="s">
        <v>5464</v>
      </c>
      <c r="P279" s="35" t="s">
        <v>5465</v>
      </c>
    </row>
    <row r="280" spans="1:16">
      <c r="A280" s="35">
        <v>1004</v>
      </c>
      <c r="B280" s="36" t="s">
        <v>2120</v>
      </c>
      <c r="C280">
        <f>VLOOKUP(A280,'TABELA SPOLINE'!A:J,10,FALSE)</f>
        <v>148.02900000000002</v>
      </c>
      <c r="D280">
        <f t="shared" ref="D280:D281" si="69">C280*0.1+C280</f>
        <v>162.83190000000002</v>
      </c>
      <c r="E280">
        <f t="shared" ref="E280:E281" si="70">ROUNDUP(D280,2)</f>
        <v>162.84</v>
      </c>
      <c r="F280">
        <f t="shared" ref="F280:F281" si="71">E280*0.0975+E280</f>
        <v>178.71690000000001</v>
      </c>
      <c r="G280">
        <f t="shared" ref="G280:G281" si="72">ROUNDUP(F280,2)</f>
        <v>178.72</v>
      </c>
      <c r="H280">
        <v>777</v>
      </c>
      <c r="I280">
        <v>1</v>
      </c>
      <c r="J280" s="35" t="s">
        <v>3505</v>
      </c>
      <c r="K280" t="str">
        <f t="shared" si="60"/>
        <v>1004</v>
      </c>
      <c r="L280" s="36" t="s">
        <v>4384</v>
      </c>
      <c r="M280" s="35">
        <v>7629</v>
      </c>
      <c r="N280" s="36" t="s">
        <v>5269</v>
      </c>
      <c r="O280" s="35" t="s">
        <v>5464</v>
      </c>
      <c r="P280" s="35" t="s">
        <v>5465</v>
      </c>
    </row>
    <row r="281" spans="1:16">
      <c r="A281" s="35">
        <v>1007</v>
      </c>
      <c r="B281" s="36" t="s">
        <v>1858</v>
      </c>
      <c r="C281">
        <f>VLOOKUP(A281,'TABELA SPOLINE'!A:J,10,FALSE)</f>
        <v>153.59400000000002</v>
      </c>
      <c r="D281">
        <f t="shared" si="69"/>
        <v>168.95340000000002</v>
      </c>
      <c r="E281">
        <f t="shared" si="70"/>
        <v>168.95999999999998</v>
      </c>
      <c r="F281">
        <f t="shared" si="71"/>
        <v>185.43359999999998</v>
      </c>
      <c r="G281">
        <f t="shared" si="72"/>
        <v>185.44</v>
      </c>
      <c r="H281">
        <v>778</v>
      </c>
      <c r="I281">
        <v>1</v>
      </c>
      <c r="J281" s="35" t="s">
        <v>3243</v>
      </c>
      <c r="K281" t="str">
        <f t="shared" si="60"/>
        <v>1007</v>
      </c>
      <c r="L281" s="36" t="s">
        <v>4385</v>
      </c>
      <c r="M281" s="35">
        <v>7629</v>
      </c>
      <c r="N281" s="36" t="s">
        <v>5269</v>
      </c>
      <c r="O281" s="35" t="s">
        <v>5464</v>
      </c>
      <c r="P281" s="35" t="s">
        <v>5465</v>
      </c>
    </row>
    <row r="282" spans="1:16" hidden="1">
      <c r="A282" s="35">
        <v>1010</v>
      </c>
      <c r="B282" s="36" t="s">
        <v>1859</v>
      </c>
      <c r="C282" t="e">
        <f>VLOOKUP(A282,'TABELA SPOLINE'!A:J,10,FALSE)</f>
        <v>#N/A</v>
      </c>
      <c r="H282">
        <v>778</v>
      </c>
      <c r="I282">
        <v>1</v>
      </c>
      <c r="J282" s="35" t="s">
        <v>3244</v>
      </c>
      <c r="K282" t="str">
        <f t="shared" si="60"/>
        <v>1010</v>
      </c>
      <c r="L282" s="36" t="s">
        <v>4386</v>
      </c>
      <c r="M282" s="35">
        <v>7629</v>
      </c>
      <c r="N282" s="36" t="s">
        <v>5269</v>
      </c>
      <c r="O282" s="35" t="s">
        <v>5462</v>
      </c>
      <c r="P282" s="35" t="s">
        <v>5463</v>
      </c>
    </row>
    <row r="283" spans="1:16">
      <c r="A283" s="35">
        <v>1011</v>
      </c>
      <c r="B283" s="36" t="s">
        <v>1860</v>
      </c>
      <c r="C283">
        <f>VLOOKUP(A283,'TABELA SPOLINE'!A:J,10,FALSE)</f>
        <v>184.31280000000001</v>
      </c>
      <c r="D283">
        <f t="shared" ref="D283:D286" si="73">C283*0.1+C283</f>
        <v>202.74408</v>
      </c>
      <c r="E283">
        <f t="shared" ref="E283:E286" si="74">ROUNDUP(D283,2)</f>
        <v>202.75</v>
      </c>
      <c r="F283">
        <f t="shared" ref="F283:F286" si="75">E283*0.0975+E283</f>
        <v>222.518125</v>
      </c>
      <c r="G283">
        <f t="shared" ref="G283:G286" si="76">ROUNDUP(F283,2)</f>
        <v>222.51999999999998</v>
      </c>
      <c r="H283">
        <v>778</v>
      </c>
      <c r="I283">
        <v>1</v>
      </c>
      <c r="J283" s="35" t="s">
        <v>3245</v>
      </c>
      <c r="K283" t="str">
        <f t="shared" si="60"/>
        <v>1011</v>
      </c>
      <c r="L283" s="36" t="s">
        <v>4387</v>
      </c>
      <c r="M283" s="35">
        <v>7629</v>
      </c>
      <c r="N283" s="36" t="s">
        <v>5269</v>
      </c>
      <c r="O283" s="35" t="s">
        <v>5462</v>
      </c>
      <c r="P283" s="35" t="s">
        <v>5463</v>
      </c>
    </row>
    <row r="284" spans="1:16">
      <c r="A284" s="35">
        <v>1014</v>
      </c>
      <c r="B284" s="36" t="s">
        <v>1861</v>
      </c>
      <c r="C284">
        <f>VLOOKUP(A284,'TABELA SPOLINE'!A:J,10,FALSE)</f>
        <v>153.59400000000002</v>
      </c>
      <c r="D284">
        <f t="shared" si="73"/>
        <v>168.95340000000002</v>
      </c>
      <c r="E284">
        <f t="shared" si="74"/>
        <v>168.95999999999998</v>
      </c>
      <c r="F284">
        <f t="shared" si="75"/>
        <v>185.43359999999998</v>
      </c>
      <c r="G284">
        <f t="shared" si="76"/>
        <v>185.44</v>
      </c>
      <c r="H284">
        <v>778</v>
      </c>
      <c r="I284">
        <v>1</v>
      </c>
      <c r="J284" s="35" t="s">
        <v>3246</v>
      </c>
      <c r="K284" t="str">
        <f t="shared" si="60"/>
        <v>1014</v>
      </c>
      <c r="L284" s="36" t="s">
        <v>4388</v>
      </c>
      <c r="M284" s="35">
        <v>7629</v>
      </c>
      <c r="N284" s="36" t="s">
        <v>5269</v>
      </c>
      <c r="O284" s="35" t="s">
        <v>5462</v>
      </c>
      <c r="P284" s="35" t="s">
        <v>5463</v>
      </c>
    </row>
    <row r="285" spans="1:16">
      <c r="A285" s="35">
        <v>1015</v>
      </c>
      <c r="B285" s="36" t="s">
        <v>1862</v>
      </c>
      <c r="C285">
        <f>VLOOKUP(A285,'TABELA SPOLINE'!A:J,10,FALSE)</f>
        <v>184.31280000000001</v>
      </c>
      <c r="D285">
        <f t="shared" si="73"/>
        <v>202.74408</v>
      </c>
      <c r="E285">
        <f t="shared" si="74"/>
        <v>202.75</v>
      </c>
      <c r="F285">
        <f t="shared" si="75"/>
        <v>222.518125</v>
      </c>
      <c r="G285">
        <f t="shared" si="76"/>
        <v>222.51999999999998</v>
      </c>
      <c r="H285">
        <v>778</v>
      </c>
      <c r="I285">
        <v>1</v>
      </c>
      <c r="J285" s="35" t="s">
        <v>3247</v>
      </c>
      <c r="K285" t="str">
        <f t="shared" si="60"/>
        <v>1015</v>
      </c>
      <c r="L285" s="36" t="s">
        <v>4389</v>
      </c>
      <c r="M285" s="35">
        <v>7629</v>
      </c>
      <c r="N285" s="36" t="s">
        <v>5269</v>
      </c>
      <c r="O285" s="35" t="s">
        <v>5464</v>
      </c>
      <c r="P285" s="35" t="s">
        <v>5465</v>
      </c>
    </row>
    <row r="286" spans="1:16">
      <c r="A286" s="35">
        <v>1018</v>
      </c>
      <c r="B286" s="36" t="s">
        <v>1863</v>
      </c>
      <c r="C286">
        <f>VLOOKUP(A286,'TABELA SPOLINE'!A:J,10,FALSE)</f>
        <v>153.59400000000002</v>
      </c>
      <c r="D286">
        <f t="shared" si="73"/>
        <v>168.95340000000002</v>
      </c>
      <c r="E286">
        <f t="shared" si="74"/>
        <v>168.95999999999998</v>
      </c>
      <c r="F286">
        <f t="shared" si="75"/>
        <v>185.43359999999998</v>
      </c>
      <c r="G286">
        <f t="shared" si="76"/>
        <v>185.44</v>
      </c>
      <c r="H286">
        <v>778</v>
      </c>
      <c r="I286">
        <v>1</v>
      </c>
      <c r="J286" s="35" t="s">
        <v>3248</v>
      </c>
      <c r="K286" t="str">
        <f t="shared" si="60"/>
        <v>1018</v>
      </c>
      <c r="L286" s="36" t="s">
        <v>4390</v>
      </c>
      <c r="M286" s="35">
        <v>7629</v>
      </c>
      <c r="N286" s="36" t="s">
        <v>5269</v>
      </c>
      <c r="O286" s="35" t="s">
        <v>5318</v>
      </c>
      <c r="P286" s="35" t="s">
        <v>5319</v>
      </c>
    </row>
    <row r="287" spans="1:16" hidden="1">
      <c r="A287" s="35">
        <v>1020</v>
      </c>
      <c r="B287" s="36" t="s">
        <v>1864</v>
      </c>
      <c r="C287" t="e">
        <f>VLOOKUP(A287,'TABELA SPOLINE'!A:J,10,FALSE)</f>
        <v>#N/A</v>
      </c>
      <c r="H287">
        <v>778</v>
      </c>
      <c r="I287">
        <v>1</v>
      </c>
      <c r="J287" s="35" t="s">
        <v>3249</v>
      </c>
      <c r="K287" t="str">
        <f t="shared" si="60"/>
        <v>1020</v>
      </c>
      <c r="L287" s="36" t="s">
        <v>4391</v>
      </c>
      <c r="M287" s="35">
        <v>7629</v>
      </c>
      <c r="N287" s="36" t="s">
        <v>5269</v>
      </c>
      <c r="O287" s="35" t="s">
        <v>5316</v>
      </c>
      <c r="P287" s="35" t="s">
        <v>5317</v>
      </c>
    </row>
    <row r="288" spans="1:16">
      <c r="A288" s="35">
        <v>1035</v>
      </c>
      <c r="B288" s="36" t="s">
        <v>1871</v>
      </c>
      <c r="C288">
        <f>VLOOKUP(A288,'TABELA SPOLINE'!A:J,10,FALSE)</f>
        <v>170.95680000000002</v>
      </c>
      <c r="D288">
        <f t="shared" ref="D288:D289" si="77">C288*0.1+C288</f>
        <v>188.05248</v>
      </c>
      <c r="E288">
        <f t="shared" ref="E288:E289" si="78">ROUNDUP(D288,2)</f>
        <v>188.06</v>
      </c>
      <c r="F288">
        <f t="shared" ref="F288:F289" si="79">E288*0.0975+E288</f>
        <v>206.39585</v>
      </c>
      <c r="G288">
        <f t="shared" ref="G288:G289" si="80">ROUNDUP(F288,2)</f>
        <v>206.39999999999998</v>
      </c>
      <c r="H288">
        <v>779</v>
      </c>
      <c r="I288">
        <v>1</v>
      </c>
      <c r="J288" s="35" t="s">
        <v>3256</v>
      </c>
      <c r="K288" t="str">
        <f t="shared" si="60"/>
        <v>1035</v>
      </c>
      <c r="L288" s="36" t="s">
        <v>4392</v>
      </c>
      <c r="M288" s="35">
        <v>7629</v>
      </c>
      <c r="N288" s="36" t="s">
        <v>5269</v>
      </c>
      <c r="O288" s="35" t="s">
        <v>5314</v>
      </c>
      <c r="P288" s="35" t="s">
        <v>5315</v>
      </c>
    </row>
    <row r="289" spans="1:16">
      <c r="A289" s="35">
        <v>1037</v>
      </c>
      <c r="B289" s="36" t="s">
        <v>1870</v>
      </c>
      <c r="C289">
        <f>VLOOKUP(A289,'TABELA SPOLINE'!A:J,10,FALSE)</f>
        <v>142.46400000000003</v>
      </c>
      <c r="D289">
        <f t="shared" si="77"/>
        <v>156.71040000000002</v>
      </c>
      <c r="E289">
        <f t="shared" si="78"/>
        <v>156.72</v>
      </c>
      <c r="F289">
        <f t="shared" si="79"/>
        <v>172.00020000000001</v>
      </c>
      <c r="G289">
        <f t="shared" si="80"/>
        <v>172.01</v>
      </c>
      <c r="H289">
        <v>779</v>
      </c>
      <c r="I289">
        <v>1</v>
      </c>
      <c r="J289" s="35" t="s">
        <v>3255</v>
      </c>
      <c r="K289" t="str">
        <f t="shared" si="60"/>
        <v>1037</v>
      </c>
      <c r="L289" s="36" t="s">
        <v>4393</v>
      </c>
      <c r="M289" s="35">
        <v>7629</v>
      </c>
      <c r="N289" s="36" t="s">
        <v>5269</v>
      </c>
      <c r="O289" s="35" t="s">
        <v>5312</v>
      </c>
      <c r="P289" s="35" t="s">
        <v>5313</v>
      </c>
    </row>
    <row r="290" spans="1:16" hidden="1">
      <c r="A290" s="35">
        <v>1041</v>
      </c>
      <c r="B290" s="36" t="s">
        <v>1865</v>
      </c>
      <c r="C290" t="e">
        <f>VLOOKUP(A290,'TABELA SPOLINE'!A:J,10,FALSE)</f>
        <v>#N/A</v>
      </c>
      <c r="H290">
        <v>779</v>
      </c>
      <c r="I290">
        <v>1</v>
      </c>
      <c r="J290" s="35" t="s">
        <v>3250</v>
      </c>
      <c r="K290" t="str">
        <f t="shared" si="60"/>
        <v>1041</v>
      </c>
      <c r="L290" s="36" t="s">
        <v>4394</v>
      </c>
      <c r="M290" s="35">
        <v>7629</v>
      </c>
      <c r="N290" s="36" t="s">
        <v>5269</v>
      </c>
      <c r="O290" s="35" t="s">
        <v>5314</v>
      </c>
      <c r="P290" s="35" t="s">
        <v>5315</v>
      </c>
    </row>
    <row r="291" spans="1:16">
      <c r="A291" s="35">
        <v>1044</v>
      </c>
      <c r="B291" s="36" t="s">
        <v>1866</v>
      </c>
      <c r="C291">
        <f>VLOOKUP(A291,'TABELA SPOLINE'!A:J,10,FALSE)</f>
        <v>142.46400000000003</v>
      </c>
      <c r="D291">
        <f t="shared" ref="D291:D294" si="81">C291*0.1+C291</f>
        <v>156.71040000000002</v>
      </c>
      <c r="E291">
        <f t="shared" ref="E291:E294" si="82">ROUNDUP(D291,2)</f>
        <v>156.72</v>
      </c>
      <c r="F291">
        <f t="shared" ref="F291:F294" si="83">E291*0.0975+E291</f>
        <v>172.00020000000001</v>
      </c>
      <c r="G291">
        <f t="shared" ref="G291:G294" si="84">ROUNDUP(F291,2)</f>
        <v>172.01</v>
      </c>
      <c r="H291">
        <v>779</v>
      </c>
      <c r="I291">
        <v>1</v>
      </c>
      <c r="J291" s="35" t="s">
        <v>3251</v>
      </c>
      <c r="K291" t="str">
        <f t="shared" si="60"/>
        <v>1044</v>
      </c>
      <c r="L291" s="36" t="s">
        <v>4395</v>
      </c>
      <c r="M291" s="35">
        <v>7629</v>
      </c>
      <c r="N291" s="36" t="s">
        <v>5269</v>
      </c>
      <c r="O291" s="35" t="s">
        <v>5316</v>
      </c>
      <c r="P291" s="35" t="s">
        <v>5317</v>
      </c>
    </row>
    <row r="292" spans="1:16">
      <c r="A292" s="35">
        <v>1045</v>
      </c>
      <c r="B292" s="36" t="s">
        <v>1867</v>
      </c>
      <c r="C292">
        <f>VLOOKUP(A292,'TABELA SPOLINE'!A:J,10,FALSE)</f>
        <v>170.95680000000002</v>
      </c>
      <c r="D292">
        <f t="shared" si="81"/>
        <v>188.05248</v>
      </c>
      <c r="E292">
        <f t="shared" si="82"/>
        <v>188.06</v>
      </c>
      <c r="F292">
        <f t="shared" si="83"/>
        <v>206.39585</v>
      </c>
      <c r="G292">
        <f t="shared" si="84"/>
        <v>206.39999999999998</v>
      </c>
      <c r="H292">
        <v>779</v>
      </c>
      <c r="I292">
        <v>1</v>
      </c>
      <c r="J292" s="35" t="s">
        <v>3252</v>
      </c>
      <c r="K292" t="str">
        <f t="shared" si="60"/>
        <v>1045</v>
      </c>
      <c r="L292" s="36" t="s">
        <v>4396</v>
      </c>
      <c r="M292" s="35">
        <v>7629</v>
      </c>
      <c r="N292" s="36" t="s">
        <v>5269</v>
      </c>
      <c r="O292" s="35" t="s">
        <v>5312</v>
      </c>
      <c r="P292" s="35" t="s">
        <v>5313</v>
      </c>
    </row>
    <row r="293" spans="1:16">
      <c r="A293" s="35">
        <v>1048</v>
      </c>
      <c r="B293" s="36" t="s">
        <v>1868</v>
      </c>
      <c r="C293">
        <f>VLOOKUP(A293,'TABELA SPOLINE'!A:J,10,FALSE)</f>
        <v>170.95680000000002</v>
      </c>
      <c r="D293">
        <f t="shared" si="81"/>
        <v>188.05248</v>
      </c>
      <c r="E293">
        <f t="shared" si="82"/>
        <v>188.06</v>
      </c>
      <c r="F293">
        <f t="shared" si="83"/>
        <v>206.39585</v>
      </c>
      <c r="G293">
        <f t="shared" si="84"/>
        <v>206.39999999999998</v>
      </c>
      <c r="H293">
        <v>779</v>
      </c>
      <c r="I293">
        <v>1</v>
      </c>
      <c r="J293" s="35" t="s">
        <v>3253</v>
      </c>
      <c r="K293" t="str">
        <f t="shared" si="60"/>
        <v>1048</v>
      </c>
      <c r="L293" s="36" t="s">
        <v>4397</v>
      </c>
      <c r="M293" s="35">
        <v>7629</v>
      </c>
      <c r="N293" s="36" t="s">
        <v>5269</v>
      </c>
      <c r="O293" s="35" t="s">
        <v>5318</v>
      </c>
      <c r="P293" s="35" t="s">
        <v>5319</v>
      </c>
    </row>
    <row r="294" spans="1:16">
      <c r="A294" s="35">
        <v>1049</v>
      </c>
      <c r="B294" s="36" t="s">
        <v>1869</v>
      </c>
      <c r="C294">
        <f>VLOOKUP(A294,'TABELA SPOLINE'!A:J,10,FALSE)</f>
        <v>142.46400000000003</v>
      </c>
      <c r="D294">
        <f t="shared" si="81"/>
        <v>156.71040000000002</v>
      </c>
      <c r="E294">
        <f t="shared" si="82"/>
        <v>156.72</v>
      </c>
      <c r="F294">
        <f t="shared" si="83"/>
        <v>172.00020000000001</v>
      </c>
      <c r="G294">
        <f t="shared" si="84"/>
        <v>172.01</v>
      </c>
      <c r="H294">
        <v>779</v>
      </c>
      <c r="I294">
        <v>1</v>
      </c>
      <c r="J294" s="35" t="s">
        <v>3254</v>
      </c>
      <c r="K294" t="str">
        <f t="shared" si="60"/>
        <v>1049</v>
      </c>
      <c r="L294" s="36" t="s">
        <v>4398</v>
      </c>
      <c r="M294" s="35">
        <v>7629</v>
      </c>
      <c r="N294" s="36" t="s">
        <v>5269</v>
      </c>
      <c r="O294" s="35" t="s">
        <v>5316</v>
      </c>
      <c r="P294" s="35" t="s">
        <v>5317</v>
      </c>
    </row>
    <row r="295" spans="1:16" hidden="1">
      <c r="A295" s="35">
        <v>1055</v>
      </c>
      <c r="B295" s="36" t="s">
        <v>1872</v>
      </c>
      <c r="C295" t="e">
        <f>VLOOKUP(A295,'TABELA SPOLINE'!A:J,10,FALSE)</f>
        <v>#N/A</v>
      </c>
      <c r="H295">
        <v>782</v>
      </c>
      <c r="I295">
        <v>20</v>
      </c>
      <c r="J295" s="35" t="s">
        <v>3257</v>
      </c>
      <c r="K295" t="str">
        <f t="shared" si="60"/>
        <v>1055</v>
      </c>
      <c r="L295" s="36" t="s">
        <v>4399</v>
      </c>
      <c r="M295" s="35">
        <v>7629</v>
      </c>
      <c r="N295" s="36" t="s">
        <v>5269</v>
      </c>
      <c r="O295" s="35" t="s">
        <v>5316</v>
      </c>
      <c r="P295" s="35" t="s">
        <v>5317</v>
      </c>
    </row>
    <row r="296" spans="1:16" hidden="1">
      <c r="A296" s="35">
        <v>1056</v>
      </c>
      <c r="B296" s="36" t="s">
        <v>1873</v>
      </c>
      <c r="C296" t="e">
        <f>VLOOKUP(A296,'TABELA SPOLINE'!A:J,10,FALSE)</f>
        <v>#N/A</v>
      </c>
      <c r="H296">
        <v>782</v>
      </c>
      <c r="I296">
        <v>20</v>
      </c>
      <c r="J296" s="35" t="s">
        <v>3258</v>
      </c>
      <c r="K296" t="str">
        <f t="shared" si="60"/>
        <v>1056</v>
      </c>
      <c r="L296" s="36" t="s">
        <v>4400</v>
      </c>
      <c r="M296" s="35">
        <v>7629</v>
      </c>
      <c r="N296" s="36" t="s">
        <v>5269</v>
      </c>
      <c r="O296" s="35" t="s">
        <v>5486</v>
      </c>
      <c r="P296" s="35" t="s">
        <v>5487</v>
      </c>
    </row>
    <row r="297" spans="1:16" hidden="1">
      <c r="A297" s="35">
        <v>1057</v>
      </c>
      <c r="B297" s="36" t="s">
        <v>1874</v>
      </c>
      <c r="C297" t="e">
        <f>VLOOKUP(A297,'TABELA SPOLINE'!A:J,10,FALSE)</f>
        <v>#N/A</v>
      </c>
      <c r="H297">
        <v>782</v>
      </c>
      <c r="I297">
        <v>20</v>
      </c>
      <c r="J297" s="35" t="s">
        <v>3259</v>
      </c>
      <c r="K297" t="str">
        <f t="shared" si="60"/>
        <v>1057</v>
      </c>
      <c r="L297" s="36" t="s">
        <v>4401</v>
      </c>
      <c r="M297" s="35">
        <v>7629</v>
      </c>
      <c r="N297" s="36" t="s">
        <v>5269</v>
      </c>
      <c r="O297" s="35" t="s">
        <v>5488</v>
      </c>
      <c r="P297" s="35" t="s">
        <v>5489</v>
      </c>
    </row>
    <row r="298" spans="1:16" hidden="1">
      <c r="A298" s="35">
        <v>1058</v>
      </c>
      <c r="B298" s="36" t="s">
        <v>1875</v>
      </c>
      <c r="C298" t="e">
        <f>VLOOKUP(A298,'TABELA SPOLINE'!A:J,10,FALSE)</f>
        <v>#N/A</v>
      </c>
      <c r="H298">
        <v>782</v>
      </c>
      <c r="I298">
        <v>20</v>
      </c>
      <c r="J298" s="35" t="s">
        <v>3260</v>
      </c>
      <c r="K298" t="str">
        <f t="shared" si="60"/>
        <v>1058</v>
      </c>
      <c r="L298" s="36" t="s">
        <v>4402</v>
      </c>
      <c r="M298" s="35">
        <v>7629</v>
      </c>
      <c r="N298" s="36" t="s">
        <v>5269</v>
      </c>
      <c r="O298" s="35" t="s">
        <v>5488</v>
      </c>
      <c r="P298" s="35" t="s">
        <v>5489</v>
      </c>
    </row>
    <row r="299" spans="1:16" hidden="1">
      <c r="A299" s="35">
        <v>1059</v>
      </c>
      <c r="B299" s="36" t="s">
        <v>1879</v>
      </c>
      <c r="C299" t="e">
        <f>VLOOKUP(A299,'TABELA SPOLINE'!A:J,10,FALSE)</f>
        <v>#N/A</v>
      </c>
      <c r="H299">
        <v>782</v>
      </c>
      <c r="I299">
        <v>25</v>
      </c>
      <c r="J299" s="35" t="s">
        <v>3264</v>
      </c>
      <c r="K299" t="str">
        <f t="shared" si="60"/>
        <v>1059</v>
      </c>
      <c r="L299" s="36" t="s">
        <v>4403</v>
      </c>
      <c r="M299" s="35">
        <v>7629</v>
      </c>
      <c r="N299" s="36" t="s">
        <v>5269</v>
      </c>
      <c r="O299" s="35" t="s">
        <v>5490</v>
      </c>
      <c r="P299" s="35" t="s">
        <v>5491</v>
      </c>
    </row>
    <row r="300" spans="1:16" hidden="1">
      <c r="A300" s="35">
        <v>1060</v>
      </c>
      <c r="B300" s="36" t="s">
        <v>1880</v>
      </c>
      <c r="C300" t="e">
        <f>VLOOKUP(A300,'TABELA SPOLINE'!A:J,10,FALSE)</f>
        <v>#N/A</v>
      </c>
      <c r="H300">
        <v>782</v>
      </c>
      <c r="I300">
        <v>25</v>
      </c>
      <c r="J300" s="35" t="s">
        <v>3265</v>
      </c>
      <c r="K300" t="str">
        <f t="shared" si="60"/>
        <v>1060</v>
      </c>
      <c r="L300" s="36" t="s">
        <v>4404</v>
      </c>
      <c r="M300" s="35">
        <v>7629</v>
      </c>
      <c r="N300" s="36" t="s">
        <v>5269</v>
      </c>
      <c r="O300" s="35" t="s">
        <v>5492</v>
      </c>
      <c r="P300" s="35" t="s">
        <v>5493</v>
      </c>
    </row>
    <row r="301" spans="1:16" hidden="1">
      <c r="A301" s="35">
        <v>1061</v>
      </c>
      <c r="B301" s="36" t="s">
        <v>1881</v>
      </c>
      <c r="C301" t="e">
        <f>VLOOKUP(A301,'TABELA SPOLINE'!A:J,10,FALSE)</f>
        <v>#N/A</v>
      </c>
      <c r="H301">
        <v>782</v>
      </c>
      <c r="I301">
        <v>25</v>
      </c>
      <c r="J301" s="35" t="s">
        <v>3266</v>
      </c>
      <c r="K301" t="str">
        <f t="shared" si="60"/>
        <v>1061</v>
      </c>
      <c r="L301" s="36" t="s">
        <v>4405</v>
      </c>
      <c r="M301" s="35">
        <v>7629</v>
      </c>
      <c r="N301" s="36" t="s">
        <v>5269</v>
      </c>
      <c r="O301" s="35" t="s">
        <v>5490</v>
      </c>
      <c r="P301" s="35" t="s">
        <v>5491</v>
      </c>
    </row>
    <row r="302" spans="1:16" hidden="1">
      <c r="A302" s="35">
        <v>1062</v>
      </c>
      <c r="B302" s="36" t="s">
        <v>1882</v>
      </c>
      <c r="C302" t="e">
        <f>VLOOKUP(A302,'TABELA SPOLINE'!A:J,10,FALSE)</f>
        <v>#N/A</v>
      </c>
      <c r="H302">
        <v>782</v>
      </c>
      <c r="I302">
        <v>25</v>
      </c>
      <c r="J302" s="35" t="s">
        <v>3267</v>
      </c>
      <c r="K302" t="str">
        <f t="shared" si="60"/>
        <v>1062</v>
      </c>
      <c r="L302" s="36" t="s">
        <v>4406</v>
      </c>
      <c r="M302" s="35">
        <v>7629</v>
      </c>
      <c r="N302" s="36" t="s">
        <v>5269</v>
      </c>
      <c r="O302" s="35" t="s">
        <v>5488</v>
      </c>
      <c r="P302" s="35" t="s">
        <v>5489</v>
      </c>
    </row>
    <row r="303" spans="1:16" hidden="1">
      <c r="A303" s="35">
        <v>1064</v>
      </c>
      <c r="B303" s="36" t="s">
        <v>1886</v>
      </c>
      <c r="C303" t="e">
        <f>VLOOKUP(A303,'TABELA SPOLINE'!A:J,10,FALSE)</f>
        <v>#N/A</v>
      </c>
      <c r="H303">
        <v>784</v>
      </c>
      <c r="I303">
        <v>2</v>
      </c>
      <c r="J303" s="35" t="s">
        <v>3271</v>
      </c>
      <c r="K303" t="str">
        <f t="shared" si="60"/>
        <v>1064</v>
      </c>
      <c r="L303" s="36" t="s">
        <v>4407</v>
      </c>
      <c r="M303" s="35">
        <v>7629</v>
      </c>
      <c r="N303" s="36" t="s">
        <v>5269</v>
      </c>
      <c r="O303" s="35" t="s">
        <v>5486</v>
      </c>
      <c r="P303" s="35" t="s">
        <v>5487</v>
      </c>
    </row>
    <row r="304" spans="1:16" hidden="1">
      <c r="A304" s="35">
        <v>1065</v>
      </c>
      <c r="B304" s="36" t="s">
        <v>1887</v>
      </c>
      <c r="C304" t="e">
        <f>VLOOKUP(A304,'TABELA SPOLINE'!A:J,10,FALSE)</f>
        <v>#N/A</v>
      </c>
      <c r="H304">
        <v>784</v>
      </c>
      <c r="I304">
        <v>2</v>
      </c>
      <c r="J304" s="35" t="s">
        <v>3272</v>
      </c>
      <c r="K304" t="str">
        <f t="shared" si="60"/>
        <v>1065</v>
      </c>
      <c r="L304" s="36" t="s">
        <v>4408</v>
      </c>
      <c r="M304" s="35">
        <v>7629</v>
      </c>
      <c r="N304" s="36" t="s">
        <v>5269</v>
      </c>
      <c r="O304" s="35" t="s">
        <v>5488</v>
      </c>
      <c r="P304" s="35" t="s">
        <v>5489</v>
      </c>
    </row>
    <row r="305" spans="1:16">
      <c r="A305" s="35">
        <v>1066</v>
      </c>
      <c r="B305" s="36" t="s">
        <v>1888</v>
      </c>
      <c r="C305">
        <f>VLOOKUP(A305,'TABELA SPOLINE'!A:J,10,FALSE)</f>
        <v>320.54399999999998</v>
      </c>
      <c r="D305">
        <f t="shared" ref="D305:D307" si="85">C305*0.1+C305</f>
        <v>352.59839999999997</v>
      </c>
      <c r="E305">
        <f t="shared" ref="E305:E307" si="86">ROUNDUP(D305,2)</f>
        <v>352.59999999999997</v>
      </c>
      <c r="F305">
        <f t="shared" ref="F305:F307" si="87">E305*0.0975+E305</f>
        <v>386.97849999999994</v>
      </c>
      <c r="G305">
        <f t="shared" ref="G305:G307" si="88">ROUNDUP(F305,2)</f>
        <v>386.98</v>
      </c>
      <c r="H305">
        <v>784</v>
      </c>
      <c r="I305">
        <v>2</v>
      </c>
      <c r="J305" s="35" t="s">
        <v>3273</v>
      </c>
      <c r="K305" t="str">
        <f t="shared" si="60"/>
        <v>1066</v>
      </c>
      <c r="L305" s="36" t="s">
        <v>4409</v>
      </c>
      <c r="M305" s="35">
        <v>7629</v>
      </c>
      <c r="N305" s="36" t="s">
        <v>5269</v>
      </c>
      <c r="O305" s="35" t="s">
        <v>5492</v>
      </c>
      <c r="P305" s="35" t="s">
        <v>5493</v>
      </c>
    </row>
    <row r="306" spans="1:16">
      <c r="A306" s="35">
        <v>1067</v>
      </c>
      <c r="B306" s="36" t="s">
        <v>1889</v>
      </c>
      <c r="C306">
        <f>VLOOKUP(A306,'TABELA SPOLINE'!A:J,10,FALSE)</f>
        <v>267.12</v>
      </c>
      <c r="D306">
        <f t="shared" si="85"/>
        <v>293.83199999999999</v>
      </c>
      <c r="E306">
        <f t="shared" si="86"/>
        <v>293.83999999999997</v>
      </c>
      <c r="F306">
        <f t="shared" si="87"/>
        <v>322.48939999999999</v>
      </c>
      <c r="G306">
        <f t="shared" si="88"/>
        <v>322.49</v>
      </c>
      <c r="H306">
        <v>784</v>
      </c>
      <c r="I306">
        <v>2</v>
      </c>
      <c r="J306" s="35" t="s">
        <v>3274</v>
      </c>
      <c r="K306" t="str">
        <f t="shared" si="60"/>
        <v>1067</v>
      </c>
      <c r="L306" s="36" t="s">
        <v>4406</v>
      </c>
      <c r="M306" s="35">
        <v>7629</v>
      </c>
      <c r="N306" s="36" t="s">
        <v>5269</v>
      </c>
      <c r="O306" s="35" t="s">
        <v>5492</v>
      </c>
      <c r="P306" s="35" t="s">
        <v>5493</v>
      </c>
    </row>
    <row r="307" spans="1:16">
      <c r="A307" s="35">
        <v>1068</v>
      </c>
      <c r="B307" s="36" t="s">
        <v>1890</v>
      </c>
      <c r="C307">
        <f>VLOOKUP(A307,'TABELA SPOLINE'!A:J,10,FALSE)</f>
        <v>320.54399999999998</v>
      </c>
      <c r="D307">
        <f t="shared" si="85"/>
        <v>352.59839999999997</v>
      </c>
      <c r="E307">
        <f t="shared" si="86"/>
        <v>352.59999999999997</v>
      </c>
      <c r="F307">
        <f t="shared" si="87"/>
        <v>386.97849999999994</v>
      </c>
      <c r="G307">
        <f t="shared" si="88"/>
        <v>386.98</v>
      </c>
      <c r="H307">
        <v>784</v>
      </c>
      <c r="I307">
        <v>2</v>
      </c>
      <c r="J307" s="35" t="s">
        <v>3275</v>
      </c>
      <c r="K307" t="str">
        <f t="shared" si="60"/>
        <v>1068</v>
      </c>
      <c r="L307" s="36" t="s">
        <v>4410</v>
      </c>
      <c r="M307" s="35">
        <v>7629</v>
      </c>
      <c r="N307" s="36" t="s">
        <v>5269</v>
      </c>
      <c r="O307" s="35" t="s">
        <v>5492</v>
      </c>
      <c r="P307" s="35" t="s">
        <v>5493</v>
      </c>
    </row>
    <row r="308" spans="1:16" hidden="1">
      <c r="A308" s="35">
        <v>1069</v>
      </c>
      <c r="B308" s="36" t="s">
        <v>1891</v>
      </c>
      <c r="C308" t="e">
        <f>VLOOKUP(A308,'TABELA SPOLINE'!A:J,10,FALSE)</f>
        <v>#N/A</v>
      </c>
      <c r="H308">
        <v>784</v>
      </c>
      <c r="I308">
        <v>2</v>
      </c>
      <c r="J308" s="35" t="s">
        <v>3276</v>
      </c>
      <c r="K308" t="str">
        <f t="shared" si="60"/>
        <v>1069</v>
      </c>
      <c r="L308" s="36" t="s">
        <v>4411</v>
      </c>
      <c r="M308" s="35">
        <v>7629</v>
      </c>
      <c r="N308" s="36" t="s">
        <v>5269</v>
      </c>
      <c r="O308" s="35" t="s">
        <v>5492</v>
      </c>
      <c r="P308" s="35" t="s">
        <v>5493</v>
      </c>
    </row>
    <row r="309" spans="1:16">
      <c r="A309" s="35">
        <v>1071</v>
      </c>
      <c r="B309" s="36" t="s">
        <v>1892</v>
      </c>
      <c r="C309">
        <f>VLOOKUP(A309,'TABELA SPOLINE'!A:J,10,FALSE)</f>
        <v>267.12</v>
      </c>
      <c r="D309">
        <f>C309*0.1+C309</f>
        <v>293.83199999999999</v>
      </c>
      <c r="E309">
        <f>ROUNDUP(D309,2)</f>
        <v>293.83999999999997</v>
      </c>
      <c r="F309">
        <f>E309*0.0975+E309</f>
        <v>322.48939999999999</v>
      </c>
      <c r="G309">
        <f>ROUNDUP(F309,2)</f>
        <v>322.49</v>
      </c>
      <c r="H309">
        <v>784</v>
      </c>
      <c r="I309">
        <v>2</v>
      </c>
      <c r="J309" s="35" t="s">
        <v>3277</v>
      </c>
      <c r="K309" t="str">
        <f t="shared" si="60"/>
        <v>1071</v>
      </c>
      <c r="L309" s="36" t="s">
        <v>4412</v>
      </c>
      <c r="M309" s="35">
        <v>7629</v>
      </c>
      <c r="N309" s="36" t="s">
        <v>5269</v>
      </c>
      <c r="O309" s="35" t="s">
        <v>5492</v>
      </c>
      <c r="P309" s="35" t="s">
        <v>5493</v>
      </c>
    </row>
    <row r="310" spans="1:16" hidden="1">
      <c r="A310" s="35">
        <v>1073</v>
      </c>
      <c r="B310" s="36" t="s">
        <v>1908</v>
      </c>
      <c r="C310" t="e">
        <f>VLOOKUP(A310,'TABELA SPOLINE'!A:J,10,FALSE)</f>
        <v>#N/A</v>
      </c>
      <c r="H310">
        <v>786</v>
      </c>
      <c r="I310">
        <v>1</v>
      </c>
      <c r="J310" s="35" t="s">
        <v>3293</v>
      </c>
      <c r="K310" t="str">
        <f t="shared" si="60"/>
        <v>1073</v>
      </c>
      <c r="L310" s="36" t="s">
        <v>4413</v>
      </c>
      <c r="M310" s="35">
        <v>7629</v>
      </c>
      <c r="N310" s="36" t="s">
        <v>5269</v>
      </c>
      <c r="O310" s="35" t="s">
        <v>5486</v>
      </c>
      <c r="P310" s="35" t="s">
        <v>5487</v>
      </c>
    </row>
    <row r="311" spans="1:16" hidden="1">
      <c r="A311" s="35">
        <v>1075</v>
      </c>
      <c r="B311" s="36" t="s">
        <v>1909</v>
      </c>
      <c r="C311" t="e">
        <f>VLOOKUP(A311,'TABELA SPOLINE'!A:J,10,FALSE)</f>
        <v>#N/A</v>
      </c>
      <c r="H311">
        <v>786</v>
      </c>
      <c r="I311">
        <v>1</v>
      </c>
      <c r="J311" s="35" t="s">
        <v>3294</v>
      </c>
      <c r="K311" t="str">
        <f t="shared" si="60"/>
        <v>1075</v>
      </c>
      <c r="L311" s="36" t="s">
        <v>4414</v>
      </c>
      <c r="M311" s="35">
        <v>7629</v>
      </c>
      <c r="N311" s="36" t="s">
        <v>5269</v>
      </c>
      <c r="O311" s="35" t="s">
        <v>5488</v>
      </c>
      <c r="P311" s="35" t="s">
        <v>5489</v>
      </c>
    </row>
    <row r="312" spans="1:16">
      <c r="A312" s="35">
        <v>1076</v>
      </c>
      <c r="B312" s="36" t="s">
        <v>1910</v>
      </c>
      <c r="C312">
        <f>VLOOKUP(A312,'TABELA SPOLINE'!A:J,10,FALSE)</f>
        <v>192.32640000000001</v>
      </c>
      <c r="D312">
        <f>C312*0.1+C312</f>
        <v>211.55904000000001</v>
      </c>
      <c r="E312">
        <f>ROUNDUP(D312,2)</f>
        <v>211.56</v>
      </c>
      <c r="F312">
        <f>E312*0.0975+E312</f>
        <v>232.18710000000002</v>
      </c>
      <c r="G312">
        <f>ROUNDUP(F312,2)</f>
        <v>232.19</v>
      </c>
      <c r="H312">
        <v>786</v>
      </c>
      <c r="I312">
        <v>1</v>
      </c>
      <c r="J312" s="35" t="s">
        <v>3295</v>
      </c>
      <c r="K312" t="str">
        <f t="shared" si="60"/>
        <v>1076</v>
      </c>
      <c r="L312" s="36" t="s">
        <v>4415</v>
      </c>
      <c r="M312" s="35">
        <v>7629</v>
      </c>
      <c r="N312" s="36" t="s">
        <v>5269</v>
      </c>
      <c r="O312" s="35" t="s">
        <v>5488</v>
      </c>
      <c r="P312" s="35" t="s">
        <v>5489</v>
      </c>
    </row>
    <row r="313" spans="1:16" hidden="1">
      <c r="A313" s="35">
        <v>1077</v>
      </c>
      <c r="B313" s="36" t="s">
        <v>1901</v>
      </c>
      <c r="C313" t="e">
        <f>VLOOKUP(A313,'TABELA SPOLINE'!A:J,10,FALSE)</f>
        <v>#N/A</v>
      </c>
      <c r="H313">
        <v>786</v>
      </c>
      <c r="I313">
        <v>1</v>
      </c>
      <c r="J313" s="35" t="s">
        <v>3286</v>
      </c>
      <c r="K313" t="str">
        <f t="shared" si="60"/>
        <v>1077</v>
      </c>
      <c r="L313" s="36" t="s">
        <v>4416</v>
      </c>
      <c r="M313" s="35">
        <v>7629</v>
      </c>
      <c r="N313" s="36" t="s">
        <v>5269</v>
      </c>
      <c r="O313" s="35" t="s">
        <v>5486</v>
      </c>
      <c r="P313" s="35" t="s">
        <v>5487</v>
      </c>
    </row>
    <row r="314" spans="1:16">
      <c r="A314" s="35">
        <v>1080</v>
      </c>
      <c r="B314" s="36" t="s">
        <v>1911</v>
      </c>
      <c r="C314">
        <f>VLOOKUP(A314,'TABELA SPOLINE'!A:J,10,FALSE)</f>
        <v>160.27199999999999</v>
      </c>
      <c r="D314">
        <f t="shared" ref="D314:D320" si="89">C314*0.1+C314</f>
        <v>176.29919999999998</v>
      </c>
      <c r="E314">
        <f t="shared" ref="E314:E320" si="90">ROUNDUP(D314,2)</f>
        <v>176.29999999999998</v>
      </c>
      <c r="F314">
        <f t="shared" ref="F314:F320" si="91">E314*0.0975+E314</f>
        <v>193.48924999999997</v>
      </c>
      <c r="G314">
        <f t="shared" ref="G314:G320" si="92">ROUNDUP(F314,2)</f>
        <v>193.48999999999998</v>
      </c>
      <c r="H314">
        <v>786</v>
      </c>
      <c r="I314">
        <v>1</v>
      </c>
      <c r="J314" s="35" t="s">
        <v>3296</v>
      </c>
      <c r="K314" t="str">
        <f t="shared" si="60"/>
        <v>1080</v>
      </c>
      <c r="L314" s="36" t="s">
        <v>4417</v>
      </c>
      <c r="M314" s="35">
        <v>7629</v>
      </c>
      <c r="N314" s="36" t="s">
        <v>5269</v>
      </c>
      <c r="O314" s="35" t="s">
        <v>5494</v>
      </c>
      <c r="P314" s="35" t="s">
        <v>5495</v>
      </c>
    </row>
    <row r="315" spans="1:16">
      <c r="A315" s="35">
        <v>1081</v>
      </c>
      <c r="B315" s="36" t="s">
        <v>1902</v>
      </c>
      <c r="C315">
        <f>VLOOKUP(A315,'TABELA SPOLINE'!A:J,10,FALSE)</f>
        <v>160.27199999999999</v>
      </c>
      <c r="D315">
        <f t="shared" si="89"/>
        <v>176.29919999999998</v>
      </c>
      <c r="E315">
        <f t="shared" si="90"/>
        <v>176.29999999999998</v>
      </c>
      <c r="F315">
        <f t="shared" si="91"/>
        <v>193.48924999999997</v>
      </c>
      <c r="G315">
        <f t="shared" si="92"/>
        <v>193.48999999999998</v>
      </c>
      <c r="H315">
        <v>786</v>
      </c>
      <c r="I315">
        <v>1</v>
      </c>
      <c r="J315" s="35" t="s">
        <v>3287</v>
      </c>
      <c r="K315" t="str">
        <f t="shared" si="60"/>
        <v>1081</v>
      </c>
      <c r="L315" s="36" t="s">
        <v>4418</v>
      </c>
      <c r="M315" s="35">
        <v>7629</v>
      </c>
      <c r="N315" s="36" t="s">
        <v>5269</v>
      </c>
      <c r="O315" s="35" t="s">
        <v>5494</v>
      </c>
      <c r="P315" s="35" t="s">
        <v>5495</v>
      </c>
    </row>
    <row r="316" spans="1:16">
      <c r="A316" s="35">
        <v>1082</v>
      </c>
      <c r="B316" s="36" t="s">
        <v>1903</v>
      </c>
      <c r="C316">
        <f>VLOOKUP(A316,'TABELA SPOLINE'!A:J,10,FALSE)</f>
        <v>192.32640000000001</v>
      </c>
      <c r="D316">
        <f t="shared" si="89"/>
        <v>211.55904000000001</v>
      </c>
      <c r="E316">
        <f t="shared" si="90"/>
        <v>211.56</v>
      </c>
      <c r="F316">
        <f t="shared" si="91"/>
        <v>232.18710000000002</v>
      </c>
      <c r="G316">
        <f t="shared" si="92"/>
        <v>232.19</v>
      </c>
      <c r="H316">
        <v>786</v>
      </c>
      <c r="I316">
        <v>1</v>
      </c>
      <c r="J316" s="35" t="s">
        <v>3288</v>
      </c>
      <c r="K316" t="str">
        <f t="shared" si="60"/>
        <v>1082</v>
      </c>
      <c r="L316" s="36" t="s">
        <v>4419</v>
      </c>
      <c r="M316" s="35">
        <v>7629</v>
      </c>
      <c r="N316" s="36" t="s">
        <v>5269</v>
      </c>
      <c r="O316" s="35" t="s">
        <v>5494</v>
      </c>
      <c r="P316" s="35" t="s">
        <v>5495</v>
      </c>
    </row>
    <row r="317" spans="1:16">
      <c r="A317" s="35">
        <v>1085</v>
      </c>
      <c r="B317" s="36" t="s">
        <v>1912</v>
      </c>
      <c r="C317">
        <f>VLOOKUP(A317,'TABELA SPOLINE'!A:J,10,FALSE)</f>
        <v>160.27199999999999</v>
      </c>
      <c r="D317">
        <f t="shared" si="89"/>
        <v>176.29919999999998</v>
      </c>
      <c r="E317">
        <f t="shared" si="90"/>
        <v>176.29999999999998</v>
      </c>
      <c r="F317">
        <f t="shared" si="91"/>
        <v>193.48924999999997</v>
      </c>
      <c r="G317">
        <f t="shared" si="92"/>
        <v>193.48999999999998</v>
      </c>
      <c r="H317">
        <v>786</v>
      </c>
      <c r="I317">
        <v>1</v>
      </c>
      <c r="J317" s="35" t="s">
        <v>3297</v>
      </c>
      <c r="K317" t="str">
        <f t="shared" si="60"/>
        <v>1085</v>
      </c>
      <c r="L317" s="36" t="s">
        <v>4420</v>
      </c>
      <c r="M317" s="35">
        <v>7629</v>
      </c>
      <c r="N317" s="36" t="s">
        <v>5269</v>
      </c>
      <c r="O317" s="35" t="s">
        <v>5494</v>
      </c>
      <c r="P317" s="35" t="s">
        <v>5495</v>
      </c>
    </row>
    <row r="318" spans="1:16">
      <c r="A318" s="35">
        <v>1086</v>
      </c>
      <c r="B318" s="36" t="s">
        <v>1904</v>
      </c>
      <c r="C318">
        <f>VLOOKUP(A318,'TABELA SPOLINE'!A:J,10,FALSE)</f>
        <v>160.27199999999999</v>
      </c>
      <c r="D318">
        <f t="shared" si="89"/>
        <v>176.29919999999998</v>
      </c>
      <c r="E318">
        <f t="shared" si="90"/>
        <v>176.29999999999998</v>
      </c>
      <c r="F318">
        <f t="shared" si="91"/>
        <v>193.48924999999997</v>
      </c>
      <c r="G318">
        <f t="shared" si="92"/>
        <v>193.48999999999998</v>
      </c>
      <c r="H318">
        <v>786</v>
      </c>
      <c r="I318">
        <v>1</v>
      </c>
      <c r="J318" s="35" t="s">
        <v>3289</v>
      </c>
      <c r="K318" t="str">
        <f t="shared" si="60"/>
        <v>1086</v>
      </c>
      <c r="L318" s="36" t="s">
        <v>4421</v>
      </c>
      <c r="M318" s="35">
        <v>7629</v>
      </c>
      <c r="N318" s="36" t="s">
        <v>5269</v>
      </c>
      <c r="O318" s="35" t="s">
        <v>5496</v>
      </c>
      <c r="P318" s="35" t="s">
        <v>5497</v>
      </c>
    </row>
    <row r="319" spans="1:16">
      <c r="A319" s="35">
        <v>1089</v>
      </c>
      <c r="B319" s="36" t="s">
        <v>1913</v>
      </c>
      <c r="C319">
        <f>VLOOKUP(A319,'TABELA SPOLINE'!A:J,10,FALSE)</f>
        <v>192.32640000000001</v>
      </c>
      <c r="D319">
        <f t="shared" si="89"/>
        <v>211.55904000000001</v>
      </c>
      <c r="E319">
        <f t="shared" si="90"/>
        <v>211.56</v>
      </c>
      <c r="F319">
        <f t="shared" si="91"/>
        <v>232.18710000000002</v>
      </c>
      <c r="G319">
        <f t="shared" si="92"/>
        <v>232.19</v>
      </c>
      <c r="H319">
        <v>786</v>
      </c>
      <c r="I319">
        <v>1</v>
      </c>
      <c r="J319" s="35" t="s">
        <v>3298</v>
      </c>
      <c r="K319" t="str">
        <f t="shared" si="60"/>
        <v>1089</v>
      </c>
      <c r="L319" s="36" t="s">
        <v>4422</v>
      </c>
      <c r="M319" s="35">
        <v>7629</v>
      </c>
      <c r="N319" s="36" t="s">
        <v>5269</v>
      </c>
      <c r="O319" s="35" t="s">
        <v>5496</v>
      </c>
      <c r="P319" s="35" t="s">
        <v>5497</v>
      </c>
    </row>
    <row r="320" spans="1:16">
      <c r="A320" s="35">
        <v>1090</v>
      </c>
      <c r="B320" s="36" t="s">
        <v>2121</v>
      </c>
      <c r="C320">
        <f>VLOOKUP(A320,'TABELA SPOLINE'!A:J,10,FALSE)</f>
        <v>231.05879999999999</v>
      </c>
      <c r="D320">
        <f t="shared" si="89"/>
        <v>254.16467999999998</v>
      </c>
      <c r="E320">
        <f t="shared" si="90"/>
        <v>254.17</v>
      </c>
      <c r="F320">
        <f t="shared" si="91"/>
        <v>278.95157499999999</v>
      </c>
      <c r="G320">
        <f t="shared" si="92"/>
        <v>278.95999999999998</v>
      </c>
      <c r="H320">
        <v>787</v>
      </c>
      <c r="I320">
        <v>2</v>
      </c>
      <c r="J320" s="35" t="s">
        <v>3506</v>
      </c>
      <c r="K320" t="str">
        <f t="shared" si="60"/>
        <v>1090</v>
      </c>
      <c r="L320" s="36" t="s">
        <v>4423</v>
      </c>
      <c r="M320" s="35">
        <v>7629</v>
      </c>
      <c r="N320" s="36" t="s">
        <v>5269</v>
      </c>
      <c r="O320" s="35" t="s">
        <v>5498</v>
      </c>
      <c r="P320" s="35" t="s">
        <v>5499</v>
      </c>
    </row>
    <row r="321" spans="1:16" hidden="1">
      <c r="A321" s="35">
        <v>1091</v>
      </c>
      <c r="B321" s="36" t="s">
        <v>2122</v>
      </c>
      <c r="C321" t="e">
        <f>VLOOKUP(A321,'TABELA SPOLINE'!A:J,10,FALSE)</f>
        <v>#N/A</v>
      </c>
      <c r="H321">
        <v>787</v>
      </c>
      <c r="I321">
        <v>2</v>
      </c>
      <c r="J321" s="35" t="s">
        <v>3507</v>
      </c>
      <c r="K321" t="str">
        <f t="shared" si="60"/>
        <v>1091</v>
      </c>
      <c r="L321" s="36" t="s">
        <v>4424</v>
      </c>
      <c r="M321" s="35">
        <v>7629</v>
      </c>
      <c r="N321" s="36" t="s">
        <v>5269</v>
      </c>
      <c r="O321" s="35" t="s">
        <v>5496</v>
      </c>
      <c r="P321" s="35" t="s">
        <v>5497</v>
      </c>
    </row>
    <row r="322" spans="1:16">
      <c r="A322" s="35">
        <v>1093</v>
      </c>
      <c r="B322" s="36" t="s">
        <v>2123</v>
      </c>
      <c r="C322">
        <f>VLOOKUP(A322,'TABELA SPOLINE'!A:J,10,FALSE)</f>
        <v>231.05879999999999</v>
      </c>
      <c r="D322">
        <f t="shared" ref="D322:D325" si="93">C322*0.1+C322</f>
        <v>254.16467999999998</v>
      </c>
      <c r="E322">
        <f t="shared" ref="E322:E325" si="94">ROUNDUP(D322,2)</f>
        <v>254.17</v>
      </c>
      <c r="F322">
        <f t="shared" ref="F322:F325" si="95">E322*0.0975+E322</f>
        <v>278.95157499999999</v>
      </c>
      <c r="G322">
        <f t="shared" ref="G322:G325" si="96">ROUNDUP(F322,2)</f>
        <v>278.95999999999998</v>
      </c>
      <c r="H322">
        <v>787</v>
      </c>
      <c r="I322">
        <v>2</v>
      </c>
      <c r="J322" s="35" t="s">
        <v>3508</v>
      </c>
      <c r="K322" t="str">
        <f t="shared" si="60"/>
        <v>1093</v>
      </c>
      <c r="L322" s="36" t="s">
        <v>4425</v>
      </c>
      <c r="M322" s="35">
        <v>7629</v>
      </c>
      <c r="N322" s="36" t="s">
        <v>5269</v>
      </c>
      <c r="O322" s="35" t="s">
        <v>5500</v>
      </c>
      <c r="P322" s="35" t="s">
        <v>5501</v>
      </c>
    </row>
    <row r="323" spans="1:16">
      <c r="A323" s="35">
        <v>1094</v>
      </c>
      <c r="B323" s="36" t="s">
        <v>2124</v>
      </c>
      <c r="C323">
        <f>VLOOKUP(A323,'TABELA SPOLINE'!A:J,10,FALSE)</f>
        <v>192.54900000000001</v>
      </c>
      <c r="D323">
        <f t="shared" si="93"/>
        <v>211.8039</v>
      </c>
      <c r="E323">
        <f t="shared" si="94"/>
        <v>211.81</v>
      </c>
      <c r="F323">
        <f t="shared" si="95"/>
        <v>232.46147500000001</v>
      </c>
      <c r="G323">
        <f t="shared" si="96"/>
        <v>232.47</v>
      </c>
      <c r="H323">
        <v>787</v>
      </c>
      <c r="I323">
        <v>2</v>
      </c>
      <c r="J323" s="35" t="s">
        <v>3509</v>
      </c>
      <c r="K323" t="str">
        <f t="shared" ref="K323:K386" si="97">TRIM(A323)</f>
        <v>1094</v>
      </c>
      <c r="L323" s="36" t="s">
        <v>4426</v>
      </c>
      <c r="M323" s="35">
        <v>7629</v>
      </c>
      <c r="N323" s="36" t="s">
        <v>5269</v>
      </c>
      <c r="O323" s="35" t="s">
        <v>5500</v>
      </c>
      <c r="P323" s="35" t="s">
        <v>5501</v>
      </c>
    </row>
    <row r="324" spans="1:16">
      <c r="A324" s="35">
        <v>1095</v>
      </c>
      <c r="B324" s="36" t="s">
        <v>2125</v>
      </c>
      <c r="C324">
        <f>VLOOKUP(A324,'TABELA SPOLINE'!A:J,10,FALSE)</f>
        <v>231.05879999999999</v>
      </c>
      <c r="D324">
        <f t="shared" si="93"/>
        <v>254.16467999999998</v>
      </c>
      <c r="E324">
        <f t="shared" si="94"/>
        <v>254.17</v>
      </c>
      <c r="F324">
        <f t="shared" si="95"/>
        <v>278.95157499999999</v>
      </c>
      <c r="G324">
        <f t="shared" si="96"/>
        <v>278.95999999999998</v>
      </c>
      <c r="H324">
        <v>787</v>
      </c>
      <c r="I324">
        <v>2</v>
      </c>
      <c r="J324" s="35" t="s">
        <v>3510</v>
      </c>
      <c r="K324" t="str">
        <f t="shared" si="97"/>
        <v>1095</v>
      </c>
      <c r="L324" s="36" t="s">
        <v>4427</v>
      </c>
      <c r="M324" s="35">
        <v>7629</v>
      </c>
      <c r="N324" s="36" t="s">
        <v>5269</v>
      </c>
      <c r="O324" s="35" t="s">
        <v>5496</v>
      </c>
      <c r="P324" s="35" t="s">
        <v>5497</v>
      </c>
    </row>
    <row r="325" spans="1:16">
      <c r="A325" s="35">
        <v>1096</v>
      </c>
      <c r="B325" s="36" t="s">
        <v>2126</v>
      </c>
      <c r="C325">
        <f>VLOOKUP(A325,'TABELA SPOLINE'!A:J,10,FALSE)</f>
        <v>192.54900000000001</v>
      </c>
      <c r="D325">
        <f t="shared" si="93"/>
        <v>211.8039</v>
      </c>
      <c r="E325">
        <f t="shared" si="94"/>
        <v>211.81</v>
      </c>
      <c r="F325">
        <f t="shared" si="95"/>
        <v>232.46147500000001</v>
      </c>
      <c r="G325">
        <f t="shared" si="96"/>
        <v>232.47</v>
      </c>
      <c r="H325">
        <v>787</v>
      </c>
      <c r="I325">
        <v>2</v>
      </c>
      <c r="J325" s="35" t="s">
        <v>3511</v>
      </c>
      <c r="K325" t="str">
        <f t="shared" si="97"/>
        <v>1096</v>
      </c>
      <c r="L325" s="36" t="s">
        <v>4428</v>
      </c>
      <c r="M325" s="35">
        <v>7629</v>
      </c>
      <c r="N325" s="36" t="s">
        <v>5269</v>
      </c>
      <c r="O325" s="35" t="s">
        <v>5498</v>
      </c>
      <c r="P325" s="35" t="s">
        <v>5499</v>
      </c>
    </row>
    <row r="326" spans="1:16" hidden="1">
      <c r="A326" s="35">
        <v>1098</v>
      </c>
      <c r="B326" s="36" t="s">
        <v>2131</v>
      </c>
      <c r="C326" t="e">
        <f>VLOOKUP(A326,'TABELA SPOLINE'!A:J,10,FALSE)</f>
        <v>#N/A</v>
      </c>
      <c r="H326">
        <v>788</v>
      </c>
      <c r="I326">
        <v>3</v>
      </c>
      <c r="J326" s="35" t="s">
        <v>3516</v>
      </c>
      <c r="K326" t="str">
        <f t="shared" si="97"/>
        <v>1098</v>
      </c>
      <c r="L326" s="36" t="s">
        <v>4429</v>
      </c>
      <c r="M326" s="35">
        <v>7629</v>
      </c>
      <c r="N326" s="36" t="s">
        <v>5269</v>
      </c>
      <c r="O326" s="35" t="s">
        <v>5496</v>
      </c>
      <c r="P326" s="35" t="s">
        <v>5497</v>
      </c>
    </row>
    <row r="327" spans="1:16" hidden="1">
      <c r="A327" s="35">
        <v>1099</v>
      </c>
      <c r="B327" s="36" t="s">
        <v>2132</v>
      </c>
      <c r="C327" t="e">
        <f>VLOOKUP(A327,'TABELA SPOLINE'!A:J,10,FALSE)</f>
        <v>#N/A</v>
      </c>
      <c r="H327">
        <v>788</v>
      </c>
      <c r="I327">
        <v>3</v>
      </c>
      <c r="J327" s="35" t="s">
        <v>3517</v>
      </c>
      <c r="K327" t="str">
        <f t="shared" si="97"/>
        <v>1099</v>
      </c>
      <c r="L327" s="36" t="s">
        <v>4430</v>
      </c>
      <c r="M327" s="35">
        <v>7629</v>
      </c>
      <c r="N327" s="36" t="s">
        <v>5269</v>
      </c>
      <c r="O327" s="35" t="s">
        <v>5496</v>
      </c>
      <c r="P327" s="35" t="s">
        <v>5497</v>
      </c>
    </row>
    <row r="328" spans="1:16">
      <c r="A328" s="35">
        <v>1100</v>
      </c>
      <c r="B328" s="36" t="s">
        <v>2133</v>
      </c>
      <c r="C328">
        <f>VLOOKUP(A328,'TABELA SPOLINE'!A:J,10,FALSE)</f>
        <v>320.54399999999998</v>
      </c>
      <c r="D328">
        <f t="shared" ref="D328:D331" si="98">C328*0.1+C328</f>
        <v>352.59839999999997</v>
      </c>
      <c r="E328">
        <f t="shared" ref="E328:E331" si="99">ROUNDUP(D328,2)</f>
        <v>352.59999999999997</v>
      </c>
      <c r="F328">
        <f t="shared" ref="F328:F331" si="100">E328*0.0975+E328</f>
        <v>386.97849999999994</v>
      </c>
      <c r="G328">
        <f t="shared" ref="G328:G331" si="101">ROUNDUP(F328,2)</f>
        <v>386.98</v>
      </c>
      <c r="H328">
        <v>788</v>
      </c>
      <c r="I328">
        <v>3</v>
      </c>
      <c r="J328" s="35" t="s">
        <v>3518</v>
      </c>
      <c r="K328" t="str">
        <f t="shared" si="97"/>
        <v>1100</v>
      </c>
      <c r="L328" s="36" t="s">
        <v>4431</v>
      </c>
      <c r="M328" s="35">
        <v>7629</v>
      </c>
      <c r="N328" s="36" t="s">
        <v>5269</v>
      </c>
      <c r="O328" s="35" t="s">
        <v>5502</v>
      </c>
      <c r="P328" s="35" t="s">
        <v>5503</v>
      </c>
    </row>
    <row r="329" spans="1:16">
      <c r="A329" s="35">
        <v>1101</v>
      </c>
      <c r="B329" s="36" t="s">
        <v>2134</v>
      </c>
      <c r="C329">
        <f>VLOOKUP(A329,'TABELA SPOLINE'!A:J,10,FALSE)</f>
        <v>267.12</v>
      </c>
      <c r="D329">
        <f t="shared" si="98"/>
        <v>293.83199999999999</v>
      </c>
      <c r="E329">
        <f t="shared" si="99"/>
        <v>293.83999999999997</v>
      </c>
      <c r="F329">
        <f t="shared" si="100"/>
        <v>322.48939999999999</v>
      </c>
      <c r="G329">
        <f t="shared" si="101"/>
        <v>322.49</v>
      </c>
      <c r="H329">
        <v>788</v>
      </c>
      <c r="I329">
        <v>3</v>
      </c>
      <c r="J329" s="35" t="s">
        <v>3519</v>
      </c>
      <c r="K329" t="str">
        <f t="shared" si="97"/>
        <v>1101</v>
      </c>
      <c r="L329" s="36" t="s">
        <v>4432</v>
      </c>
      <c r="M329" s="35">
        <v>7629</v>
      </c>
      <c r="N329" s="36" t="s">
        <v>5269</v>
      </c>
      <c r="O329" s="35" t="s">
        <v>5498</v>
      </c>
      <c r="P329" s="35" t="s">
        <v>5499</v>
      </c>
    </row>
    <row r="330" spans="1:16">
      <c r="A330" s="35">
        <v>1102</v>
      </c>
      <c r="B330" s="36" t="s">
        <v>2135</v>
      </c>
      <c r="C330">
        <f>VLOOKUP(A330,'TABELA SPOLINE'!A:J,10,FALSE)</f>
        <v>320.54399999999998</v>
      </c>
      <c r="D330">
        <f t="shared" si="98"/>
        <v>352.59839999999997</v>
      </c>
      <c r="E330">
        <f t="shared" si="99"/>
        <v>352.59999999999997</v>
      </c>
      <c r="F330">
        <f t="shared" si="100"/>
        <v>386.97849999999994</v>
      </c>
      <c r="G330">
        <f t="shared" si="101"/>
        <v>386.98</v>
      </c>
      <c r="H330">
        <v>788</v>
      </c>
      <c r="I330">
        <v>3</v>
      </c>
      <c r="J330" s="35" t="s">
        <v>3520</v>
      </c>
      <c r="K330" t="str">
        <f t="shared" si="97"/>
        <v>1102</v>
      </c>
      <c r="L330" s="36" t="s">
        <v>4433</v>
      </c>
      <c r="M330" s="35">
        <v>7629</v>
      </c>
      <c r="N330" s="36" t="s">
        <v>5269</v>
      </c>
      <c r="O330" s="35" t="s">
        <v>5502</v>
      </c>
      <c r="P330" s="35" t="s">
        <v>5503</v>
      </c>
    </row>
    <row r="331" spans="1:16">
      <c r="A331" s="35">
        <v>1103</v>
      </c>
      <c r="B331" s="36" t="s">
        <v>2136</v>
      </c>
      <c r="C331">
        <f>VLOOKUP(A331,'TABELA SPOLINE'!A:J,10,FALSE)</f>
        <v>267.12</v>
      </c>
      <c r="D331">
        <f t="shared" si="98"/>
        <v>293.83199999999999</v>
      </c>
      <c r="E331">
        <f t="shared" si="99"/>
        <v>293.83999999999997</v>
      </c>
      <c r="F331">
        <f t="shared" si="100"/>
        <v>322.48939999999999</v>
      </c>
      <c r="G331">
        <f t="shared" si="101"/>
        <v>322.49</v>
      </c>
      <c r="H331">
        <v>788</v>
      </c>
      <c r="I331">
        <v>3</v>
      </c>
      <c r="J331" s="35" t="s">
        <v>3521</v>
      </c>
      <c r="K331" t="str">
        <f t="shared" si="97"/>
        <v>1103</v>
      </c>
      <c r="L331" s="36" t="s">
        <v>4434</v>
      </c>
      <c r="M331" s="35">
        <v>7629</v>
      </c>
      <c r="N331" s="36" t="s">
        <v>5269</v>
      </c>
      <c r="O331" s="35" t="s">
        <v>5498</v>
      </c>
      <c r="P331" s="35" t="s">
        <v>5499</v>
      </c>
    </row>
    <row r="332" spans="1:16" hidden="1">
      <c r="A332" s="35">
        <v>1111</v>
      </c>
      <c r="B332" s="36" t="s">
        <v>2984</v>
      </c>
      <c r="C332" t="e">
        <f>VLOOKUP(A332,'TABELA SPOLINE'!A:J,10,FALSE)</f>
        <v>#N/A</v>
      </c>
      <c r="J332" s="35" t="s">
        <v>2983</v>
      </c>
      <c r="K332" t="str">
        <f t="shared" si="97"/>
        <v>1111</v>
      </c>
      <c r="L332" s="36" t="s">
        <v>4435</v>
      </c>
      <c r="M332" s="35">
        <v>7629</v>
      </c>
      <c r="N332" s="36" t="s">
        <v>5269</v>
      </c>
      <c r="O332" s="35" t="s">
        <v>5500</v>
      </c>
      <c r="P332" s="35" t="s">
        <v>5501</v>
      </c>
    </row>
    <row r="333" spans="1:16" hidden="1">
      <c r="A333" s="35">
        <v>1115</v>
      </c>
      <c r="B333" s="36" t="s">
        <v>2141</v>
      </c>
      <c r="C333" t="e">
        <f>VLOOKUP(A333,'TABELA SPOLINE'!A:J,10,FALSE)</f>
        <v>#N/A</v>
      </c>
      <c r="H333">
        <v>790</v>
      </c>
      <c r="I333">
        <v>1</v>
      </c>
      <c r="J333" s="35" t="s">
        <v>3526</v>
      </c>
      <c r="K333" t="str">
        <f t="shared" si="97"/>
        <v>1115</v>
      </c>
      <c r="L333" s="36" t="s">
        <v>4436</v>
      </c>
      <c r="M333" s="35">
        <v>7629</v>
      </c>
      <c r="N333" s="36" t="s">
        <v>5269</v>
      </c>
      <c r="O333" s="35" t="s">
        <v>5496</v>
      </c>
      <c r="P333" s="35" t="s">
        <v>5497</v>
      </c>
    </row>
    <row r="334" spans="1:16" hidden="1">
      <c r="A334" s="35">
        <v>1116</v>
      </c>
      <c r="B334" s="36" t="s">
        <v>2142</v>
      </c>
      <c r="C334" t="e">
        <f>VLOOKUP(A334,'TABELA SPOLINE'!A:J,10,FALSE)</f>
        <v>#N/A</v>
      </c>
      <c r="H334">
        <v>790</v>
      </c>
      <c r="I334">
        <v>1</v>
      </c>
      <c r="J334" s="35" t="s">
        <v>3527</v>
      </c>
      <c r="K334" t="str">
        <f t="shared" si="97"/>
        <v>1116</v>
      </c>
      <c r="L334" s="36" t="s">
        <v>4437</v>
      </c>
      <c r="M334" s="35">
        <v>7629</v>
      </c>
      <c r="N334" s="36" t="s">
        <v>5269</v>
      </c>
      <c r="O334" s="35" t="s">
        <v>5500</v>
      </c>
      <c r="P334" s="35" t="s">
        <v>5501</v>
      </c>
    </row>
    <row r="335" spans="1:16" hidden="1">
      <c r="A335" s="35">
        <v>1117</v>
      </c>
      <c r="B335" s="36" t="s">
        <v>2147</v>
      </c>
      <c r="C335" t="e">
        <f>VLOOKUP(A335,'TABELA SPOLINE'!A:J,10,FALSE)</f>
        <v>#N/A</v>
      </c>
      <c r="H335">
        <v>790</v>
      </c>
      <c r="I335">
        <v>1</v>
      </c>
      <c r="J335" s="35" t="s">
        <v>3532</v>
      </c>
      <c r="K335" t="str">
        <f t="shared" si="97"/>
        <v>1117</v>
      </c>
      <c r="L335" s="36" t="s">
        <v>4438</v>
      </c>
      <c r="M335" s="35">
        <v>7629</v>
      </c>
      <c r="N335" s="36" t="s">
        <v>5269</v>
      </c>
      <c r="O335" s="35" t="s">
        <v>5496</v>
      </c>
      <c r="P335" s="35" t="s">
        <v>5497</v>
      </c>
    </row>
    <row r="336" spans="1:16" hidden="1">
      <c r="A336" s="35">
        <v>1118</v>
      </c>
      <c r="B336" s="36" t="s">
        <v>2143</v>
      </c>
      <c r="C336" t="e">
        <f>VLOOKUP(A336,'TABELA SPOLINE'!A:J,10,FALSE)</f>
        <v>#N/A</v>
      </c>
      <c r="H336">
        <v>790</v>
      </c>
      <c r="I336">
        <v>1</v>
      </c>
      <c r="J336" s="35" t="s">
        <v>3528</v>
      </c>
      <c r="K336" t="str">
        <f t="shared" si="97"/>
        <v>1118</v>
      </c>
      <c r="L336" s="36" t="s">
        <v>4439</v>
      </c>
      <c r="M336" s="35">
        <v>7629</v>
      </c>
      <c r="N336" s="36" t="s">
        <v>5269</v>
      </c>
      <c r="O336" s="35" t="s">
        <v>5318</v>
      </c>
      <c r="P336" s="35" t="s">
        <v>5319</v>
      </c>
    </row>
    <row r="337" spans="1:16" hidden="1">
      <c r="A337" s="35">
        <v>1119</v>
      </c>
      <c r="B337" s="36" t="s">
        <v>2148</v>
      </c>
      <c r="C337" t="e">
        <f>VLOOKUP(A337,'TABELA SPOLINE'!A:J,10,FALSE)</f>
        <v>#N/A</v>
      </c>
      <c r="H337">
        <v>790</v>
      </c>
      <c r="I337">
        <v>1</v>
      </c>
      <c r="J337" s="35" t="s">
        <v>3533</v>
      </c>
      <c r="K337" t="str">
        <f t="shared" si="97"/>
        <v>1119</v>
      </c>
      <c r="L337" s="36" t="s">
        <v>4440</v>
      </c>
      <c r="M337" s="35">
        <v>7629</v>
      </c>
      <c r="N337" s="36" t="s">
        <v>5269</v>
      </c>
      <c r="O337" s="35" t="s">
        <v>5316</v>
      </c>
      <c r="P337" s="35" t="s">
        <v>5317</v>
      </c>
    </row>
    <row r="338" spans="1:16" hidden="1">
      <c r="A338" s="35">
        <v>1120</v>
      </c>
      <c r="B338" s="36" t="s">
        <v>2153</v>
      </c>
      <c r="C338" t="e">
        <f>VLOOKUP(A338,'TABELA SPOLINE'!A:J,10,FALSE)</f>
        <v>#N/A</v>
      </c>
      <c r="H338">
        <v>790</v>
      </c>
      <c r="I338">
        <v>1</v>
      </c>
      <c r="J338" s="35" t="s">
        <v>3538</v>
      </c>
      <c r="K338" t="str">
        <f t="shared" si="97"/>
        <v>1120</v>
      </c>
      <c r="L338" s="36" t="s">
        <v>4441</v>
      </c>
      <c r="M338" s="35">
        <v>7629</v>
      </c>
      <c r="N338" s="36" t="s">
        <v>5269</v>
      </c>
      <c r="O338" s="35" t="s">
        <v>5318</v>
      </c>
      <c r="P338" s="35" t="s">
        <v>5319</v>
      </c>
    </row>
    <row r="339" spans="1:16" hidden="1">
      <c r="A339" s="35">
        <v>1122</v>
      </c>
      <c r="B339" s="36" t="s">
        <v>2144</v>
      </c>
      <c r="C339" t="e">
        <f>VLOOKUP(A339,'TABELA SPOLINE'!A:J,10,FALSE)</f>
        <v>#N/A</v>
      </c>
      <c r="H339">
        <v>790</v>
      </c>
      <c r="I339">
        <v>1</v>
      </c>
      <c r="J339" s="35" t="s">
        <v>3529</v>
      </c>
      <c r="K339" t="str">
        <f t="shared" si="97"/>
        <v>1122</v>
      </c>
      <c r="L339" s="36" t="s">
        <v>4442</v>
      </c>
      <c r="M339" s="35">
        <v>7629</v>
      </c>
      <c r="N339" s="36" t="s">
        <v>5269</v>
      </c>
      <c r="O339" s="35" t="s">
        <v>5316</v>
      </c>
      <c r="P339" s="35" t="s">
        <v>5317</v>
      </c>
    </row>
    <row r="340" spans="1:16" hidden="1">
      <c r="A340" s="35">
        <v>1123</v>
      </c>
      <c r="B340" s="36" t="s">
        <v>2149</v>
      </c>
      <c r="C340" t="e">
        <f>VLOOKUP(A340,'TABELA SPOLINE'!A:J,10,FALSE)</f>
        <v>#N/A</v>
      </c>
      <c r="H340">
        <v>790</v>
      </c>
      <c r="I340">
        <v>1</v>
      </c>
      <c r="J340" s="35" t="s">
        <v>3534</v>
      </c>
      <c r="K340" t="str">
        <f t="shared" si="97"/>
        <v>1123</v>
      </c>
      <c r="L340" s="36" t="s">
        <v>4443</v>
      </c>
      <c r="M340" s="35">
        <v>7629</v>
      </c>
      <c r="N340" s="36" t="s">
        <v>5269</v>
      </c>
      <c r="O340" s="35" t="s">
        <v>5314</v>
      </c>
      <c r="P340" s="35" t="s">
        <v>5315</v>
      </c>
    </row>
    <row r="341" spans="1:16" hidden="1">
      <c r="A341" s="35">
        <v>1124</v>
      </c>
      <c r="B341" s="36" t="s">
        <v>2145</v>
      </c>
      <c r="C341" t="e">
        <f>VLOOKUP(A341,'TABELA SPOLINE'!A:J,10,FALSE)</f>
        <v>#N/A</v>
      </c>
      <c r="H341">
        <v>790</v>
      </c>
      <c r="I341">
        <v>1</v>
      </c>
      <c r="J341" s="35" t="s">
        <v>3530</v>
      </c>
      <c r="K341" t="str">
        <f t="shared" si="97"/>
        <v>1124</v>
      </c>
      <c r="L341" s="36" t="s">
        <v>4444</v>
      </c>
      <c r="M341" s="35">
        <v>7629</v>
      </c>
      <c r="N341" s="36" t="s">
        <v>5269</v>
      </c>
      <c r="O341" s="35" t="s">
        <v>5312</v>
      </c>
      <c r="P341" s="35" t="s">
        <v>5313</v>
      </c>
    </row>
    <row r="342" spans="1:16" hidden="1">
      <c r="A342" s="35">
        <v>1127</v>
      </c>
      <c r="B342" s="36" t="s">
        <v>2146</v>
      </c>
      <c r="C342" t="e">
        <f>VLOOKUP(A342,'TABELA SPOLINE'!A:J,10,FALSE)</f>
        <v>#N/A</v>
      </c>
      <c r="H342">
        <v>790</v>
      </c>
      <c r="I342">
        <v>1</v>
      </c>
      <c r="J342" s="35" t="s">
        <v>3531</v>
      </c>
      <c r="K342" t="str">
        <f t="shared" si="97"/>
        <v>1127</v>
      </c>
      <c r="L342" s="36" t="s">
        <v>4445</v>
      </c>
      <c r="M342" s="35">
        <v>7629</v>
      </c>
      <c r="N342" s="36" t="s">
        <v>5269</v>
      </c>
      <c r="O342" s="35" t="s">
        <v>5314</v>
      </c>
      <c r="P342" s="35" t="s">
        <v>5315</v>
      </c>
    </row>
    <row r="343" spans="1:16" hidden="1">
      <c r="A343" s="35">
        <v>1128</v>
      </c>
      <c r="B343" s="36" t="s">
        <v>2154</v>
      </c>
      <c r="C343" t="e">
        <f>VLOOKUP(A343,'TABELA SPOLINE'!A:J,10,FALSE)</f>
        <v>#N/A</v>
      </c>
      <c r="H343">
        <v>790</v>
      </c>
      <c r="I343">
        <v>1</v>
      </c>
      <c r="J343" s="35" t="s">
        <v>3539</v>
      </c>
      <c r="K343" t="str">
        <f t="shared" si="97"/>
        <v>1128</v>
      </c>
      <c r="L343" s="36" t="s">
        <v>4446</v>
      </c>
      <c r="M343" s="35">
        <v>7629</v>
      </c>
      <c r="N343" s="36" t="s">
        <v>5269</v>
      </c>
      <c r="O343" s="35" t="s">
        <v>5316</v>
      </c>
      <c r="P343" s="35" t="s">
        <v>5317</v>
      </c>
    </row>
    <row r="344" spans="1:16">
      <c r="A344" s="35">
        <v>1130</v>
      </c>
      <c r="B344" s="36" t="s">
        <v>2158</v>
      </c>
      <c r="C344">
        <f>VLOOKUP(A344,'TABELA SPOLINE'!A:J,10,FALSE)</f>
        <v>127.995</v>
      </c>
      <c r="D344">
        <f>C344*0.1+C344</f>
        <v>140.7945</v>
      </c>
      <c r="E344">
        <f>ROUNDUP(D344,2)</f>
        <v>140.79999999999998</v>
      </c>
      <c r="F344">
        <f>E344*0.0975+E344</f>
        <v>154.52799999999999</v>
      </c>
      <c r="G344">
        <f>ROUNDUP(F344,2)</f>
        <v>154.53</v>
      </c>
      <c r="H344">
        <v>791</v>
      </c>
      <c r="I344">
        <v>1</v>
      </c>
      <c r="J344" s="35" t="s">
        <v>3543</v>
      </c>
      <c r="K344" t="str">
        <f t="shared" si="97"/>
        <v>1130</v>
      </c>
      <c r="L344" s="36" t="s">
        <v>4447</v>
      </c>
      <c r="M344" s="35">
        <v>7629</v>
      </c>
      <c r="N344" s="36" t="s">
        <v>5269</v>
      </c>
      <c r="O344" s="35" t="s">
        <v>5312</v>
      </c>
      <c r="P344" s="35" t="s">
        <v>5313</v>
      </c>
    </row>
    <row r="345" spans="1:16" hidden="1">
      <c r="A345" s="35">
        <v>1131</v>
      </c>
      <c r="B345" s="36" t="s">
        <v>2159</v>
      </c>
      <c r="C345" t="e">
        <f>VLOOKUP(A345,'TABELA SPOLINE'!A:J,10,FALSE)</f>
        <v>#N/A</v>
      </c>
      <c r="H345">
        <v>791</v>
      </c>
      <c r="I345">
        <v>1</v>
      </c>
      <c r="J345" s="35" t="s">
        <v>3544</v>
      </c>
      <c r="K345" t="str">
        <f t="shared" si="97"/>
        <v>1131</v>
      </c>
      <c r="L345" s="36" t="s">
        <v>4448</v>
      </c>
      <c r="M345" s="35">
        <v>7629</v>
      </c>
      <c r="N345" s="36" t="s">
        <v>5269</v>
      </c>
      <c r="O345" s="35" t="s">
        <v>5316</v>
      </c>
      <c r="P345" s="35" t="s">
        <v>5317</v>
      </c>
    </row>
    <row r="346" spans="1:16" hidden="1">
      <c r="A346" s="35">
        <v>1132</v>
      </c>
      <c r="B346" s="36" t="s">
        <v>2160</v>
      </c>
      <c r="C346" t="e">
        <f>VLOOKUP(A346,'TABELA SPOLINE'!A:J,10,FALSE)</f>
        <v>#N/A</v>
      </c>
      <c r="H346">
        <v>791</v>
      </c>
      <c r="I346">
        <v>1</v>
      </c>
      <c r="J346" s="35" t="s">
        <v>3545</v>
      </c>
      <c r="K346" t="str">
        <f t="shared" si="97"/>
        <v>1132</v>
      </c>
      <c r="L346" s="36" t="s">
        <v>4449</v>
      </c>
      <c r="M346" s="35">
        <v>7629</v>
      </c>
      <c r="N346" s="36" t="s">
        <v>5269</v>
      </c>
      <c r="O346" s="35" t="s">
        <v>5504</v>
      </c>
      <c r="P346" s="35" t="s">
        <v>5505</v>
      </c>
    </row>
    <row r="347" spans="1:16">
      <c r="A347" s="35">
        <v>1133</v>
      </c>
      <c r="B347" s="36" t="s">
        <v>2161</v>
      </c>
      <c r="C347">
        <f>VLOOKUP(A347,'TABELA SPOLINE'!A:J,10,FALSE)</f>
        <v>153.59400000000002</v>
      </c>
      <c r="D347">
        <f t="shared" ref="D347:D349" si="102">C347*0.1+C347</f>
        <v>168.95340000000002</v>
      </c>
      <c r="E347">
        <f t="shared" ref="E347:E349" si="103">ROUNDUP(D347,2)</f>
        <v>168.95999999999998</v>
      </c>
      <c r="F347">
        <f t="shared" ref="F347:F349" si="104">E347*0.0975+E347</f>
        <v>185.43359999999998</v>
      </c>
      <c r="G347">
        <f t="shared" ref="G347:G349" si="105">ROUNDUP(F347,2)</f>
        <v>185.44</v>
      </c>
      <c r="H347">
        <v>791</v>
      </c>
      <c r="I347">
        <v>1</v>
      </c>
      <c r="J347" s="35" t="s">
        <v>3546</v>
      </c>
      <c r="K347" t="str">
        <f t="shared" si="97"/>
        <v>1133</v>
      </c>
      <c r="L347" s="36" t="s">
        <v>4450</v>
      </c>
      <c r="M347" s="35">
        <v>7629</v>
      </c>
      <c r="N347" s="36" t="s">
        <v>5269</v>
      </c>
      <c r="O347" s="35" t="s">
        <v>5506</v>
      </c>
      <c r="P347" s="35" t="s">
        <v>5507</v>
      </c>
    </row>
    <row r="348" spans="1:16">
      <c r="A348" s="35">
        <v>1134</v>
      </c>
      <c r="B348" s="36" t="s">
        <v>2162</v>
      </c>
      <c r="C348">
        <f>VLOOKUP(A348,'TABELA SPOLINE'!A:J,10,FALSE)</f>
        <v>153.59400000000002</v>
      </c>
      <c r="D348">
        <f t="shared" si="102"/>
        <v>168.95340000000002</v>
      </c>
      <c r="E348">
        <f t="shared" si="103"/>
        <v>168.95999999999998</v>
      </c>
      <c r="F348">
        <f t="shared" si="104"/>
        <v>185.43359999999998</v>
      </c>
      <c r="G348">
        <f t="shared" si="105"/>
        <v>185.44</v>
      </c>
      <c r="H348">
        <v>791</v>
      </c>
      <c r="I348">
        <v>1</v>
      </c>
      <c r="J348" s="35" t="s">
        <v>3547</v>
      </c>
      <c r="K348" t="str">
        <f t="shared" si="97"/>
        <v>1134</v>
      </c>
      <c r="L348" s="36" t="s">
        <v>4451</v>
      </c>
      <c r="M348" s="35">
        <v>7629</v>
      </c>
      <c r="N348" s="36" t="s">
        <v>5269</v>
      </c>
      <c r="O348" s="35" t="s">
        <v>5506</v>
      </c>
      <c r="P348" s="35" t="s">
        <v>5507</v>
      </c>
    </row>
    <row r="349" spans="1:16">
      <c r="A349" s="35">
        <v>1135</v>
      </c>
      <c r="B349" s="36" t="s">
        <v>2163</v>
      </c>
      <c r="C349">
        <f>VLOOKUP(A349,'TABELA SPOLINE'!A:J,10,FALSE)</f>
        <v>127.995</v>
      </c>
      <c r="D349">
        <f t="shared" si="102"/>
        <v>140.7945</v>
      </c>
      <c r="E349">
        <f t="shared" si="103"/>
        <v>140.79999999999998</v>
      </c>
      <c r="F349">
        <f t="shared" si="104"/>
        <v>154.52799999999999</v>
      </c>
      <c r="G349">
        <f t="shared" si="105"/>
        <v>154.53</v>
      </c>
      <c r="H349">
        <v>791</v>
      </c>
      <c r="I349">
        <v>1</v>
      </c>
      <c r="J349" s="35" t="s">
        <v>3548</v>
      </c>
      <c r="K349" t="str">
        <f t="shared" si="97"/>
        <v>1135</v>
      </c>
      <c r="L349" s="36" t="s">
        <v>4452</v>
      </c>
      <c r="M349" s="35">
        <v>7629</v>
      </c>
      <c r="N349" s="36" t="s">
        <v>5269</v>
      </c>
      <c r="O349" s="35" t="s">
        <v>5508</v>
      </c>
      <c r="P349" s="35" t="s">
        <v>5509</v>
      </c>
    </row>
    <row r="350" spans="1:16" hidden="1">
      <c r="A350" s="35">
        <v>1136</v>
      </c>
      <c r="B350" s="36" t="s">
        <v>2164</v>
      </c>
      <c r="C350" t="e">
        <f>VLOOKUP(A350,'TABELA SPOLINE'!A:J,10,FALSE)</f>
        <v>#N/A</v>
      </c>
      <c r="H350">
        <v>791</v>
      </c>
      <c r="I350">
        <v>1</v>
      </c>
      <c r="J350" s="35" t="s">
        <v>3549</v>
      </c>
      <c r="K350" t="str">
        <f t="shared" si="97"/>
        <v>1136</v>
      </c>
      <c r="L350" s="36" t="s">
        <v>4453</v>
      </c>
      <c r="M350" s="35">
        <v>7629</v>
      </c>
      <c r="N350" s="36" t="s">
        <v>5269</v>
      </c>
      <c r="O350" s="35" t="s">
        <v>5508</v>
      </c>
      <c r="P350" s="35" t="s">
        <v>5509</v>
      </c>
    </row>
    <row r="351" spans="1:16">
      <c r="A351" s="35">
        <v>1137</v>
      </c>
      <c r="B351" s="36" t="s">
        <v>2165</v>
      </c>
      <c r="C351">
        <f>VLOOKUP(A351,'TABELA SPOLINE'!A:J,10,FALSE)</f>
        <v>127.995</v>
      </c>
      <c r="D351">
        <f t="shared" ref="D351:D352" si="106">C351*0.1+C351</f>
        <v>140.7945</v>
      </c>
      <c r="E351">
        <f t="shared" ref="E351:E352" si="107">ROUNDUP(D351,2)</f>
        <v>140.79999999999998</v>
      </c>
      <c r="F351">
        <f t="shared" ref="F351:F352" si="108">E351*0.0975+E351</f>
        <v>154.52799999999999</v>
      </c>
      <c r="G351">
        <f t="shared" ref="G351:G352" si="109">ROUNDUP(F351,2)</f>
        <v>154.53</v>
      </c>
      <c r="H351">
        <v>791</v>
      </c>
      <c r="I351">
        <v>1</v>
      </c>
      <c r="J351" s="35" t="s">
        <v>3550</v>
      </c>
      <c r="K351" t="str">
        <f t="shared" si="97"/>
        <v>1137</v>
      </c>
      <c r="L351" s="36" t="s">
        <v>4453</v>
      </c>
      <c r="M351" s="35">
        <v>7629</v>
      </c>
      <c r="N351" s="36" t="s">
        <v>5269</v>
      </c>
      <c r="O351" s="35" t="s">
        <v>5504</v>
      </c>
      <c r="P351" s="35" t="s">
        <v>5505</v>
      </c>
    </row>
    <row r="352" spans="1:16">
      <c r="A352" s="35">
        <v>1138</v>
      </c>
      <c r="B352" s="36" t="s">
        <v>2166</v>
      </c>
      <c r="C352">
        <f>VLOOKUP(A352,'TABELA SPOLINE'!A:J,10,FALSE)</f>
        <v>153.59400000000002</v>
      </c>
      <c r="D352">
        <f t="shared" si="106"/>
        <v>168.95340000000002</v>
      </c>
      <c r="E352">
        <f t="shared" si="107"/>
        <v>168.95999999999998</v>
      </c>
      <c r="F352">
        <f t="shared" si="108"/>
        <v>185.43359999999998</v>
      </c>
      <c r="G352">
        <f t="shared" si="109"/>
        <v>185.44</v>
      </c>
      <c r="H352">
        <v>791</v>
      </c>
      <c r="I352">
        <v>1</v>
      </c>
      <c r="J352" s="35" t="s">
        <v>3551</v>
      </c>
      <c r="K352" t="str">
        <f t="shared" si="97"/>
        <v>1138</v>
      </c>
      <c r="L352" s="36" t="s">
        <v>4454</v>
      </c>
      <c r="M352" s="35">
        <v>7629</v>
      </c>
      <c r="N352" s="36" t="s">
        <v>5269</v>
      </c>
      <c r="O352" s="35" t="s">
        <v>5508</v>
      </c>
      <c r="P352" s="35" t="s">
        <v>5509</v>
      </c>
    </row>
    <row r="353" spans="1:16" hidden="1">
      <c r="A353" s="35">
        <v>1150</v>
      </c>
      <c r="B353" s="36" t="s">
        <v>2168</v>
      </c>
      <c r="C353" t="e">
        <f>VLOOKUP(A353,'TABELA SPOLINE'!A:J,10,FALSE)</f>
        <v>#N/A</v>
      </c>
      <c r="H353">
        <v>793</v>
      </c>
      <c r="I353">
        <v>1</v>
      </c>
      <c r="J353" s="35" t="s">
        <v>3553</v>
      </c>
      <c r="K353" t="str">
        <f t="shared" si="97"/>
        <v>1150</v>
      </c>
      <c r="L353" s="36" t="s">
        <v>4455</v>
      </c>
      <c r="M353" s="35">
        <v>7629</v>
      </c>
      <c r="N353" s="36" t="s">
        <v>5269</v>
      </c>
      <c r="O353" s="35" t="s">
        <v>5504</v>
      </c>
      <c r="P353" s="35" t="s">
        <v>5505</v>
      </c>
    </row>
    <row r="354" spans="1:16" hidden="1">
      <c r="A354" s="35">
        <v>1151</v>
      </c>
      <c r="B354" s="36" t="s">
        <v>2169</v>
      </c>
      <c r="C354" t="e">
        <f>VLOOKUP(A354,'TABELA SPOLINE'!A:J,10,FALSE)</f>
        <v>#N/A</v>
      </c>
      <c r="H354">
        <v>793</v>
      </c>
      <c r="I354">
        <v>1</v>
      </c>
      <c r="J354" s="35" t="s">
        <v>3554</v>
      </c>
      <c r="K354" t="str">
        <f t="shared" si="97"/>
        <v>1151</v>
      </c>
      <c r="L354" s="36" t="s">
        <v>4453</v>
      </c>
      <c r="M354" s="35">
        <v>7629</v>
      </c>
      <c r="N354" s="36" t="s">
        <v>5269</v>
      </c>
      <c r="O354" s="35" t="s">
        <v>5508</v>
      </c>
      <c r="P354" s="35" t="s">
        <v>5509</v>
      </c>
    </row>
    <row r="355" spans="1:16" hidden="1">
      <c r="A355" s="35">
        <v>1152</v>
      </c>
      <c r="B355" s="36" t="s">
        <v>2170</v>
      </c>
      <c r="C355" t="e">
        <f>VLOOKUP(A355,'TABELA SPOLINE'!A:J,10,FALSE)</f>
        <v>#N/A</v>
      </c>
      <c r="H355">
        <v>793</v>
      </c>
      <c r="I355">
        <v>1</v>
      </c>
      <c r="J355" s="35" t="s">
        <v>3555</v>
      </c>
      <c r="K355" t="str">
        <f t="shared" si="97"/>
        <v>1152</v>
      </c>
      <c r="L355" s="36" t="s">
        <v>4456</v>
      </c>
      <c r="M355" s="35">
        <v>7629</v>
      </c>
      <c r="N355" s="36" t="s">
        <v>5269</v>
      </c>
      <c r="O355" s="35" t="s">
        <v>5504</v>
      </c>
      <c r="P355" s="35" t="s">
        <v>5505</v>
      </c>
    </row>
    <row r="356" spans="1:16">
      <c r="A356" s="35">
        <v>1153</v>
      </c>
      <c r="B356" s="36" t="s">
        <v>2171</v>
      </c>
      <c r="C356">
        <f>VLOOKUP(A356,'TABELA SPOLINE'!A:J,10,FALSE)</f>
        <v>97.498799999999989</v>
      </c>
      <c r="D356">
        <f t="shared" ref="D356:D359" si="110">C356*0.1+C356</f>
        <v>107.24867999999999</v>
      </c>
      <c r="E356">
        <f t="shared" ref="E356:E359" si="111">ROUNDUP(D356,2)</f>
        <v>107.25</v>
      </c>
      <c r="F356">
        <f t="shared" ref="F356:F359" si="112">E356*0.0975+E356</f>
        <v>117.706875</v>
      </c>
      <c r="G356">
        <f t="shared" ref="G356:G359" si="113">ROUNDUP(F356,2)</f>
        <v>117.71000000000001</v>
      </c>
      <c r="H356">
        <v>793</v>
      </c>
      <c r="I356">
        <v>1</v>
      </c>
      <c r="J356" s="35" t="s">
        <v>3556</v>
      </c>
      <c r="K356" t="str">
        <f t="shared" si="97"/>
        <v>1153</v>
      </c>
      <c r="L356" s="36" t="s">
        <v>4457</v>
      </c>
      <c r="M356" s="35">
        <v>7629</v>
      </c>
      <c r="N356" s="36" t="s">
        <v>5269</v>
      </c>
      <c r="O356" s="35" t="s">
        <v>5510</v>
      </c>
      <c r="P356" s="35" t="s">
        <v>5511</v>
      </c>
    </row>
    <row r="357" spans="1:16">
      <c r="A357" s="35">
        <v>1154</v>
      </c>
      <c r="B357" s="36" t="s">
        <v>2172</v>
      </c>
      <c r="C357">
        <f>VLOOKUP(A357,'TABELA SPOLINE'!A:J,10,FALSE)</f>
        <v>81.249000000000009</v>
      </c>
      <c r="D357">
        <f t="shared" si="110"/>
        <v>89.373900000000006</v>
      </c>
      <c r="E357">
        <f t="shared" si="111"/>
        <v>89.38000000000001</v>
      </c>
      <c r="F357">
        <f t="shared" si="112"/>
        <v>98.094550000000012</v>
      </c>
      <c r="G357">
        <f t="shared" si="113"/>
        <v>98.100000000000009</v>
      </c>
      <c r="H357">
        <v>793</v>
      </c>
      <c r="I357">
        <v>1</v>
      </c>
      <c r="J357" s="35" t="s">
        <v>3557</v>
      </c>
      <c r="K357" t="str">
        <f t="shared" si="97"/>
        <v>1154</v>
      </c>
      <c r="L357" s="36" t="s">
        <v>4456</v>
      </c>
      <c r="M357" s="35">
        <v>7629</v>
      </c>
      <c r="N357" s="36" t="s">
        <v>5269</v>
      </c>
      <c r="O357" s="35" t="s">
        <v>5504</v>
      </c>
      <c r="P357" s="35" t="s">
        <v>5505</v>
      </c>
    </row>
    <row r="358" spans="1:16">
      <c r="A358" s="35">
        <v>1155</v>
      </c>
      <c r="B358" s="36" t="s">
        <v>2173</v>
      </c>
      <c r="C358">
        <f>VLOOKUP(A358,'TABELA SPOLINE'!A:J,10,FALSE)</f>
        <v>97.498799999999989</v>
      </c>
      <c r="D358">
        <f t="shared" si="110"/>
        <v>107.24867999999999</v>
      </c>
      <c r="E358">
        <f t="shared" si="111"/>
        <v>107.25</v>
      </c>
      <c r="F358">
        <f t="shared" si="112"/>
        <v>117.706875</v>
      </c>
      <c r="G358">
        <f t="shared" si="113"/>
        <v>117.71000000000001</v>
      </c>
      <c r="H358">
        <v>793</v>
      </c>
      <c r="I358">
        <v>1</v>
      </c>
      <c r="J358" s="35" t="s">
        <v>3558</v>
      </c>
      <c r="K358" t="str">
        <f t="shared" si="97"/>
        <v>1155</v>
      </c>
      <c r="L358" s="36" t="s">
        <v>4456</v>
      </c>
      <c r="M358" s="35">
        <v>7629</v>
      </c>
      <c r="N358" s="36" t="s">
        <v>5269</v>
      </c>
      <c r="O358" s="35" t="s">
        <v>5504</v>
      </c>
      <c r="P358" s="35" t="s">
        <v>5505</v>
      </c>
    </row>
    <row r="359" spans="1:16">
      <c r="A359" s="35">
        <v>1156</v>
      </c>
      <c r="B359" s="36" t="s">
        <v>2174</v>
      </c>
      <c r="C359">
        <f>VLOOKUP(A359,'TABELA SPOLINE'!A:J,10,FALSE)</f>
        <v>81.249000000000009</v>
      </c>
      <c r="D359">
        <f t="shared" si="110"/>
        <v>89.373900000000006</v>
      </c>
      <c r="E359">
        <f t="shared" si="111"/>
        <v>89.38000000000001</v>
      </c>
      <c r="F359">
        <f t="shared" si="112"/>
        <v>98.094550000000012</v>
      </c>
      <c r="G359">
        <f t="shared" si="113"/>
        <v>98.100000000000009</v>
      </c>
      <c r="H359">
        <v>793</v>
      </c>
      <c r="I359">
        <v>1</v>
      </c>
      <c r="J359" s="35" t="s">
        <v>3559</v>
      </c>
      <c r="K359" t="str">
        <f t="shared" si="97"/>
        <v>1156</v>
      </c>
      <c r="L359" s="36" t="s">
        <v>4456</v>
      </c>
      <c r="M359" s="35">
        <v>7629</v>
      </c>
      <c r="N359" s="36" t="s">
        <v>5269</v>
      </c>
      <c r="O359" s="35" t="s">
        <v>5504</v>
      </c>
      <c r="P359" s="35" t="s">
        <v>5505</v>
      </c>
    </row>
    <row r="360" spans="1:16" hidden="1">
      <c r="A360" s="35">
        <v>1157</v>
      </c>
      <c r="B360" s="36" t="s">
        <v>2175</v>
      </c>
      <c r="C360" t="e">
        <f>VLOOKUP(A360,'TABELA SPOLINE'!A:J,10,FALSE)</f>
        <v>#N/A</v>
      </c>
      <c r="H360">
        <v>793</v>
      </c>
      <c r="I360">
        <v>1</v>
      </c>
      <c r="J360" s="35" t="s">
        <v>3560</v>
      </c>
      <c r="K360" t="str">
        <f t="shared" si="97"/>
        <v>1157</v>
      </c>
      <c r="L360" s="36" t="s">
        <v>4458</v>
      </c>
      <c r="M360" s="35">
        <v>7629</v>
      </c>
      <c r="N360" s="36" t="s">
        <v>5269</v>
      </c>
      <c r="O360" s="35" t="s">
        <v>5512</v>
      </c>
      <c r="P360" s="35" t="s">
        <v>5513</v>
      </c>
    </row>
    <row r="361" spans="1:16" hidden="1">
      <c r="A361" s="35">
        <v>1158</v>
      </c>
      <c r="B361" s="36" t="s">
        <v>2176</v>
      </c>
      <c r="C361" t="e">
        <f>VLOOKUP(A361,'TABELA SPOLINE'!A:J,10,FALSE)</f>
        <v>#N/A</v>
      </c>
      <c r="H361">
        <v>794</v>
      </c>
      <c r="I361">
        <v>1</v>
      </c>
      <c r="J361" s="35" t="s">
        <v>3561</v>
      </c>
      <c r="K361" t="str">
        <f t="shared" si="97"/>
        <v>1158</v>
      </c>
      <c r="L361" s="36" t="s">
        <v>4459</v>
      </c>
      <c r="M361" s="35">
        <v>7629</v>
      </c>
      <c r="N361" s="36" t="s">
        <v>5269</v>
      </c>
      <c r="O361" s="35" t="s">
        <v>5514</v>
      </c>
      <c r="P361" s="35" t="s">
        <v>5515</v>
      </c>
    </row>
    <row r="362" spans="1:16" hidden="1">
      <c r="A362" s="35">
        <v>1159</v>
      </c>
      <c r="B362" s="36" t="s">
        <v>2177</v>
      </c>
      <c r="C362" t="e">
        <f>VLOOKUP(A362,'TABELA SPOLINE'!A:J,10,FALSE)</f>
        <v>#N/A</v>
      </c>
      <c r="H362">
        <v>794</v>
      </c>
      <c r="I362">
        <v>1</v>
      </c>
      <c r="J362" s="35" t="s">
        <v>3562</v>
      </c>
      <c r="K362" t="str">
        <f t="shared" si="97"/>
        <v>1159</v>
      </c>
      <c r="L362" s="36" t="s">
        <v>4460</v>
      </c>
      <c r="M362" s="35">
        <v>7629</v>
      </c>
      <c r="N362" s="36" t="s">
        <v>5269</v>
      </c>
      <c r="O362" s="35" t="s">
        <v>5516</v>
      </c>
      <c r="P362" s="35" t="s">
        <v>5517</v>
      </c>
    </row>
    <row r="363" spans="1:16" hidden="1">
      <c r="A363" s="35">
        <v>1160</v>
      </c>
      <c r="B363" s="36" t="s">
        <v>2178</v>
      </c>
      <c r="C363" t="e">
        <f>VLOOKUP(A363,'TABELA SPOLINE'!A:J,10,FALSE)</f>
        <v>#N/A</v>
      </c>
      <c r="H363">
        <v>794</v>
      </c>
      <c r="I363">
        <v>1</v>
      </c>
      <c r="J363" s="35" t="s">
        <v>3563</v>
      </c>
      <c r="K363" t="str">
        <f t="shared" si="97"/>
        <v>1160</v>
      </c>
      <c r="L363" s="36" t="s">
        <v>4461</v>
      </c>
      <c r="M363" s="35">
        <v>7629</v>
      </c>
      <c r="N363" s="36" t="s">
        <v>5269</v>
      </c>
      <c r="O363" s="35" t="s">
        <v>5516</v>
      </c>
      <c r="P363" s="35" t="s">
        <v>5517</v>
      </c>
    </row>
    <row r="364" spans="1:16" hidden="1">
      <c r="A364" s="35">
        <v>1162</v>
      </c>
      <c r="B364" s="36" t="s">
        <v>1914</v>
      </c>
      <c r="C364" t="e">
        <f>VLOOKUP(A364,'TABELA SPOLINE'!A:J,10,FALSE)</f>
        <v>#N/A</v>
      </c>
      <c r="H364">
        <v>795</v>
      </c>
      <c r="I364">
        <v>1</v>
      </c>
      <c r="J364" s="35" t="s">
        <v>3299</v>
      </c>
      <c r="K364" t="str">
        <f t="shared" si="97"/>
        <v>1162</v>
      </c>
      <c r="L364" s="36" t="s">
        <v>4462</v>
      </c>
      <c r="M364" s="35">
        <v>7629</v>
      </c>
      <c r="N364" s="36" t="s">
        <v>5269</v>
      </c>
      <c r="O364" s="35" t="s">
        <v>5514</v>
      </c>
      <c r="P364" s="35" t="s">
        <v>5515</v>
      </c>
    </row>
    <row r="365" spans="1:16" hidden="1">
      <c r="A365" s="35">
        <v>1163</v>
      </c>
      <c r="B365" s="36" t="s">
        <v>1915</v>
      </c>
      <c r="C365" t="e">
        <f>VLOOKUP(A365,'TABELA SPOLINE'!A:J,10,FALSE)</f>
        <v>#N/A</v>
      </c>
      <c r="H365">
        <v>795</v>
      </c>
      <c r="I365">
        <v>1</v>
      </c>
      <c r="J365" s="35" t="s">
        <v>3300</v>
      </c>
      <c r="K365" t="str">
        <f t="shared" si="97"/>
        <v>1163</v>
      </c>
      <c r="L365" s="36" t="s">
        <v>4463</v>
      </c>
      <c r="M365" s="35">
        <v>7629</v>
      </c>
      <c r="N365" s="36" t="s">
        <v>5269</v>
      </c>
      <c r="O365" s="35" t="s">
        <v>5514</v>
      </c>
      <c r="P365" s="35" t="s">
        <v>5515</v>
      </c>
    </row>
    <row r="366" spans="1:16" hidden="1">
      <c r="A366" s="35">
        <v>1166</v>
      </c>
      <c r="B366" s="36" t="s">
        <v>1916</v>
      </c>
      <c r="C366" t="e">
        <f>VLOOKUP(A366,'TABELA SPOLINE'!A:J,10,FALSE)</f>
        <v>#N/A</v>
      </c>
      <c r="H366">
        <v>795</v>
      </c>
      <c r="I366">
        <v>1</v>
      </c>
      <c r="J366" s="35" t="s">
        <v>3301</v>
      </c>
      <c r="K366" t="str">
        <f t="shared" si="97"/>
        <v>1166</v>
      </c>
      <c r="L366" s="36" t="s">
        <v>4464</v>
      </c>
      <c r="M366" s="35">
        <v>7629</v>
      </c>
      <c r="N366" s="36" t="s">
        <v>5269</v>
      </c>
      <c r="O366" s="35" t="s">
        <v>5512</v>
      </c>
      <c r="P366" s="35" t="s">
        <v>5513</v>
      </c>
    </row>
    <row r="367" spans="1:16" hidden="1">
      <c r="A367" s="35">
        <v>1170</v>
      </c>
      <c r="B367" s="36" t="s">
        <v>1917</v>
      </c>
      <c r="C367" t="e">
        <f>VLOOKUP(A367,'TABELA SPOLINE'!A:J,10,FALSE)</f>
        <v>#N/A</v>
      </c>
      <c r="H367">
        <v>795</v>
      </c>
      <c r="I367">
        <v>1</v>
      </c>
      <c r="J367" s="35" t="s">
        <v>3302</v>
      </c>
      <c r="K367" t="str">
        <f t="shared" si="97"/>
        <v>1170</v>
      </c>
      <c r="L367" s="36" t="s">
        <v>4465</v>
      </c>
      <c r="M367" s="35">
        <v>7629</v>
      </c>
      <c r="N367" s="36" t="s">
        <v>5269</v>
      </c>
      <c r="O367" s="35" t="s">
        <v>5514</v>
      </c>
      <c r="P367" s="35" t="s">
        <v>5515</v>
      </c>
    </row>
    <row r="368" spans="1:16" hidden="1">
      <c r="A368" s="35">
        <v>1184</v>
      </c>
      <c r="B368" s="36" t="s">
        <v>1927</v>
      </c>
      <c r="C368" t="e">
        <f>VLOOKUP(A368,'TABELA SPOLINE'!A:J,10,FALSE)</f>
        <v>#N/A</v>
      </c>
      <c r="H368">
        <v>799</v>
      </c>
      <c r="I368">
        <v>1</v>
      </c>
      <c r="J368" s="35" t="s">
        <v>3312</v>
      </c>
      <c r="K368" t="str">
        <f t="shared" si="97"/>
        <v>1184</v>
      </c>
      <c r="L368" s="36" t="s">
        <v>4466</v>
      </c>
      <c r="M368" s="35">
        <v>7629</v>
      </c>
      <c r="N368" s="36" t="s">
        <v>5269</v>
      </c>
      <c r="O368" s="35" t="s">
        <v>5518</v>
      </c>
      <c r="P368" s="35" t="s">
        <v>5519</v>
      </c>
    </row>
    <row r="369" spans="1:16" hidden="1">
      <c r="A369" s="35">
        <v>1185</v>
      </c>
      <c r="B369" s="36" t="s">
        <v>1918</v>
      </c>
      <c r="C369" t="e">
        <f>VLOOKUP(A369,'TABELA SPOLINE'!A:J,10,FALSE)</f>
        <v>#N/A</v>
      </c>
      <c r="H369">
        <v>799</v>
      </c>
      <c r="I369">
        <v>1</v>
      </c>
      <c r="J369" s="35" t="s">
        <v>3303</v>
      </c>
      <c r="K369" t="str">
        <f t="shared" si="97"/>
        <v>1185</v>
      </c>
      <c r="L369" s="36" t="s">
        <v>4467</v>
      </c>
      <c r="M369" s="35">
        <v>7629</v>
      </c>
      <c r="N369" s="36" t="s">
        <v>5269</v>
      </c>
      <c r="O369" s="35" t="s">
        <v>5520</v>
      </c>
      <c r="P369" s="35" t="s">
        <v>5521</v>
      </c>
    </row>
    <row r="370" spans="1:16">
      <c r="A370" s="35">
        <v>1186</v>
      </c>
      <c r="B370" s="36" t="s">
        <v>1928</v>
      </c>
      <c r="C370">
        <f>VLOOKUP(A370,'TABELA SPOLINE'!A:J,10,FALSE)</f>
        <v>109.51920000000001</v>
      </c>
      <c r="D370">
        <f>C370*0.1+C370</f>
        <v>120.47112000000001</v>
      </c>
      <c r="E370">
        <f>ROUNDUP(D370,2)</f>
        <v>120.48</v>
      </c>
      <c r="F370">
        <f>E370*0.0975+E370</f>
        <v>132.2268</v>
      </c>
      <c r="G370">
        <f>ROUNDUP(F370,2)</f>
        <v>132.22999999999999</v>
      </c>
      <c r="H370">
        <v>799</v>
      </c>
      <c r="I370">
        <v>1</v>
      </c>
      <c r="J370" s="35" t="s">
        <v>3313</v>
      </c>
      <c r="K370" t="str">
        <f t="shared" si="97"/>
        <v>1186</v>
      </c>
      <c r="L370" s="36" t="s">
        <v>4468</v>
      </c>
      <c r="M370" s="35">
        <v>7629</v>
      </c>
      <c r="N370" s="36" t="s">
        <v>5269</v>
      </c>
      <c r="O370" s="35" t="s">
        <v>5522</v>
      </c>
      <c r="P370" s="35" t="s">
        <v>5523</v>
      </c>
    </row>
    <row r="371" spans="1:16" hidden="1">
      <c r="A371" s="35">
        <v>1187</v>
      </c>
      <c r="B371" s="36" t="s">
        <v>1919</v>
      </c>
      <c r="C371" t="e">
        <f>VLOOKUP(A371,'TABELA SPOLINE'!A:J,10,FALSE)</f>
        <v>#N/A</v>
      </c>
      <c r="H371">
        <v>799</v>
      </c>
      <c r="I371">
        <v>1</v>
      </c>
      <c r="J371" s="35" t="s">
        <v>3304</v>
      </c>
      <c r="K371" t="str">
        <f t="shared" si="97"/>
        <v>1187</v>
      </c>
      <c r="L371" s="36" t="s">
        <v>4469</v>
      </c>
      <c r="M371" s="35">
        <v>7629</v>
      </c>
      <c r="N371" s="36" t="s">
        <v>5269</v>
      </c>
      <c r="O371" s="35" t="s">
        <v>5524</v>
      </c>
      <c r="P371" s="35" t="s">
        <v>5525</v>
      </c>
    </row>
    <row r="372" spans="1:16">
      <c r="A372" s="35">
        <v>1188</v>
      </c>
      <c r="B372" s="36" t="s">
        <v>1929</v>
      </c>
      <c r="C372">
        <f>VLOOKUP(A372,'TABELA SPOLINE'!A:J,10,FALSE)</f>
        <v>91.266000000000005</v>
      </c>
      <c r="D372">
        <f t="shared" ref="D372:D374" si="114">C372*0.1+C372</f>
        <v>100.3926</v>
      </c>
      <c r="E372">
        <f t="shared" ref="E372:E374" si="115">ROUNDUP(D372,2)</f>
        <v>100.4</v>
      </c>
      <c r="F372">
        <f t="shared" ref="F372:F374" si="116">E372*0.0975+E372</f>
        <v>110.18900000000001</v>
      </c>
      <c r="G372">
        <f t="shared" ref="G372:G374" si="117">ROUNDUP(F372,2)</f>
        <v>110.19000000000001</v>
      </c>
      <c r="H372">
        <v>799</v>
      </c>
      <c r="I372">
        <v>1</v>
      </c>
      <c r="J372" s="35" t="s">
        <v>3314</v>
      </c>
      <c r="K372" t="str">
        <f t="shared" si="97"/>
        <v>1188</v>
      </c>
      <c r="L372" s="36" t="s">
        <v>4470</v>
      </c>
      <c r="M372" s="35">
        <v>7629</v>
      </c>
      <c r="N372" s="36" t="s">
        <v>5269</v>
      </c>
      <c r="O372" s="35" t="s">
        <v>5524</v>
      </c>
      <c r="P372" s="35" t="s">
        <v>5525</v>
      </c>
    </row>
    <row r="373" spans="1:16">
      <c r="A373" s="35">
        <v>1189</v>
      </c>
      <c r="B373" s="36" t="s">
        <v>1920</v>
      </c>
      <c r="C373">
        <f>VLOOKUP(A373,'TABELA SPOLINE'!A:J,10,FALSE)</f>
        <v>91.266000000000005</v>
      </c>
      <c r="D373">
        <f t="shared" si="114"/>
        <v>100.3926</v>
      </c>
      <c r="E373">
        <f t="shared" si="115"/>
        <v>100.4</v>
      </c>
      <c r="F373">
        <f t="shared" si="116"/>
        <v>110.18900000000001</v>
      </c>
      <c r="G373">
        <f t="shared" si="117"/>
        <v>110.19000000000001</v>
      </c>
      <c r="H373">
        <v>799</v>
      </c>
      <c r="I373">
        <v>1</v>
      </c>
      <c r="J373" s="35" t="s">
        <v>3305</v>
      </c>
      <c r="K373" t="str">
        <f t="shared" si="97"/>
        <v>1189</v>
      </c>
      <c r="L373" s="36" t="s">
        <v>4471</v>
      </c>
      <c r="M373" s="35">
        <v>7629</v>
      </c>
      <c r="N373" s="36" t="s">
        <v>5269</v>
      </c>
      <c r="O373" s="35" t="s">
        <v>5522</v>
      </c>
      <c r="P373" s="35" t="s">
        <v>5523</v>
      </c>
    </row>
    <row r="374" spans="1:16">
      <c r="A374" s="35">
        <v>1190</v>
      </c>
      <c r="B374" s="36" t="s">
        <v>1930</v>
      </c>
      <c r="C374">
        <f>VLOOKUP(A374,'TABELA SPOLINE'!A:J,10,FALSE)</f>
        <v>109.51920000000001</v>
      </c>
      <c r="D374">
        <f t="shared" si="114"/>
        <v>120.47112000000001</v>
      </c>
      <c r="E374">
        <f t="shared" si="115"/>
        <v>120.48</v>
      </c>
      <c r="F374">
        <f t="shared" si="116"/>
        <v>132.2268</v>
      </c>
      <c r="G374">
        <f t="shared" si="117"/>
        <v>132.22999999999999</v>
      </c>
      <c r="H374">
        <v>799</v>
      </c>
      <c r="I374">
        <v>1</v>
      </c>
      <c r="J374" s="35" t="s">
        <v>3315</v>
      </c>
      <c r="K374" t="str">
        <f t="shared" si="97"/>
        <v>1190</v>
      </c>
      <c r="L374" s="36" t="s">
        <v>4472</v>
      </c>
      <c r="M374" s="35">
        <v>7629</v>
      </c>
      <c r="N374" s="36" t="s">
        <v>5269</v>
      </c>
      <c r="O374" s="35" t="s">
        <v>5522</v>
      </c>
      <c r="P374" s="35" t="s">
        <v>5523</v>
      </c>
    </row>
    <row r="375" spans="1:16" hidden="1">
      <c r="A375" s="35">
        <v>1191</v>
      </c>
      <c r="B375" s="36" t="s">
        <v>1921</v>
      </c>
      <c r="C375" t="e">
        <f>VLOOKUP(A375,'TABELA SPOLINE'!A:J,10,FALSE)</f>
        <v>#N/A</v>
      </c>
      <c r="H375">
        <v>799</v>
      </c>
      <c r="I375">
        <v>1</v>
      </c>
      <c r="J375" s="35" t="s">
        <v>3306</v>
      </c>
      <c r="K375" t="str">
        <f t="shared" si="97"/>
        <v>1191</v>
      </c>
      <c r="L375" s="36" t="s">
        <v>4473</v>
      </c>
      <c r="M375" s="35">
        <v>7629</v>
      </c>
      <c r="N375" s="36" t="s">
        <v>5269</v>
      </c>
      <c r="O375" s="35" t="s">
        <v>5520</v>
      </c>
      <c r="P375" s="35" t="s">
        <v>5521</v>
      </c>
    </row>
    <row r="376" spans="1:16">
      <c r="A376" s="35">
        <v>1192</v>
      </c>
      <c r="B376" s="36" t="s">
        <v>1931</v>
      </c>
      <c r="C376">
        <f>VLOOKUP(A376,'TABELA SPOLINE'!A:J,10,FALSE)</f>
        <v>91.266000000000005</v>
      </c>
      <c r="D376">
        <f>C376*0.1+C376</f>
        <v>100.3926</v>
      </c>
      <c r="E376">
        <f>ROUNDUP(D376,2)</f>
        <v>100.4</v>
      </c>
      <c r="F376">
        <f>E376*0.0975+E376</f>
        <v>110.18900000000001</v>
      </c>
      <c r="G376">
        <f>ROUNDUP(F376,2)</f>
        <v>110.19000000000001</v>
      </c>
      <c r="H376">
        <v>799</v>
      </c>
      <c r="I376">
        <v>1</v>
      </c>
      <c r="J376" s="35" t="s">
        <v>3316</v>
      </c>
      <c r="K376" t="str">
        <f t="shared" si="97"/>
        <v>1192</v>
      </c>
      <c r="L376" s="36" t="s">
        <v>4474</v>
      </c>
      <c r="M376" s="35">
        <v>7629</v>
      </c>
      <c r="N376" s="36" t="s">
        <v>5269</v>
      </c>
      <c r="O376" s="35" t="s">
        <v>5522</v>
      </c>
      <c r="P376" s="35" t="s">
        <v>5523</v>
      </c>
    </row>
    <row r="377" spans="1:16" hidden="1">
      <c r="A377" s="35">
        <v>1193</v>
      </c>
      <c r="B377" s="36" t="s">
        <v>1922</v>
      </c>
      <c r="C377" t="e">
        <f>VLOOKUP(A377,'TABELA SPOLINE'!A:J,10,FALSE)</f>
        <v>#N/A</v>
      </c>
      <c r="H377">
        <v>799</v>
      </c>
      <c r="I377">
        <v>1</v>
      </c>
      <c r="J377" s="35" t="s">
        <v>3307</v>
      </c>
      <c r="K377" t="str">
        <f t="shared" si="97"/>
        <v>1193</v>
      </c>
      <c r="L377" s="36" t="s">
        <v>4475</v>
      </c>
      <c r="M377" s="35">
        <v>7629</v>
      </c>
      <c r="N377" s="36" t="s">
        <v>5269</v>
      </c>
      <c r="O377" s="35" t="s">
        <v>5526</v>
      </c>
      <c r="P377" s="35" t="s">
        <v>5527</v>
      </c>
    </row>
    <row r="378" spans="1:16" hidden="1">
      <c r="A378" s="35">
        <v>1194</v>
      </c>
      <c r="B378" s="36" t="s">
        <v>1936</v>
      </c>
      <c r="C378" t="e">
        <f>VLOOKUP(A378,'TABELA SPOLINE'!A:J,10,FALSE)</f>
        <v>#N/A</v>
      </c>
      <c r="H378">
        <v>800</v>
      </c>
      <c r="I378">
        <v>2</v>
      </c>
      <c r="J378" s="35" t="s">
        <v>3321</v>
      </c>
      <c r="K378" t="str">
        <f t="shared" si="97"/>
        <v>1194</v>
      </c>
      <c r="L378" s="36" t="s">
        <v>4476</v>
      </c>
      <c r="M378" s="35">
        <v>7629</v>
      </c>
      <c r="N378" s="36" t="s">
        <v>5269</v>
      </c>
      <c r="O378" s="35" t="s">
        <v>5528</v>
      </c>
      <c r="P378" s="35" t="s">
        <v>5529</v>
      </c>
    </row>
    <row r="379" spans="1:16" hidden="1">
      <c r="A379" s="35">
        <v>1195</v>
      </c>
      <c r="B379" s="36" t="s">
        <v>1937</v>
      </c>
      <c r="C379" t="e">
        <f>VLOOKUP(A379,'TABELA SPOLINE'!A:J,10,FALSE)</f>
        <v>#N/A</v>
      </c>
      <c r="H379">
        <v>800</v>
      </c>
      <c r="I379">
        <v>2</v>
      </c>
      <c r="J379" s="35" t="s">
        <v>3322</v>
      </c>
      <c r="K379" t="str">
        <f t="shared" si="97"/>
        <v>1195</v>
      </c>
      <c r="L379" s="36" t="s">
        <v>4477</v>
      </c>
      <c r="M379" s="35">
        <v>7629</v>
      </c>
      <c r="N379" s="36" t="s">
        <v>5269</v>
      </c>
      <c r="O379" s="35" t="s">
        <v>5528</v>
      </c>
      <c r="P379" s="35" t="s">
        <v>5529</v>
      </c>
    </row>
    <row r="380" spans="1:16" hidden="1">
      <c r="A380" s="35">
        <v>1196</v>
      </c>
      <c r="B380" s="36" t="s">
        <v>1938</v>
      </c>
      <c r="C380" t="e">
        <f>VLOOKUP(A380,'TABELA SPOLINE'!A:J,10,FALSE)</f>
        <v>#N/A</v>
      </c>
      <c r="H380">
        <v>800</v>
      </c>
      <c r="I380">
        <v>2</v>
      </c>
      <c r="J380" s="35" t="s">
        <v>3323</v>
      </c>
      <c r="K380" t="str">
        <f t="shared" si="97"/>
        <v>1196</v>
      </c>
      <c r="L380" s="36" t="s">
        <v>4478</v>
      </c>
      <c r="M380" s="35">
        <v>7629</v>
      </c>
      <c r="N380" s="36" t="s">
        <v>5269</v>
      </c>
      <c r="O380" s="35" t="s">
        <v>5530</v>
      </c>
      <c r="P380" s="35" t="s">
        <v>5531</v>
      </c>
    </row>
    <row r="381" spans="1:16" hidden="1">
      <c r="A381" s="35">
        <v>1197</v>
      </c>
      <c r="B381" s="36" t="s">
        <v>1939</v>
      </c>
      <c r="C381" t="e">
        <f>VLOOKUP(A381,'TABELA SPOLINE'!A:J,10,FALSE)</f>
        <v>#N/A</v>
      </c>
      <c r="H381">
        <v>800</v>
      </c>
      <c r="I381">
        <v>2</v>
      </c>
      <c r="J381" s="35" t="s">
        <v>3324</v>
      </c>
      <c r="K381" t="str">
        <f t="shared" si="97"/>
        <v>1197</v>
      </c>
      <c r="L381" s="36" t="s">
        <v>4479</v>
      </c>
      <c r="M381" s="35">
        <v>7629</v>
      </c>
      <c r="N381" s="36" t="s">
        <v>5269</v>
      </c>
      <c r="O381" s="35" t="s">
        <v>5532</v>
      </c>
      <c r="P381" s="35" t="s">
        <v>5533</v>
      </c>
    </row>
    <row r="382" spans="1:16">
      <c r="A382" s="35">
        <v>1199</v>
      </c>
      <c r="B382" s="36" t="s">
        <v>1940</v>
      </c>
      <c r="C382">
        <f>VLOOKUP(A382,'TABELA SPOLINE'!A:J,10,FALSE)</f>
        <v>320.54399999999998</v>
      </c>
      <c r="D382">
        <f t="shared" ref="D382:D384" si="118">C382*0.1+C382</f>
        <v>352.59839999999997</v>
      </c>
      <c r="E382">
        <f t="shared" ref="E382:E384" si="119">ROUNDUP(D382,2)</f>
        <v>352.59999999999997</v>
      </c>
      <c r="F382">
        <f t="shared" ref="F382:F384" si="120">E382*0.0975+E382</f>
        <v>386.97849999999994</v>
      </c>
      <c r="G382">
        <f t="shared" ref="G382:G384" si="121">ROUNDUP(F382,2)</f>
        <v>386.98</v>
      </c>
      <c r="H382">
        <v>800</v>
      </c>
      <c r="I382">
        <v>2</v>
      </c>
      <c r="J382" s="35" t="s">
        <v>3325</v>
      </c>
      <c r="K382" t="str">
        <f t="shared" si="97"/>
        <v>1199</v>
      </c>
      <c r="L382" s="36" t="s">
        <v>4480</v>
      </c>
      <c r="M382" s="35">
        <v>7629</v>
      </c>
      <c r="N382" s="36" t="s">
        <v>5269</v>
      </c>
      <c r="O382" s="35" t="s">
        <v>5534</v>
      </c>
      <c r="P382" s="35" t="s">
        <v>5535</v>
      </c>
    </row>
    <row r="383" spans="1:16">
      <c r="A383" s="35">
        <v>1200</v>
      </c>
      <c r="B383" s="36" t="s">
        <v>1941</v>
      </c>
      <c r="C383">
        <f>VLOOKUP(A383,'TABELA SPOLINE'!A:J,10,FALSE)</f>
        <v>267.12</v>
      </c>
      <c r="D383">
        <f t="shared" si="118"/>
        <v>293.83199999999999</v>
      </c>
      <c r="E383">
        <f t="shared" si="119"/>
        <v>293.83999999999997</v>
      </c>
      <c r="F383">
        <f t="shared" si="120"/>
        <v>322.48939999999999</v>
      </c>
      <c r="G383">
        <f t="shared" si="121"/>
        <v>322.49</v>
      </c>
      <c r="H383">
        <v>800</v>
      </c>
      <c r="I383">
        <v>2</v>
      </c>
      <c r="J383" s="35" t="s">
        <v>3326</v>
      </c>
      <c r="K383" t="str">
        <f t="shared" si="97"/>
        <v>1200</v>
      </c>
      <c r="L383" s="36" t="s">
        <v>4481</v>
      </c>
      <c r="M383" s="35">
        <v>7629</v>
      </c>
      <c r="N383" s="36" t="s">
        <v>5269</v>
      </c>
      <c r="O383" s="35" t="s">
        <v>5536</v>
      </c>
      <c r="P383" s="35" t="s">
        <v>5537</v>
      </c>
    </row>
    <row r="384" spans="1:16">
      <c r="A384" s="35">
        <v>1201</v>
      </c>
      <c r="B384" s="36" t="s">
        <v>1942</v>
      </c>
      <c r="C384">
        <f>VLOOKUP(A384,'TABELA SPOLINE'!A:J,10,FALSE)</f>
        <v>320.54399999999998</v>
      </c>
      <c r="D384">
        <f t="shared" si="118"/>
        <v>352.59839999999997</v>
      </c>
      <c r="E384">
        <f t="shared" si="119"/>
        <v>352.59999999999997</v>
      </c>
      <c r="F384">
        <f t="shared" si="120"/>
        <v>386.97849999999994</v>
      </c>
      <c r="G384">
        <f t="shared" si="121"/>
        <v>386.98</v>
      </c>
      <c r="H384">
        <v>800</v>
      </c>
      <c r="I384">
        <v>2</v>
      </c>
      <c r="J384" s="35" t="s">
        <v>3327</v>
      </c>
      <c r="K384" t="str">
        <f t="shared" si="97"/>
        <v>1201</v>
      </c>
      <c r="L384" s="36" t="s">
        <v>4482</v>
      </c>
      <c r="M384" s="35">
        <v>7629</v>
      </c>
      <c r="N384" s="36" t="s">
        <v>5269</v>
      </c>
      <c r="O384" s="35" t="s">
        <v>5538</v>
      </c>
      <c r="P384" s="35" t="s">
        <v>5539</v>
      </c>
    </row>
    <row r="385" spans="1:16" hidden="1">
      <c r="A385" s="35">
        <v>1202</v>
      </c>
      <c r="B385" s="36" t="s">
        <v>1943</v>
      </c>
      <c r="C385" t="e">
        <f>VLOOKUP(A385,'TABELA SPOLINE'!A:J,10,FALSE)</f>
        <v>#N/A</v>
      </c>
      <c r="H385">
        <v>800</v>
      </c>
      <c r="I385">
        <v>2</v>
      </c>
      <c r="J385" s="35" t="s">
        <v>3328</v>
      </c>
      <c r="K385" t="str">
        <f t="shared" si="97"/>
        <v>1202</v>
      </c>
      <c r="L385" s="36" t="s">
        <v>4483</v>
      </c>
      <c r="M385" s="35">
        <v>7629</v>
      </c>
      <c r="N385" s="36" t="s">
        <v>5269</v>
      </c>
      <c r="O385" s="35" t="s">
        <v>5538</v>
      </c>
      <c r="P385" s="35" t="s">
        <v>5539</v>
      </c>
    </row>
    <row r="386" spans="1:16">
      <c r="A386" s="35">
        <v>1203</v>
      </c>
      <c r="B386" s="36" t="s">
        <v>1944</v>
      </c>
      <c r="C386">
        <f>VLOOKUP(A386,'TABELA SPOLINE'!A:J,10,FALSE)</f>
        <v>267.12</v>
      </c>
      <c r="D386">
        <f t="shared" ref="D386:D387" si="122">C386*0.1+C386</f>
        <v>293.83199999999999</v>
      </c>
      <c r="E386">
        <f t="shared" ref="E386:E387" si="123">ROUNDUP(D386,2)</f>
        <v>293.83999999999997</v>
      </c>
      <c r="F386">
        <f t="shared" ref="F386:F387" si="124">E386*0.0975+E386</f>
        <v>322.48939999999999</v>
      </c>
      <c r="G386">
        <f t="shared" ref="G386:G387" si="125">ROUNDUP(F386,2)</f>
        <v>322.49</v>
      </c>
      <c r="H386">
        <v>800</v>
      </c>
      <c r="I386">
        <v>2</v>
      </c>
      <c r="J386" s="35" t="s">
        <v>3329</v>
      </c>
      <c r="K386" t="str">
        <f t="shared" si="97"/>
        <v>1203</v>
      </c>
      <c r="L386" s="36" t="s">
        <v>4484</v>
      </c>
      <c r="M386" s="35">
        <v>7629</v>
      </c>
      <c r="N386" s="36" t="s">
        <v>5269</v>
      </c>
      <c r="O386" s="35" t="s">
        <v>5538</v>
      </c>
      <c r="P386" s="35" t="s">
        <v>5539</v>
      </c>
    </row>
    <row r="387" spans="1:16">
      <c r="A387" s="35">
        <v>1225</v>
      </c>
      <c r="B387" s="36" t="s">
        <v>2185</v>
      </c>
      <c r="C387">
        <f>VLOOKUP(A387,'TABELA SPOLINE'!A:J,10,FALSE)</f>
        <v>121.31700000000001</v>
      </c>
      <c r="D387">
        <f t="shared" si="122"/>
        <v>133.4487</v>
      </c>
      <c r="E387">
        <f t="shared" si="123"/>
        <v>133.44999999999999</v>
      </c>
      <c r="F387">
        <f t="shared" si="124"/>
        <v>146.46137499999998</v>
      </c>
      <c r="G387">
        <f t="shared" si="125"/>
        <v>146.47</v>
      </c>
      <c r="H387">
        <v>803</v>
      </c>
      <c r="I387">
        <v>1</v>
      </c>
      <c r="J387" s="35" t="s">
        <v>3570</v>
      </c>
      <c r="K387" t="str">
        <f t="shared" ref="K387:K450" si="126">TRIM(A387)</f>
        <v>1225</v>
      </c>
      <c r="L387" s="36" t="s">
        <v>4485</v>
      </c>
      <c r="M387" s="35">
        <v>7629</v>
      </c>
      <c r="N387" s="36" t="s">
        <v>5269</v>
      </c>
      <c r="O387" s="35" t="s">
        <v>5540</v>
      </c>
      <c r="P387" s="35" t="s">
        <v>5541</v>
      </c>
    </row>
    <row r="388" spans="1:16" hidden="1">
      <c r="A388" s="35">
        <v>1226</v>
      </c>
      <c r="B388" s="36" t="s">
        <v>2186</v>
      </c>
      <c r="C388" t="e">
        <f>VLOOKUP(A388,'TABELA SPOLINE'!A:J,10,FALSE)</f>
        <v>#N/A</v>
      </c>
      <c r="H388">
        <v>803</v>
      </c>
      <c r="I388">
        <v>1</v>
      </c>
      <c r="J388" s="35" t="s">
        <v>3571</v>
      </c>
      <c r="K388" t="str">
        <f t="shared" si="126"/>
        <v>1226</v>
      </c>
      <c r="L388" s="36" t="s">
        <v>4486</v>
      </c>
      <c r="M388" s="35">
        <v>7629</v>
      </c>
      <c r="N388" s="36" t="s">
        <v>5269</v>
      </c>
      <c r="O388" s="35" t="s">
        <v>5538</v>
      </c>
      <c r="P388" s="35" t="s">
        <v>5539</v>
      </c>
    </row>
    <row r="389" spans="1:16" hidden="1">
      <c r="A389" s="35">
        <v>1227</v>
      </c>
      <c r="B389" s="36" t="s">
        <v>2187</v>
      </c>
      <c r="C389" t="e">
        <f>VLOOKUP(A389,'TABELA SPOLINE'!A:J,10,FALSE)</f>
        <v>#N/A</v>
      </c>
      <c r="H389">
        <v>803</v>
      </c>
      <c r="I389">
        <v>1</v>
      </c>
      <c r="J389" s="35" t="s">
        <v>3572</v>
      </c>
      <c r="K389" t="str">
        <f t="shared" si="126"/>
        <v>1227</v>
      </c>
      <c r="L389" s="36" t="s">
        <v>4487</v>
      </c>
      <c r="M389" s="35">
        <v>7629</v>
      </c>
      <c r="N389" s="36" t="s">
        <v>5269</v>
      </c>
      <c r="O389" s="35" t="s">
        <v>5538</v>
      </c>
      <c r="P389" s="35" t="s">
        <v>5539</v>
      </c>
    </row>
    <row r="390" spans="1:16">
      <c r="A390" s="35">
        <v>1229</v>
      </c>
      <c r="B390" s="36" t="s">
        <v>2188</v>
      </c>
      <c r="C390">
        <f>VLOOKUP(A390,'TABELA SPOLINE'!A:J,10,FALSE)</f>
        <v>121.31700000000001</v>
      </c>
      <c r="D390">
        <f t="shared" ref="D390:D392" si="127">C390*0.1+C390</f>
        <v>133.4487</v>
      </c>
      <c r="E390">
        <f t="shared" ref="E390:E392" si="128">ROUNDUP(D390,2)</f>
        <v>133.44999999999999</v>
      </c>
      <c r="F390">
        <f t="shared" ref="F390:F392" si="129">E390*0.0975+E390</f>
        <v>146.46137499999998</v>
      </c>
      <c r="G390">
        <f t="shared" ref="G390:G392" si="130">ROUNDUP(F390,2)</f>
        <v>146.47</v>
      </c>
      <c r="H390">
        <v>803</v>
      </c>
      <c r="I390">
        <v>1</v>
      </c>
      <c r="J390" s="35" t="s">
        <v>3573</v>
      </c>
      <c r="K390" t="str">
        <f t="shared" si="126"/>
        <v>1229</v>
      </c>
      <c r="L390" s="36" t="s">
        <v>4488</v>
      </c>
      <c r="M390" s="35">
        <v>7629</v>
      </c>
      <c r="N390" s="36" t="s">
        <v>5269</v>
      </c>
      <c r="O390" s="35" t="s">
        <v>5538</v>
      </c>
      <c r="P390" s="35" t="s">
        <v>5539</v>
      </c>
    </row>
    <row r="391" spans="1:16">
      <c r="A391" s="35">
        <v>1230</v>
      </c>
      <c r="B391" s="36" t="s">
        <v>2189</v>
      </c>
      <c r="C391">
        <f>VLOOKUP(A391,'TABELA SPOLINE'!A:J,10,FALSE)</f>
        <v>145.5804</v>
      </c>
      <c r="D391">
        <f t="shared" si="127"/>
        <v>160.13844</v>
      </c>
      <c r="E391">
        <f t="shared" si="128"/>
        <v>160.13999999999999</v>
      </c>
      <c r="F391">
        <f t="shared" si="129"/>
        <v>175.75364999999999</v>
      </c>
      <c r="G391">
        <f t="shared" si="130"/>
        <v>175.76</v>
      </c>
      <c r="H391">
        <v>803</v>
      </c>
      <c r="I391">
        <v>1</v>
      </c>
      <c r="J391" s="35" t="s">
        <v>3574</v>
      </c>
      <c r="K391" t="str">
        <f t="shared" si="126"/>
        <v>1230</v>
      </c>
      <c r="L391" s="36" t="s">
        <v>4489</v>
      </c>
      <c r="M391" s="35">
        <v>7629</v>
      </c>
      <c r="N391" s="36" t="s">
        <v>5269</v>
      </c>
      <c r="O391" s="35" t="s">
        <v>5540</v>
      </c>
      <c r="P391" s="35" t="s">
        <v>5541</v>
      </c>
    </row>
    <row r="392" spans="1:16">
      <c r="A392" s="35">
        <v>1231</v>
      </c>
      <c r="B392" s="36" t="s">
        <v>2190</v>
      </c>
      <c r="C392">
        <f>VLOOKUP(A392,'TABELA SPOLINE'!A:J,10,FALSE)</f>
        <v>121.31700000000001</v>
      </c>
      <c r="D392">
        <f t="shared" si="127"/>
        <v>133.4487</v>
      </c>
      <c r="E392">
        <f t="shared" si="128"/>
        <v>133.44999999999999</v>
      </c>
      <c r="F392">
        <f t="shared" si="129"/>
        <v>146.46137499999998</v>
      </c>
      <c r="G392">
        <f t="shared" si="130"/>
        <v>146.47</v>
      </c>
      <c r="H392">
        <v>803</v>
      </c>
      <c r="I392">
        <v>1</v>
      </c>
      <c r="J392" s="35" t="s">
        <v>3575</v>
      </c>
      <c r="K392" t="str">
        <f t="shared" si="126"/>
        <v>1231</v>
      </c>
      <c r="L392" s="36" t="s">
        <v>4490</v>
      </c>
      <c r="M392" s="35">
        <v>7629</v>
      </c>
      <c r="N392" s="36" t="s">
        <v>5269</v>
      </c>
      <c r="O392" s="35" t="s">
        <v>5542</v>
      </c>
      <c r="P392" s="35" t="s">
        <v>5543</v>
      </c>
    </row>
    <row r="393" spans="1:16" hidden="1">
      <c r="A393" s="35">
        <v>1232</v>
      </c>
      <c r="B393" s="36" t="s">
        <v>2191</v>
      </c>
      <c r="C393" t="e">
        <f>VLOOKUP(A393,'TABELA SPOLINE'!A:J,10,FALSE)</f>
        <v>#N/A</v>
      </c>
      <c r="H393">
        <v>803</v>
      </c>
      <c r="I393">
        <v>1</v>
      </c>
      <c r="J393" s="35" t="s">
        <v>3576</v>
      </c>
      <c r="K393" t="str">
        <f t="shared" si="126"/>
        <v>1232</v>
      </c>
      <c r="L393" s="36" t="s">
        <v>4491</v>
      </c>
      <c r="M393" s="35">
        <v>7629</v>
      </c>
      <c r="N393" s="36" t="s">
        <v>5269</v>
      </c>
      <c r="O393" s="35" t="s">
        <v>5542</v>
      </c>
      <c r="P393" s="35" t="s">
        <v>5543</v>
      </c>
    </row>
    <row r="394" spans="1:16">
      <c r="A394" s="35">
        <v>1233</v>
      </c>
      <c r="B394" s="36" t="s">
        <v>2192</v>
      </c>
      <c r="C394">
        <f>VLOOKUP(A394,'TABELA SPOLINE'!A:J,10,FALSE)</f>
        <v>121.31700000000001</v>
      </c>
      <c r="D394">
        <f>C394*0.1+C394</f>
        <v>133.4487</v>
      </c>
      <c r="E394">
        <f>ROUNDUP(D394,2)</f>
        <v>133.44999999999999</v>
      </c>
      <c r="F394">
        <f>E394*0.0975+E394</f>
        <v>146.46137499999998</v>
      </c>
      <c r="G394">
        <f>ROUNDUP(F394,2)</f>
        <v>146.47</v>
      </c>
      <c r="H394">
        <v>803</v>
      </c>
      <c r="I394">
        <v>1</v>
      </c>
      <c r="J394" s="35" t="s">
        <v>3577</v>
      </c>
      <c r="K394" t="str">
        <f t="shared" si="126"/>
        <v>1233</v>
      </c>
      <c r="L394" s="36" t="s">
        <v>4492</v>
      </c>
      <c r="M394" s="35">
        <v>7629</v>
      </c>
      <c r="N394" s="36" t="s">
        <v>5269</v>
      </c>
      <c r="O394" s="35" t="s">
        <v>5542</v>
      </c>
      <c r="P394" s="35" t="s">
        <v>5543</v>
      </c>
    </row>
    <row r="395" spans="1:16" hidden="1">
      <c r="A395" s="35">
        <v>1250</v>
      </c>
      <c r="B395" s="36" t="s">
        <v>1946</v>
      </c>
      <c r="C395" t="e">
        <f>VLOOKUP(A395,'TABELA SPOLINE'!A:J,10,FALSE)</f>
        <v>#N/A</v>
      </c>
      <c r="H395">
        <v>804</v>
      </c>
      <c r="I395">
        <v>3</v>
      </c>
      <c r="J395" s="35" t="s">
        <v>3331</v>
      </c>
      <c r="K395" t="str">
        <f t="shared" si="126"/>
        <v>1250</v>
      </c>
      <c r="L395" s="36" t="s">
        <v>4493</v>
      </c>
      <c r="M395" s="35">
        <v>7629</v>
      </c>
      <c r="N395" s="36" t="s">
        <v>5269</v>
      </c>
      <c r="O395" s="35" t="s">
        <v>5542</v>
      </c>
      <c r="P395" s="35" t="s">
        <v>5543</v>
      </c>
    </row>
    <row r="396" spans="1:16" hidden="1">
      <c r="A396" s="35">
        <v>1251</v>
      </c>
      <c r="B396" s="36" t="s">
        <v>1953</v>
      </c>
      <c r="C396" t="e">
        <f>VLOOKUP(A396,'TABELA SPOLINE'!A:J,10,FALSE)</f>
        <v>#N/A</v>
      </c>
      <c r="H396">
        <v>804</v>
      </c>
      <c r="I396">
        <v>4</v>
      </c>
      <c r="J396" s="35" t="s">
        <v>3338</v>
      </c>
      <c r="K396" t="str">
        <f t="shared" si="126"/>
        <v>1251</v>
      </c>
      <c r="L396" s="36" t="s">
        <v>4494</v>
      </c>
      <c r="M396" s="35">
        <v>7629</v>
      </c>
      <c r="N396" s="36" t="s">
        <v>5269</v>
      </c>
      <c r="O396" s="35" t="s">
        <v>5542</v>
      </c>
      <c r="P396" s="35" t="s">
        <v>5543</v>
      </c>
    </row>
    <row r="397" spans="1:16" hidden="1">
      <c r="A397" s="35">
        <v>1252</v>
      </c>
      <c r="B397" s="36" t="s">
        <v>1948</v>
      </c>
      <c r="C397" t="e">
        <f>VLOOKUP(A397,'TABELA SPOLINE'!A:J,10,FALSE)</f>
        <v>#N/A</v>
      </c>
      <c r="H397">
        <v>804</v>
      </c>
      <c r="I397">
        <v>4</v>
      </c>
      <c r="J397" s="35" t="s">
        <v>3333</v>
      </c>
      <c r="K397" t="str">
        <f t="shared" si="126"/>
        <v>1252</v>
      </c>
      <c r="L397" s="36" t="s">
        <v>4495</v>
      </c>
      <c r="M397" s="35">
        <v>7629</v>
      </c>
      <c r="N397" s="36" t="s">
        <v>5269</v>
      </c>
      <c r="O397" s="35" t="s">
        <v>5542</v>
      </c>
      <c r="P397" s="35" t="s">
        <v>5543</v>
      </c>
    </row>
    <row r="398" spans="1:16">
      <c r="A398" s="35">
        <v>1255</v>
      </c>
      <c r="B398" s="36" t="s">
        <v>1952</v>
      </c>
      <c r="C398">
        <f>VLOOKUP(A398,'TABELA SPOLINE'!A:J,10,FALSE)</f>
        <v>517.54500000000007</v>
      </c>
      <c r="D398">
        <f t="shared" ref="D398:D401" si="131">C398*0.1+C398</f>
        <v>569.29950000000008</v>
      </c>
      <c r="E398">
        <f t="shared" ref="E398:E401" si="132">ROUNDUP(D398,2)</f>
        <v>569.29999999999995</v>
      </c>
      <c r="F398">
        <f t="shared" ref="F398:F401" si="133">E398*0.0975+E398</f>
        <v>624.80674999999997</v>
      </c>
      <c r="G398">
        <f t="shared" ref="G398:G401" si="134">ROUNDUP(F398,2)</f>
        <v>624.80999999999995</v>
      </c>
      <c r="H398">
        <v>804</v>
      </c>
      <c r="I398">
        <v>4</v>
      </c>
      <c r="J398" s="35" t="s">
        <v>3337</v>
      </c>
      <c r="K398" t="str">
        <f t="shared" si="126"/>
        <v>1255</v>
      </c>
      <c r="L398" s="36" t="s">
        <v>4496</v>
      </c>
      <c r="M398" s="35">
        <v>7629</v>
      </c>
      <c r="N398" s="36" t="s">
        <v>5269</v>
      </c>
      <c r="O398" s="35" t="s">
        <v>5542</v>
      </c>
      <c r="P398" s="35" t="s">
        <v>5543</v>
      </c>
    </row>
    <row r="399" spans="1:16">
      <c r="A399" s="35">
        <v>1257</v>
      </c>
      <c r="B399" s="36" t="s">
        <v>1949</v>
      </c>
      <c r="C399">
        <f>VLOOKUP(A399,'TABELA SPOLINE'!A:J,10,FALSE)</f>
        <v>517.54500000000007</v>
      </c>
      <c r="D399">
        <f t="shared" si="131"/>
        <v>569.29950000000008</v>
      </c>
      <c r="E399">
        <f t="shared" si="132"/>
        <v>569.29999999999995</v>
      </c>
      <c r="F399">
        <f t="shared" si="133"/>
        <v>624.80674999999997</v>
      </c>
      <c r="G399">
        <f t="shared" si="134"/>
        <v>624.80999999999995</v>
      </c>
      <c r="H399">
        <v>804</v>
      </c>
      <c r="I399">
        <v>4</v>
      </c>
      <c r="J399" s="35" t="s">
        <v>3334</v>
      </c>
      <c r="K399" t="str">
        <f t="shared" si="126"/>
        <v>1257</v>
      </c>
      <c r="L399" s="36" t="s">
        <v>4497</v>
      </c>
      <c r="M399" s="35">
        <v>7629</v>
      </c>
      <c r="N399" s="36" t="s">
        <v>5269</v>
      </c>
      <c r="O399" s="35" t="s">
        <v>5542</v>
      </c>
      <c r="P399" s="35" t="s">
        <v>5543</v>
      </c>
    </row>
    <row r="400" spans="1:16">
      <c r="A400" s="35">
        <v>1258</v>
      </c>
      <c r="B400" s="36" t="s">
        <v>1950</v>
      </c>
      <c r="C400">
        <f>VLOOKUP(A400,'TABELA SPOLINE'!A:J,10,FALSE)</f>
        <v>517.54500000000007</v>
      </c>
      <c r="D400">
        <f t="shared" si="131"/>
        <v>569.29950000000008</v>
      </c>
      <c r="E400">
        <f t="shared" si="132"/>
        <v>569.29999999999995</v>
      </c>
      <c r="F400">
        <f t="shared" si="133"/>
        <v>624.80674999999997</v>
      </c>
      <c r="G400">
        <f t="shared" si="134"/>
        <v>624.80999999999995</v>
      </c>
      <c r="H400">
        <v>804</v>
      </c>
      <c r="I400">
        <v>4</v>
      </c>
      <c r="J400" s="35" t="s">
        <v>3335</v>
      </c>
      <c r="K400" t="str">
        <f t="shared" si="126"/>
        <v>1258</v>
      </c>
      <c r="L400" s="36" t="s">
        <v>4498</v>
      </c>
      <c r="M400" s="35">
        <v>7629</v>
      </c>
      <c r="N400" s="36" t="s">
        <v>5269</v>
      </c>
      <c r="O400" s="35" t="s">
        <v>5544</v>
      </c>
      <c r="P400" s="35" t="s">
        <v>5545</v>
      </c>
    </row>
    <row r="401" spans="1:16">
      <c r="A401" s="35">
        <v>1260</v>
      </c>
      <c r="B401" s="36" t="s">
        <v>1954</v>
      </c>
      <c r="C401">
        <f>VLOOKUP(A401,'TABELA SPOLINE'!A:J,10,FALSE)</f>
        <v>517.54500000000007</v>
      </c>
      <c r="D401">
        <f t="shared" si="131"/>
        <v>569.29950000000008</v>
      </c>
      <c r="E401">
        <f t="shared" si="132"/>
        <v>569.29999999999995</v>
      </c>
      <c r="F401">
        <f t="shared" si="133"/>
        <v>624.80674999999997</v>
      </c>
      <c r="G401">
        <f t="shared" si="134"/>
        <v>624.80999999999995</v>
      </c>
      <c r="H401">
        <v>804</v>
      </c>
      <c r="I401">
        <v>4</v>
      </c>
      <c r="J401" s="35" t="s">
        <v>3339</v>
      </c>
      <c r="K401" t="str">
        <f t="shared" si="126"/>
        <v>1260</v>
      </c>
      <c r="L401" s="36" t="s">
        <v>4499</v>
      </c>
      <c r="M401" s="35">
        <v>7629</v>
      </c>
      <c r="N401" s="36" t="s">
        <v>5269</v>
      </c>
      <c r="O401" s="35" t="s">
        <v>5544</v>
      </c>
      <c r="P401" s="35" t="s">
        <v>5545</v>
      </c>
    </row>
    <row r="402" spans="1:16" hidden="1">
      <c r="A402" s="35">
        <v>1262</v>
      </c>
      <c r="B402" s="36" t="s">
        <v>1951</v>
      </c>
      <c r="C402" t="e">
        <f>VLOOKUP(A402,'TABELA SPOLINE'!A:J,10,FALSE)</f>
        <v>#N/A</v>
      </c>
      <c r="H402">
        <v>804</v>
      </c>
      <c r="I402">
        <v>4</v>
      </c>
      <c r="J402" s="35" t="s">
        <v>3336</v>
      </c>
      <c r="K402" t="str">
        <f t="shared" si="126"/>
        <v>1262</v>
      </c>
      <c r="L402" s="36" t="s">
        <v>4500</v>
      </c>
      <c r="M402" s="35">
        <v>7629</v>
      </c>
      <c r="N402" s="36" t="s">
        <v>5269</v>
      </c>
      <c r="O402" s="35" t="s">
        <v>5544</v>
      </c>
      <c r="P402" s="35" t="s">
        <v>5545</v>
      </c>
    </row>
    <row r="403" spans="1:16">
      <c r="A403" s="35">
        <v>1273</v>
      </c>
      <c r="B403" s="36" t="s">
        <v>1960</v>
      </c>
      <c r="C403">
        <f>VLOOKUP(A403,'TABELA SPOLINE'!A:J,10,FALSE)</f>
        <v>437.40899999999999</v>
      </c>
      <c r="D403">
        <f>C403*0.1+C403</f>
        <v>481.1499</v>
      </c>
      <c r="E403">
        <f>ROUNDUP(D403,2)</f>
        <v>481.15</v>
      </c>
      <c r="F403">
        <f>E403*0.0975+E403</f>
        <v>528.06212499999992</v>
      </c>
      <c r="G403">
        <f>ROUNDUP(F403,2)</f>
        <v>528.06999999999994</v>
      </c>
      <c r="H403">
        <v>806</v>
      </c>
      <c r="I403">
        <v>3</v>
      </c>
      <c r="J403" s="35" t="s">
        <v>3345</v>
      </c>
      <c r="K403" t="str">
        <f t="shared" si="126"/>
        <v>1273</v>
      </c>
      <c r="L403" s="36" t="s">
        <v>4501</v>
      </c>
      <c r="M403" s="35">
        <v>7629</v>
      </c>
      <c r="N403" s="36" t="s">
        <v>5269</v>
      </c>
      <c r="O403" s="35" t="s">
        <v>5544</v>
      </c>
      <c r="P403" s="35" t="s">
        <v>5545</v>
      </c>
    </row>
    <row r="404" spans="1:16" hidden="1">
      <c r="A404" s="35">
        <v>1275</v>
      </c>
      <c r="B404" s="36" t="s">
        <v>1961</v>
      </c>
      <c r="C404" t="e">
        <f>VLOOKUP(A404,'TABELA SPOLINE'!A:J,10,FALSE)</f>
        <v>#N/A</v>
      </c>
      <c r="H404">
        <v>806</v>
      </c>
      <c r="I404">
        <v>3</v>
      </c>
      <c r="J404" s="35" t="s">
        <v>3346</v>
      </c>
      <c r="K404" t="str">
        <f t="shared" si="126"/>
        <v>1275</v>
      </c>
      <c r="L404" s="36" t="s">
        <v>4501</v>
      </c>
      <c r="M404" s="35">
        <v>7629</v>
      </c>
      <c r="N404" s="36" t="s">
        <v>5269</v>
      </c>
      <c r="O404" s="35" t="s">
        <v>5544</v>
      </c>
      <c r="P404" s="35" t="s">
        <v>5545</v>
      </c>
    </row>
    <row r="405" spans="1:16">
      <c r="A405" s="35">
        <v>1276</v>
      </c>
      <c r="B405" s="36" t="s">
        <v>1962</v>
      </c>
      <c r="C405">
        <f>VLOOKUP(A405,'TABELA SPOLINE'!A:J,10,FALSE)</f>
        <v>524.89080000000001</v>
      </c>
      <c r="D405">
        <f t="shared" ref="D405:D406" si="135">C405*0.1+C405</f>
        <v>577.37987999999996</v>
      </c>
      <c r="E405">
        <f t="shared" ref="E405:E406" si="136">ROUNDUP(D405,2)</f>
        <v>577.38</v>
      </c>
      <c r="F405">
        <f t="shared" ref="F405:F406" si="137">E405*0.0975+E405</f>
        <v>633.67454999999995</v>
      </c>
      <c r="G405">
        <f t="shared" ref="G405:G406" si="138">ROUNDUP(F405,2)</f>
        <v>633.67999999999995</v>
      </c>
      <c r="H405">
        <v>806</v>
      </c>
      <c r="I405">
        <v>3</v>
      </c>
      <c r="J405" s="35" t="s">
        <v>3347</v>
      </c>
      <c r="K405" t="str">
        <f t="shared" si="126"/>
        <v>1276</v>
      </c>
      <c r="L405" s="36" t="s">
        <v>4500</v>
      </c>
      <c r="M405" s="35">
        <v>7629</v>
      </c>
      <c r="N405" s="36" t="s">
        <v>5269</v>
      </c>
      <c r="O405" s="35" t="s">
        <v>5546</v>
      </c>
      <c r="P405" s="35" t="s">
        <v>5547</v>
      </c>
    </row>
    <row r="406" spans="1:16">
      <c r="A406" s="35">
        <v>1277</v>
      </c>
      <c r="B406" s="36" t="s">
        <v>1963</v>
      </c>
      <c r="C406">
        <f>VLOOKUP(A406,'TABELA SPOLINE'!A:J,10,FALSE)</f>
        <v>524.89080000000001</v>
      </c>
      <c r="D406">
        <f t="shared" si="135"/>
        <v>577.37987999999996</v>
      </c>
      <c r="E406">
        <f t="shared" si="136"/>
        <v>577.38</v>
      </c>
      <c r="F406">
        <f t="shared" si="137"/>
        <v>633.67454999999995</v>
      </c>
      <c r="G406">
        <f t="shared" si="138"/>
        <v>633.67999999999995</v>
      </c>
      <c r="H406">
        <v>806</v>
      </c>
      <c r="I406">
        <v>3</v>
      </c>
      <c r="J406" s="35" t="s">
        <v>3348</v>
      </c>
      <c r="K406" t="str">
        <f t="shared" si="126"/>
        <v>1277</v>
      </c>
      <c r="L406" s="36" t="s">
        <v>4501</v>
      </c>
      <c r="M406" s="35">
        <v>7629</v>
      </c>
      <c r="N406" s="36" t="s">
        <v>5269</v>
      </c>
      <c r="O406" s="35" t="s">
        <v>5546</v>
      </c>
      <c r="P406" s="35" t="s">
        <v>5547</v>
      </c>
    </row>
    <row r="407" spans="1:16" hidden="1">
      <c r="A407" s="35">
        <v>1278</v>
      </c>
      <c r="B407" s="36" t="s">
        <v>1964</v>
      </c>
      <c r="C407" t="e">
        <f>VLOOKUP(A407,'TABELA SPOLINE'!A:J,10,FALSE)</f>
        <v>#N/A</v>
      </c>
      <c r="H407">
        <v>806</v>
      </c>
      <c r="I407">
        <v>3</v>
      </c>
      <c r="J407" s="35" t="s">
        <v>3349</v>
      </c>
      <c r="K407" t="str">
        <f t="shared" si="126"/>
        <v>1278</v>
      </c>
      <c r="L407" s="36" t="s">
        <v>4500</v>
      </c>
      <c r="M407" s="35">
        <v>7629</v>
      </c>
      <c r="N407" s="36" t="s">
        <v>5269</v>
      </c>
      <c r="O407" s="35" t="s">
        <v>5544</v>
      </c>
      <c r="P407" s="35" t="s">
        <v>5545</v>
      </c>
    </row>
    <row r="408" spans="1:16" hidden="1">
      <c r="A408" s="35">
        <v>1279</v>
      </c>
      <c r="B408" s="36" t="s">
        <v>1965</v>
      </c>
      <c r="C408" t="e">
        <f>VLOOKUP(A408,'TABELA SPOLINE'!A:J,10,FALSE)</f>
        <v>#N/A</v>
      </c>
      <c r="H408">
        <v>806</v>
      </c>
      <c r="I408">
        <v>3</v>
      </c>
      <c r="J408" s="35" t="s">
        <v>3350</v>
      </c>
      <c r="K408" t="str">
        <f t="shared" si="126"/>
        <v>1279</v>
      </c>
      <c r="L408" s="36" t="s">
        <v>4502</v>
      </c>
      <c r="M408" s="35">
        <v>7629</v>
      </c>
      <c r="N408" s="36" t="s">
        <v>5269</v>
      </c>
      <c r="O408" s="35" t="s">
        <v>5544</v>
      </c>
      <c r="P408" s="35" t="s">
        <v>5545</v>
      </c>
    </row>
    <row r="409" spans="1:16">
      <c r="A409" s="35">
        <v>1280</v>
      </c>
      <c r="B409" s="36" t="s">
        <v>1966</v>
      </c>
      <c r="C409">
        <f>VLOOKUP(A409,'TABELA SPOLINE'!A:J,10,FALSE)</f>
        <v>437.40899999999999</v>
      </c>
      <c r="D409">
        <f>C409*0.1+C409</f>
        <v>481.1499</v>
      </c>
      <c r="E409">
        <f>ROUNDUP(D409,2)</f>
        <v>481.15</v>
      </c>
      <c r="F409">
        <f>E409*0.0975+E409</f>
        <v>528.06212499999992</v>
      </c>
      <c r="G409">
        <f>ROUNDUP(F409,2)</f>
        <v>528.06999999999994</v>
      </c>
      <c r="H409">
        <v>806</v>
      </c>
      <c r="I409">
        <v>3</v>
      </c>
      <c r="J409" s="35" t="s">
        <v>3351</v>
      </c>
      <c r="K409" t="str">
        <f t="shared" si="126"/>
        <v>1280</v>
      </c>
      <c r="L409" s="36" t="s">
        <v>4500</v>
      </c>
      <c r="M409" s="35">
        <v>7629</v>
      </c>
      <c r="N409" s="36" t="s">
        <v>5269</v>
      </c>
      <c r="O409" s="35" t="s">
        <v>5546</v>
      </c>
      <c r="P409" s="35" t="s">
        <v>5547</v>
      </c>
    </row>
    <row r="410" spans="1:16" hidden="1">
      <c r="A410" s="35">
        <v>1281</v>
      </c>
      <c r="B410" s="36" t="s">
        <v>1967</v>
      </c>
      <c r="C410" t="e">
        <f>VLOOKUP(A410,'TABELA SPOLINE'!A:J,10,FALSE)</f>
        <v>#N/A</v>
      </c>
      <c r="H410">
        <v>806</v>
      </c>
      <c r="I410">
        <v>3</v>
      </c>
      <c r="J410" s="35" t="s">
        <v>3352</v>
      </c>
      <c r="K410" t="str">
        <f t="shared" si="126"/>
        <v>1281</v>
      </c>
      <c r="L410" s="36" t="s">
        <v>4500</v>
      </c>
      <c r="M410" s="35">
        <v>7629</v>
      </c>
      <c r="N410" s="36" t="s">
        <v>5269</v>
      </c>
      <c r="O410" s="35" t="s">
        <v>5544</v>
      </c>
      <c r="P410" s="35" t="s">
        <v>5545</v>
      </c>
    </row>
    <row r="411" spans="1:16">
      <c r="A411" s="35">
        <v>1282</v>
      </c>
      <c r="B411" s="36" t="s">
        <v>1969</v>
      </c>
      <c r="C411">
        <f>VLOOKUP(A411,'TABELA SPOLINE'!A:J,10,FALSE)</f>
        <v>657.78300000000002</v>
      </c>
      <c r="D411">
        <f>C411*0.1+C411</f>
        <v>723.56130000000007</v>
      </c>
      <c r="E411">
        <f>ROUNDUP(D411,2)</f>
        <v>723.56999999999994</v>
      </c>
      <c r="F411">
        <f>E411*0.0975+E411</f>
        <v>794.11807499999998</v>
      </c>
      <c r="G411">
        <f>ROUNDUP(F411,2)</f>
        <v>794.12</v>
      </c>
      <c r="H411">
        <v>806</v>
      </c>
      <c r="I411">
        <v>5</v>
      </c>
      <c r="J411" s="35" t="s">
        <v>3354</v>
      </c>
      <c r="K411" t="str">
        <f t="shared" si="126"/>
        <v>1282</v>
      </c>
      <c r="L411" s="36" t="s">
        <v>4503</v>
      </c>
      <c r="M411" s="35">
        <v>7629</v>
      </c>
      <c r="N411" s="36" t="s">
        <v>5269</v>
      </c>
      <c r="O411" s="35" t="s">
        <v>5544</v>
      </c>
      <c r="P411" s="35" t="s">
        <v>5545</v>
      </c>
    </row>
    <row r="412" spans="1:16" hidden="1">
      <c r="A412" s="35">
        <v>1285</v>
      </c>
      <c r="B412" s="36" t="s">
        <v>1977</v>
      </c>
      <c r="C412" t="e">
        <f>VLOOKUP(A412,'TABELA SPOLINE'!A:J,10,FALSE)</f>
        <v>#N/A</v>
      </c>
      <c r="H412">
        <v>806</v>
      </c>
      <c r="I412">
        <v>5</v>
      </c>
      <c r="J412" s="35" t="s">
        <v>3362</v>
      </c>
      <c r="K412" t="str">
        <f t="shared" si="126"/>
        <v>1285</v>
      </c>
      <c r="L412" s="36" t="s">
        <v>4501</v>
      </c>
      <c r="M412" s="35">
        <v>7629</v>
      </c>
      <c r="N412" s="36" t="s">
        <v>5269</v>
      </c>
      <c r="O412" s="35" t="s">
        <v>5546</v>
      </c>
      <c r="P412" s="35" t="s">
        <v>5547</v>
      </c>
    </row>
    <row r="413" spans="1:16" hidden="1">
      <c r="A413" s="35">
        <v>1286</v>
      </c>
      <c r="B413" s="36" t="s">
        <v>1970</v>
      </c>
      <c r="C413" t="e">
        <f>VLOOKUP(A413,'TABELA SPOLINE'!A:J,10,FALSE)</f>
        <v>#N/A</v>
      </c>
      <c r="H413">
        <v>806</v>
      </c>
      <c r="I413">
        <v>5</v>
      </c>
      <c r="J413" s="35" t="s">
        <v>3355</v>
      </c>
      <c r="K413" t="str">
        <f t="shared" si="126"/>
        <v>1286</v>
      </c>
      <c r="L413" s="36" t="s">
        <v>4501</v>
      </c>
      <c r="M413" s="35">
        <v>7629</v>
      </c>
      <c r="N413" s="36" t="s">
        <v>5269</v>
      </c>
      <c r="O413" s="35" t="s">
        <v>5544</v>
      </c>
      <c r="P413" s="35" t="s">
        <v>5545</v>
      </c>
    </row>
    <row r="414" spans="1:16">
      <c r="A414" s="35">
        <v>1288</v>
      </c>
      <c r="B414" s="36" t="s">
        <v>1971</v>
      </c>
      <c r="C414">
        <f>VLOOKUP(A414,'TABELA SPOLINE'!A:J,10,FALSE)</f>
        <v>789.33960000000013</v>
      </c>
      <c r="D414">
        <f t="shared" ref="D414:D416" si="139">C414*0.1+C414</f>
        <v>868.27356000000009</v>
      </c>
      <c r="E414">
        <f t="shared" ref="E414:E416" si="140">ROUNDUP(D414,2)</f>
        <v>868.28</v>
      </c>
      <c r="F414">
        <f t="shared" ref="F414:F416" si="141">E414*0.0975+E414</f>
        <v>952.93729999999994</v>
      </c>
      <c r="G414">
        <f t="shared" ref="G414:G416" si="142">ROUNDUP(F414,2)</f>
        <v>952.93999999999994</v>
      </c>
      <c r="H414">
        <v>806</v>
      </c>
      <c r="I414">
        <v>5</v>
      </c>
      <c r="J414" s="35" t="s">
        <v>3356</v>
      </c>
      <c r="K414" t="str">
        <f t="shared" si="126"/>
        <v>1288</v>
      </c>
      <c r="L414" s="36" t="s">
        <v>4501</v>
      </c>
      <c r="M414" s="35">
        <v>7629</v>
      </c>
      <c r="N414" s="36" t="s">
        <v>5269</v>
      </c>
      <c r="O414" s="35" t="s">
        <v>5544</v>
      </c>
      <c r="P414" s="35" t="s">
        <v>5545</v>
      </c>
    </row>
    <row r="415" spans="1:16">
      <c r="A415" s="35">
        <v>1289</v>
      </c>
      <c r="B415" s="36" t="s">
        <v>1972</v>
      </c>
      <c r="C415">
        <f>VLOOKUP(A415,'TABELA SPOLINE'!A:J,10,FALSE)</f>
        <v>789.33960000000013</v>
      </c>
      <c r="D415">
        <f t="shared" si="139"/>
        <v>868.27356000000009</v>
      </c>
      <c r="E415">
        <f t="shared" si="140"/>
        <v>868.28</v>
      </c>
      <c r="F415">
        <f t="shared" si="141"/>
        <v>952.93729999999994</v>
      </c>
      <c r="G415">
        <f t="shared" si="142"/>
        <v>952.93999999999994</v>
      </c>
      <c r="H415">
        <v>806</v>
      </c>
      <c r="I415">
        <v>5</v>
      </c>
      <c r="J415" s="35" t="s">
        <v>3357</v>
      </c>
      <c r="K415" t="str">
        <f t="shared" si="126"/>
        <v>1289</v>
      </c>
      <c r="L415" s="36" t="s">
        <v>4500</v>
      </c>
      <c r="M415" s="35">
        <v>7629</v>
      </c>
      <c r="N415" s="36" t="s">
        <v>5269</v>
      </c>
      <c r="O415" s="35" t="s">
        <v>5544</v>
      </c>
      <c r="P415" s="35" t="s">
        <v>5545</v>
      </c>
    </row>
    <row r="416" spans="1:16">
      <c r="A416" s="35">
        <v>1290</v>
      </c>
      <c r="B416" s="36" t="s">
        <v>1975</v>
      </c>
      <c r="C416">
        <f>VLOOKUP(A416,'TABELA SPOLINE'!A:J,10,FALSE)</f>
        <v>657.78300000000002</v>
      </c>
      <c r="D416">
        <f t="shared" si="139"/>
        <v>723.56130000000007</v>
      </c>
      <c r="E416">
        <f t="shared" si="140"/>
        <v>723.56999999999994</v>
      </c>
      <c r="F416">
        <f t="shared" si="141"/>
        <v>794.11807499999998</v>
      </c>
      <c r="G416">
        <f t="shared" si="142"/>
        <v>794.12</v>
      </c>
      <c r="H416">
        <v>806</v>
      </c>
      <c r="I416">
        <v>5</v>
      </c>
      <c r="J416" s="35" t="s">
        <v>3360</v>
      </c>
      <c r="K416" t="str">
        <f t="shared" si="126"/>
        <v>1290</v>
      </c>
      <c r="L416" s="36" t="s">
        <v>4504</v>
      </c>
      <c r="M416" s="35">
        <v>7629</v>
      </c>
      <c r="N416" s="36" t="s">
        <v>5269</v>
      </c>
      <c r="O416" s="35" t="s">
        <v>5544</v>
      </c>
      <c r="P416" s="35" t="s">
        <v>5545</v>
      </c>
    </row>
    <row r="417" spans="1:16" hidden="1">
      <c r="A417" s="35">
        <v>1297</v>
      </c>
      <c r="B417" s="36" t="s">
        <v>1976</v>
      </c>
      <c r="C417" t="e">
        <f>VLOOKUP(A417,'TABELA SPOLINE'!A:J,10,FALSE)</f>
        <v>#N/A</v>
      </c>
      <c r="H417">
        <v>806</v>
      </c>
      <c r="I417">
        <v>5</v>
      </c>
      <c r="J417" s="35" t="s">
        <v>3361</v>
      </c>
      <c r="K417" t="str">
        <f t="shared" si="126"/>
        <v>1297</v>
      </c>
      <c r="L417" s="36" t="s">
        <v>4505</v>
      </c>
      <c r="M417" s="35">
        <v>7629</v>
      </c>
      <c r="N417" s="36" t="s">
        <v>5269</v>
      </c>
      <c r="O417" s="35" t="s">
        <v>5538</v>
      </c>
      <c r="P417" s="35" t="s">
        <v>5539</v>
      </c>
    </row>
    <row r="418" spans="1:16">
      <c r="A418" s="35">
        <v>1299</v>
      </c>
      <c r="B418" s="36" t="s">
        <v>1978</v>
      </c>
      <c r="C418">
        <f>VLOOKUP(A418,'TABELA SPOLINE'!A:J,10,FALSE)</f>
        <v>622.16700000000003</v>
      </c>
      <c r="D418">
        <f t="shared" ref="D418:D419" si="143">C418*0.1+C418</f>
        <v>684.38370000000009</v>
      </c>
      <c r="E418">
        <f t="shared" ref="E418:E419" si="144">ROUNDUP(D418,2)</f>
        <v>684.39</v>
      </c>
      <c r="F418">
        <f t="shared" ref="F418:F419" si="145">E418*0.0975+E418</f>
        <v>751.11802499999999</v>
      </c>
      <c r="G418">
        <f t="shared" ref="G418:G419" si="146">ROUNDUP(F418,2)</f>
        <v>751.12</v>
      </c>
      <c r="H418">
        <v>807</v>
      </c>
      <c r="I418">
        <v>4</v>
      </c>
      <c r="J418" s="35" t="s">
        <v>3363</v>
      </c>
      <c r="K418" t="str">
        <f t="shared" si="126"/>
        <v>1299</v>
      </c>
      <c r="L418" s="36" t="s">
        <v>4506</v>
      </c>
      <c r="M418" s="35">
        <v>7629</v>
      </c>
      <c r="N418" s="36" t="s">
        <v>5269</v>
      </c>
      <c r="O418" s="35" t="s">
        <v>5538</v>
      </c>
      <c r="P418" s="35" t="s">
        <v>5539</v>
      </c>
    </row>
    <row r="419" spans="1:16">
      <c r="A419" s="35">
        <v>1301</v>
      </c>
      <c r="B419" s="36" t="s">
        <v>1979</v>
      </c>
      <c r="C419">
        <f>VLOOKUP(A419,'TABELA SPOLINE'!A:J,10,FALSE)</f>
        <v>622.16700000000003</v>
      </c>
      <c r="D419">
        <f t="shared" si="143"/>
        <v>684.38370000000009</v>
      </c>
      <c r="E419">
        <f t="shared" si="144"/>
        <v>684.39</v>
      </c>
      <c r="F419">
        <f t="shared" si="145"/>
        <v>751.11802499999999</v>
      </c>
      <c r="G419">
        <f t="shared" si="146"/>
        <v>751.12</v>
      </c>
      <c r="H419">
        <v>807</v>
      </c>
      <c r="I419">
        <v>4</v>
      </c>
      <c r="J419" s="35" t="s">
        <v>3364</v>
      </c>
      <c r="K419" t="str">
        <f t="shared" si="126"/>
        <v>1301</v>
      </c>
      <c r="L419" s="36" t="s">
        <v>4507</v>
      </c>
      <c r="M419" s="35">
        <v>7629</v>
      </c>
      <c r="N419" s="36" t="s">
        <v>5269</v>
      </c>
      <c r="O419" s="35" t="s">
        <v>5538</v>
      </c>
      <c r="P419" s="35" t="s">
        <v>5539</v>
      </c>
    </row>
    <row r="420" spans="1:16" hidden="1">
      <c r="A420" s="35">
        <v>1305</v>
      </c>
      <c r="B420" s="36" t="s">
        <v>1980</v>
      </c>
      <c r="C420" t="e">
        <f>VLOOKUP(A420,'TABELA SPOLINE'!A:J,10,FALSE)</f>
        <v>#N/A</v>
      </c>
      <c r="H420">
        <v>807</v>
      </c>
      <c r="I420">
        <v>4</v>
      </c>
      <c r="J420" s="35" t="s">
        <v>3365</v>
      </c>
      <c r="K420" t="str">
        <f t="shared" si="126"/>
        <v>1305</v>
      </c>
      <c r="L420" s="36" t="s">
        <v>4508</v>
      </c>
      <c r="M420" s="35">
        <v>7629</v>
      </c>
      <c r="N420" s="36" t="s">
        <v>5269</v>
      </c>
      <c r="O420" s="35" t="s">
        <v>5538</v>
      </c>
      <c r="P420" s="35" t="s">
        <v>5539</v>
      </c>
    </row>
    <row r="421" spans="1:16">
      <c r="A421" s="35">
        <v>1307</v>
      </c>
      <c r="B421" s="36" t="s">
        <v>1981</v>
      </c>
      <c r="C421">
        <f>VLOOKUP(A421,'TABELA SPOLINE'!A:J,10,FALSE)</f>
        <v>746.60039999999992</v>
      </c>
      <c r="D421">
        <f t="shared" ref="D421:D424" si="147">C421*0.1+C421</f>
        <v>821.2604399999999</v>
      </c>
      <c r="E421">
        <f t="shared" ref="E421:E424" si="148">ROUNDUP(D421,2)</f>
        <v>821.27</v>
      </c>
      <c r="F421">
        <f t="shared" ref="F421:F424" si="149">E421*0.0975+E421</f>
        <v>901.34382499999992</v>
      </c>
      <c r="G421">
        <f t="shared" ref="G421:G424" si="150">ROUNDUP(F421,2)</f>
        <v>901.35</v>
      </c>
      <c r="H421">
        <v>807</v>
      </c>
      <c r="I421">
        <v>4</v>
      </c>
      <c r="J421" s="35" t="s">
        <v>3366</v>
      </c>
      <c r="K421" t="str">
        <f t="shared" si="126"/>
        <v>1307</v>
      </c>
      <c r="L421" s="36" t="s">
        <v>4509</v>
      </c>
      <c r="M421" s="35">
        <v>7629</v>
      </c>
      <c r="N421" s="36" t="s">
        <v>5269</v>
      </c>
      <c r="O421" s="35" t="s">
        <v>5548</v>
      </c>
      <c r="P421" s="35" t="s">
        <v>5549</v>
      </c>
    </row>
    <row r="422" spans="1:16">
      <c r="A422" s="35">
        <v>1332</v>
      </c>
      <c r="B422" s="36" t="s">
        <v>1984</v>
      </c>
      <c r="C422">
        <f>VLOOKUP(A422,'TABELA SPOLINE'!A:J,10,FALSE)</f>
        <v>366.17700000000002</v>
      </c>
      <c r="D422">
        <f t="shared" si="147"/>
        <v>402.79470000000003</v>
      </c>
      <c r="E422">
        <f t="shared" si="148"/>
        <v>402.8</v>
      </c>
      <c r="F422">
        <f t="shared" si="149"/>
        <v>442.07300000000004</v>
      </c>
      <c r="G422">
        <f t="shared" si="150"/>
        <v>442.08</v>
      </c>
      <c r="H422">
        <v>810</v>
      </c>
      <c r="I422">
        <v>120</v>
      </c>
      <c r="J422" s="35" t="s">
        <v>3369</v>
      </c>
      <c r="K422" t="str">
        <f t="shared" si="126"/>
        <v>1332</v>
      </c>
      <c r="L422" s="36" t="s">
        <v>4510</v>
      </c>
      <c r="M422" s="35">
        <v>7629</v>
      </c>
      <c r="N422" s="36" t="s">
        <v>5269</v>
      </c>
      <c r="O422" s="35" t="s">
        <v>5548</v>
      </c>
      <c r="P422" s="35" t="s">
        <v>5549</v>
      </c>
    </row>
    <row r="423" spans="1:16">
      <c r="A423" s="35">
        <v>1333</v>
      </c>
      <c r="B423" s="36" t="s">
        <v>1985</v>
      </c>
      <c r="C423">
        <f>VLOOKUP(A423,'TABELA SPOLINE'!A:J,10,FALSE)</f>
        <v>366.17700000000002</v>
      </c>
      <c r="D423">
        <f t="shared" si="147"/>
        <v>402.79470000000003</v>
      </c>
      <c r="E423">
        <f t="shared" si="148"/>
        <v>402.8</v>
      </c>
      <c r="F423">
        <f t="shared" si="149"/>
        <v>442.07300000000004</v>
      </c>
      <c r="G423">
        <f t="shared" si="150"/>
        <v>442.08</v>
      </c>
      <c r="H423">
        <v>810</v>
      </c>
      <c r="I423">
        <v>120</v>
      </c>
      <c r="J423" s="35" t="s">
        <v>3370</v>
      </c>
      <c r="K423" t="str">
        <f t="shared" si="126"/>
        <v>1333</v>
      </c>
      <c r="L423" s="36" t="s">
        <v>4511</v>
      </c>
      <c r="M423" s="35">
        <v>7629</v>
      </c>
      <c r="N423" s="36" t="s">
        <v>5269</v>
      </c>
      <c r="O423" s="35" t="s">
        <v>5548</v>
      </c>
      <c r="P423" s="35" t="s">
        <v>5549</v>
      </c>
    </row>
    <row r="424" spans="1:16">
      <c r="A424" s="35">
        <v>1334</v>
      </c>
      <c r="B424" s="36" t="s">
        <v>1989</v>
      </c>
      <c r="C424">
        <f>VLOOKUP(A424,'TABELA SPOLINE'!A:J,10,FALSE)</f>
        <v>366.17700000000002</v>
      </c>
      <c r="D424">
        <f t="shared" si="147"/>
        <v>402.79470000000003</v>
      </c>
      <c r="E424">
        <f t="shared" si="148"/>
        <v>402.8</v>
      </c>
      <c r="F424">
        <f t="shared" si="149"/>
        <v>442.07300000000004</v>
      </c>
      <c r="G424">
        <f t="shared" si="150"/>
        <v>442.08</v>
      </c>
      <c r="H424">
        <v>810</v>
      </c>
      <c r="I424">
        <v>120</v>
      </c>
      <c r="J424" s="35" t="s">
        <v>3374</v>
      </c>
      <c r="K424" t="str">
        <f t="shared" si="126"/>
        <v>1334</v>
      </c>
      <c r="L424" s="36" t="s">
        <v>4512</v>
      </c>
      <c r="M424" s="35">
        <v>7629</v>
      </c>
      <c r="N424" s="36" t="s">
        <v>5269</v>
      </c>
      <c r="O424" s="35" t="s">
        <v>5548</v>
      </c>
      <c r="P424" s="35" t="s">
        <v>5549</v>
      </c>
    </row>
    <row r="425" spans="1:16" hidden="1">
      <c r="A425" s="35">
        <v>1335</v>
      </c>
      <c r="B425" s="36" t="s">
        <v>1992</v>
      </c>
      <c r="C425" t="e">
        <f>VLOOKUP(A425,'TABELA SPOLINE'!A:J,10,FALSE)</f>
        <v>#N/A</v>
      </c>
      <c r="H425">
        <v>810</v>
      </c>
      <c r="I425">
        <v>60</v>
      </c>
      <c r="J425" s="35" t="s">
        <v>3377</v>
      </c>
      <c r="K425" t="str">
        <f t="shared" si="126"/>
        <v>1335</v>
      </c>
      <c r="L425" s="36" t="s">
        <v>4513</v>
      </c>
      <c r="M425" s="35">
        <v>7629</v>
      </c>
      <c r="N425" s="36" t="s">
        <v>5269</v>
      </c>
      <c r="O425" s="35" t="s">
        <v>5548</v>
      </c>
      <c r="P425" s="35" t="s">
        <v>5549</v>
      </c>
    </row>
    <row r="426" spans="1:16" hidden="1">
      <c r="A426" s="35">
        <v>1336</v>
      </c>
      <c r="B426" s="36" t="s">
        <v>1997</v>
      </c>
      <c r="C426" t="e">
        <f>VLOOKUP(A426,'TABELA SPOLINE'!A:J,10,FALSE)</f>
        <v>#N/A</v>
      </c>
      <c r="H426">
        <v>810</v>
      </c>
      <c r="I426">
        <v>60</v>
      </c>
      <c r="J426" s="35" t="s">
        <v>3382</v>
      </c>
      <c r="K426" t="str">
        <f t="shared" si="126"/>
        <v>1336</v>
      </c>
      <c r="L426" s="36" t="s">
        <v>4514</v>
      </c>
      <c r="M426" s="35">
        <v>7629</v>
      </c>
      <c r="N426" s="36" t="s">
        <v>5269</v>
      </c>
      <c r="O426" s="35" t="s">
        <v>5548</v>
      </c>
      <c r="P426" s="35" t="s">
        <v>5549</v>
      </c>
    </row>
    <row r="427" spans="1:16" hidden="1">
      <c r="A427" s="35">
        <v>1338</v>
      </c>
      <c r="B427" s="36" t="s">
        <v>1993</v>
      </c>
      <c r="C427" t="e">
        <f>VLOOKUP(A427,'TABELA SPOLINE'!A:J,10,FALSE)</f>
        <v>#N/A</v>
      </c>
      <c r="H427">
        <v>810</v>
      </c>
      <c r="I427">
        <v>60</v>
      </c>
      <c r="J427" s="35" t="s">
        <v>3378</v>
      </c>
      <c r="K427" t="str">
        <f t="shared" si="126"/>
        <v>1338</v>
      </c>
      <c r="L427" s="36" t="s">
        <v>4515</v>
      </c>
      <c r="M427" s="35">
        <v>7629</v>
      </c>
      <c r="N427" s="36" t="s">
        <v>5269</v>
      </c>
      <c r="O427" s="35" t="s">
        <v>5548</v>
      </c>
      <c r="P427" s="35" t="s">
        <v>5549</v>
      </c>
    </row>
    <row r="428" spans="1:16" hidden="1">
      <c r="A428" s="35">
        <v>1339</v>
      </c>
      <c r="B428" s="36" t="s">
        <v>1996</v>
      </c>
      <c r="C428" t="e">
        <f>VLOOKUP(A428,'TABELA SPOLINE'!A:J,10,FALSE)</f>
        <v>#N/A</v>
      </c>
      <c r="H428">
        <v>810</v>
      </c>
      <c r="I428">
        <v>60</v>
      </c>
      <c r="J428" s="35" t="s">
        <v>3381</v>
      </c>
      <c r="K428" t="str">
        <f t="shared" si="126"/>
        <v>1339</v>
      </c>
      <c r="L428" s="36" t="s">
        <v>4516</v>
      </c>
      <c r="M428" s="35">
        <v>7629</v>
      </c>
      <c r="N428" s="36" t="s">
        <v>5269</v>
      </c>
      <c r="O428" s="35" t="s">
        <v>5548</v>
      </c>
      <c r="P428" s="35" t="s">
        <v>5549</v>
      </c>
    </row>
    <row r="429" spans="1:16">
      <c r="A429" s="35">
        <v>1340</v>
      </c>
      <c r="B429" s="36" t="s">
        <v>2000</v>
      </c>
      <c r="C429">
        <f>VLOOKUP(A429,'TABELA SPOLINE'!A:J,10,FALSE)</f>
        <v>263.78100000000001</v>
      </c>
      <c r="D429">
        <f t="shared" ref="D429:D430" si="151">C429*0.1+C429</f>
        <v>290.15910000000002</v>
      </c>
      <c r="E429">
        <f t="shared" ref="E429:E430" si="152">ROUNDUP(D429,2)</f>
        <v>290.15999999999997</v>
      </c>
      <c r="F429">
        <f t="shared" ref="F429:F430" si="153">E429*0.0975+E429</f>
        <v>318.45059999999995</v>
      </c>
      <c r="G429">
        <f t="shared" ref="G429:G430" si="154">ROUNDUP(F429,2)</f>
        <v>318.45999999999998</v>
      </c>
      <c r="H429">
        <v>811</v>
      </c>
      <c r="I429">
        <v>60</v>
      </c>
      <c r="J429" s="35" t="s">
        <v>3385</v>
      </c>
      <c r="K429" t="str">
        <f t="shared" si="126"/>
        <v>1340</v>
      </c>
      <c r="L429" s="36" t="s">
        <v>4517</v>
      </c>
      <c r="M429" s="35">
        <v>7629</v>
      </c>
      <c r="N429" s="36" t="s">
        <v>5269</v>
      </c>
      <c r="O429" s="35" t="s">
        <v>5550</v>
      </c>
      <c r="P429" s="35" t="s">
        <v>5551</v>
      </c>
    </row>
    <row r="430" spans="1:16">
      <c r="A430" s="35">
        <v>1341</v>
      </c>
      <c r="B430" s="36" t="s">
        <v>2008</v>
      </c>
      <c r="C430">
        <f>VLOOKUP(A430,'TABELA SPOLINE'!A:J,10,FALSE)</f>
        <v>263.78100000000001</v>
      </c>
      <c r="D430">
        <f t="shared" si="151"/>
        <v>290.15910000000002</v>
      </c>
      <c r="E430">
        <f t="shared" si="152"/>
        <v>290.15999999999997</v>
      </c>
      <c r="F430">
        <f t="shared" si="153"/>
        <v>318.45059999999995</v>
      </c>
      <c r="G430">
        <f t="shared" si="154"/>
        <v>318.45999999999998</v>
      </c>
      <c r="H430">
        <v>811</v>
      </c>
      <c r="I430">
        <v>120</v>
      </c>
      <c r="J430" s="35" t="s">
        <v>3393</v>
      </c>
      <c r="K430" t="str">
        <f t="shared" si="126"/>
        <v>1341</v>
      </c>
      <c r="L430" s="36" t="s">
        <v>4518</v>
      </c>
      <c r="M430" s="35">
        <v>7629</v>
      </c>
      <c r="N430" s="36" t="s">
        <v>5269</v>
      </c>
      <c r="O430" s="35" t="s">
        <v>5550</v>
      </c>
      <c r="P430" s="35" t="s">
        <v>5551</v>
      </c>
    </row>
    <row r="431" spans="1:16" hidden="1">
      <c r="A431" s="35">
        <v>1342</v>
      </c>
      <c r="B431" s="36" t="s">
        <v>2009</v>
      </c>
      <c r="C431" t="e">
        <f>VLOOKUP(A431,'TABELA SPOLINE'!A:J,10,FALSE)</f>
        <v>#N/A</v>
      </c>
      <c r="H431">
        <v>811</v>
      </c>
      <c r="I431">
        <v>120</v>
      </c>
      <c r="J431" s="35" t="s">
        <v>3394</v>
      </c>
      <c r="K431" t="str">
        <f t="shared" si="126"/>
        <v>1342</v>
      </c>
      <c r="L431" s="36" t="s">
        <v>4519</v>
      </c>
      <c r="M431" s="35">
        <v>7629</v>
      </c>
      <c r="N431" s="36" t="s">
        <v>5269</v>
      </c>
      <c r="O431" s="35" t="s">
        <v>5550</v>
      </c>
      <c r="P431" s="35" t="s">
        <v>5551</v>
      </c>
    </row>
    <row r="432" spans="1:16">
      <c r="A432" s="35">
        <v>1343</v>
      </c>
      <c r="B432" s="36" t="s">
        <v>2010</v>
      </c>
      <c r="C432">
        <f>VLOOKUP(A432,'TABELA SPOLINE'!A:J,10,FALSE)</f>
        <v>263.78100000000001</v>
      </c>
      <c r="D432">
        <f t="shared" ref="D432:D434" si="155">C432*0.1+C432</f>
        <v>290.15910000000002</v>
      </c>
      <c r="E432">
        <f t="shared" ref="E432:E434" si="156">ROUNDUP(D432,2)</f>
        <v>290.15999999999997</v>
      </c>
      <c r="F432">
        <f t="shared" ref="F432:F434" si="157">E432*0.0975+E432</f>
        <v>318.45059999999995</v>
      </c>
      <c r="G432">
        <f t="shared" ref="G432:G434" si="158">ROUNDUP(F432,2)</f>
        <v>318.45999999999998</v>
      </c>
      <c r="H432">
        <v>811</v>
      </c>
      <c r="I432">
        <v>120</v>
      </c>
      <c r="J432" s="35" t="s">
        <v>3395</v>
      </c>
      <c r="K432" t="str">
        <f t="shared" si="126"/>
        <v>1343</v>
      </c>
      <c r="L432" s="36" t="s">
        <v>4520</v>
      </c>
      <c r="M432" s="35">
        <v>7629</v>
      </c>
      <c r="N432" s="36" t="s">
        <v>5269</v>
      </c>
      <c r="O432" s="35" t="s">
        <v>5550</v>
      </c>
      <c r="P432" s="35" t="s">
        <v>5551</v>
      </c>
    </row>
    <row r="433" spans="1:16">
      <c r="A433" s="35">
        <v>1344</v>
      </c>
      <c r="B433" s="36" t="s">
        <v>2001</v>
      </c>
      <c r="C433">
        <f>VLOOKUP(A433,'TABELA SPOLINE'!A:J,10,FALSE)</f>
        <v>263.78100000000001</v>
      </c>
      <c r="D433">
        <f t="shared" si="155"/>
        <v>290.15910000000002</v>
      </c>
      <c r="E433">
        <f t="shared" si="156"/>
        <v>290.15999999999997</v>
      </c>
      <c r="F433">
        <f t="shared" si="157"/>
        <v>318.45059999999995</v>
      </c>
      <c r="G433">
        <f t="shared" si="158"/>
        <v>318.45999999999998</v>
      </c>
      <c r="H433">
        <v>811</v>
      </c>
      <c r="I433">
        <v>60</v>
      </c>
      <c r="J433" s="35" t="s">
        <v>3386</v>
      </c>
      <c r="K433" t="str">
        <f t="shared" si="126"/>
        <v>1344</v>
      </c>
      <c r="L433" s="36" t="s">
        <v>4521</v>
      </c>
      <c r="M433" s="35">
        <v>7629</v>
      </c>
      <c r="N433" s="36" t="s">
        <v>5269</v>
      </c>
      <c r="O433" s="35" t="s">
        <v>5550</v>
      </c>
      <c r="P433" s="35" t="s">
        <v>5551</v>
      </c>
    </row>
    <row r="434" spans="1:16">
      <c r="A434" s="35">
        <v>1345</v>
      </c>
      <c r="B434" s="36" t="s">
        <v>2011</v>
      </c>
      <c r="C434">
        <f>VLOOKUP(A434,'TABELA SPOLINE'!A:J,10,FALSE)</f>
        <v>263.78100000000001</v>
      </c>
      <c r="D434">
        <f t="shared" si="155"/>
        <v>290.15910000000002</v>
      </c>
      <c r="E434">
        <f t="shared" si="156"/>
        <v>290.15999999999997</v>
      </c>
      <c r="F434">
        <f t="shared" si="157"/>
        <v>318.45059999999995</v>
      </c>
      <c r="G434">
        <f t="shared" si="158"/>
        <v>318.45999999999998</v>
      </c>
      <c r="H434">
        <v>811</v>
      </c>
      <c r="I434">
        <v>120</v>
      </c>
      <c r="J434" s="35" t="s">
        <v>3396</v>
      </c>
      <c r="K434" t="str">
        <f t="shared" si="126"/>
        <v>1345</v>
      </c>
      <c r="L434" s="36" t="s">
        <v>4522</v>
      </c>
      <c r="M434" s="35">
        <v>7629</v>
      </c>
      <c r="N434" s="36" t="s">
        <v>5269</v>
      </c>
      <c r="O434" s="35" t="s">
        <v>5550</v>
      </c>
      <c r="P434" s="35" t="s">
        <v>5551</v>
      </c>
    </row>
    <row r="435" spans="1:16" hidden="1">
      <c r="A435" s="35">
        <v>1346</v>
      </c>
      <c r="B435" s="36" t="s">
        <v>2012</v>
      </c>
      <c r="C435" t="e">
        <f>VLOOKUP(A435,'TABELA SPOLINE'!A:J,10,FALSE)</f>
        <v>#N/A</v>
      </c>
      <c r="H435">
        <v>811</v>
      </c>
      <c r="I435">
        <v>120</v>
      </c>
      <c r="J435" s="35" t="s">
        <v>3397</v>
      </c>
      <c r="K435" t="str">
        <f t="shared" si="126"/>
        <v>1346</v>
      </c>
      <c r="L435" s="36" t="s">
        <v>4523</v>
      </c>
      <c r="M435" s="35">
        <v>7629</v>
      </c>
      <c r="N435" s="36" t="s">
        <v>5269</v>
      </c>
      <c r="O435" s="35" t="s">
        <v>5552</v>
      </c>
      <c r="P435" s="35" t="s">
        <v>5553</v>
      </c>
    </row>
    <row r="436" spans="1:16">
      <c r="A436" s="35">
        <v>1347</v>
      </c>
      <c r="B436" s="36" t="s">
        <v>2013</v>
      </c>
      <c r="C436">
        <f>VLOOKUP(A436,'TABELA SPOLINE'!A:J,10,FALSE)</f>
        <v>263.78100000000001</v>
      </c>
      <c r="D436">
        <f t="shared" ref="D436:D452" si="159">C436*0.1+C436</f>
        <v>290.15910000000002</v>
      </c>
      <c r="E436">
        <f t="shared" ref="E436:E452" si="160">ROUNDUP(D436,2)</f>
        <v>290.15999999999997</v>
      </c>
      <c r="F436">
        <f t="shared" ref="F436:F452" si="161">E436*0.0975+E436</f>
        <v>318.45059999999995</v>
      </c>
      <c r="G436">
        <f t="shared" ref="G436:G452" si="162">ROUNDUP(F436,2)</f>
        <v>318.45999999999998</v>
      </c>
      <c r="H436">
        <v>811</v>
      </c>
      <c r="I436">
        <v>120</v>
      </c>
      <c r="J436" s="35" t="s">
        <v>3398</v>
      </c>
      <c r="K436" t="str">
        <f t="shared" si="126"/>
        <v>1347</v>
      </c>
      <c r="L436" s="36" t="s">
        <v>4524</v>
      </c>
      <c r="M436" s="35">
        <v>7629</v>
      </c>
      <c r="N436" s="36" t="s">
        <v>5269</v>
      </c>
      <c r="O436" s="35" t="s">
        <v>5552</v>
      </c>
      <c r="P436" s="35" t="s">
        <v>5553</v>
      </c>
    </row>
    <row r="437" spans="1:16">
      <c r="A437" s="35">
        <v>1349</v>
      </c>
      <c r="B437" s="36" t="s">
        <v>1670</v>
      </c>
      <c r="C437">
        <f>VLOOKUP(A437,'TABELA SPOLINE'!A:J,10,FALSE)</f>
        <v>230.39100000000002</v>
      </c>
      <c r="D437">
        <f t="shared" si="159"/>
        <v>253.43010000000004</v>
      </c>
      <c r="E437">
        <f t="shared" si="160"/>
        <v>253.44</v>
      </c>
      <c r="F437">
        <f t="shared" si="161"/>
        <v>278.15039999999999</v>
      </c>
      <c r="G437">
        <f t="shared" si="162"/>
        <v>278.15999999999997</v>
      </c>
      <c r="H437">
        <v>812</v>
      </c>
      <c r="I437">
        <v>60</v>
      </c>
      <c r="J437" s="35" t="s">
        <v>3058</v>
      </c>
      <c r="K437" t="str">
        <f t="shared" si="126"/>
        <v>1349</v>
      </c>
      <c r="L437" s="36" t="s">
        <v>4525</v>
      </c>
      <c r="M437" s="35">
        <v>7629</v>
      </c>
      <c r="N437" s="36" t="s">
        <v>5269</v>
      </c>
      <c r="O437" s="35" t="s">
        <v>5552</v>
      </c>
      <c r="P437" s="35" t="s">
        <v>5553</v>
      </c>
    </row>
    <row r="438" spans="1:16">
      <c r="A438" s="35">
        <v>1350</v>
      </c>
      <c r="B438" s="36" t="s">
        <v>1671</v>
      </c>
      <c r="C438">
        <f>VLOOKUP(A438,'TABELA SPOLINE'!A:J,10,FALSE)</f>
        <v>230.39100000000002</v>
      </c>
      <c r="D438">
        <f t="shared" si="159"/>
        <v>253.43010000000004</v>
      </c>
      <c r="E438">
        <f t="shared" si="160"/>
        <v>253.44</v>
      </c>
      <c r="F438">
        <f t="shared" si="161"/>
        <v>278.15039999999999</v>
      </c>
      <c r="G438">
        <f t="shared" si="162"/>
        <v>278.15999999999997</v>
      </c>
      <c r="H438">
        <v>812</v>
      </c>
      <c r="I438">
        <v>60</v>
      </c>
      <c r="J438" s="35" t="s">
        <v>3059</v>
      </c>
      <c r="K438" t="str">
        <f t="shared" si="126"/>
        <v>1350</v>
      </c>
      <c r="L438" s="36" t="s">
        <v>4526</v>
      </c>
      <c r="M438" s="35">
        <v>7629</v>
      </c>
      <c r="N438" s="36" t="s">
        <v>5269</v>
      </c>
      <c r="O438" s="35" t="s">
        <v>5552</v>
      </c>
      <c r="P438" s="35" t="s">
        <v>5553</v>
      </c>
    </row>
    <row r="439" spans="1:16">
      <c r="A439" s="35">
        <v>1351</v>
      </c>
      <c r="B439" s="36" t="s">
        <v>1672</v>
      </c>
      <c r="C439">
        <f>VLOOKUP(A439,'TABELA SPOLINE'!A:J,10,FALSE)</f>
        <v>230.39100000000002</v>
      </c>
      <c r="D439">
        <f t="shared" si="159"/>
        <v>253.43010000000004</v>
      </c>
      <c r="E439">
        <f t="shared" si="160"/>
        <v>253.44</v>
      </c>
      <c r="F439">
        <f t="shared" si="161"/>
        <v>278.15039999999999</v>
      </c>
      <c r="G439">
        <f t="shared" si="162"/>
        <v>278.15999999999997</v>
      </c>
      <c r="H439">
        <v>812</v>
      </c>
      <c r="I439">
        <v>60</v>
      </c>
      <c r="J439" s="35" t="s">
        <v>3060</v>
      </c>
      <c r="K439" t="str">
        <f t="shared" si="126"/>
        <v>1351</v>
      </c>
      <c r="L439" s="36" t="s">
        <v>4527</v>
      </c>
      <c r="M439" s="35">
        <v>7629</v>
      </c>
      <c r="N439" s="36" t="s">
        <v>5269</v>
      </c>
      <c r="O439" s="35" t="s">
        <v>5552</v>
      </c>
      <c r="P439" s="35" t="s">
        <v>5553</v>
      </c>
    </row>
    <row r="440" spans="1:16">
      <c r="A440" s="35">
        <v>1361</v>
      </c>
      <c r="B440" s="36" t="s">
        <v>2019</v>
      </c>
      <c r="C440">
        <f>VLOOKUP(A440,'TABELA SPOLINE'!A:J,10,FALSE)</f>
        <v>366.17700000000002</v>
      </c>
      <c r="D440">
        <f t="shared" si="159"/>
        <v>402.79470000000003</v>
      </c>
      <c r="E440">
        <f t="shared" si="160"/>
        <v>402.8</v>
      </c>
      <c r="F440">
        <f t="shared" si="161"/>
        <v>442.07300000000004</v>
      </c>
      <c r="G440">
        <f t="shared" si="162"/>
        <v>442.08</v>
      </c>
      <c r="H440">
        <v>814</v>
      </c>
      <c r="I440">
        <v>120</v>
      </c>
      <c r="J440" s="35" t="s">
        <v>3404</v>
      </c>
      <c r="K440" t="str">
        <f t="shared" si="126"/>
        <v>1361</v>
      </c>
      <c r="L440" s="36" t="s">
        <v>4528</v>
      </c>
      <c r="M440" s="35">
        <v>7629</v>
      </c>
      <c r="N440" s="36" t="s">
        <v>5269</v>
      </c>
      <c r="O440" s="35" t="s">
        <v>5552</v>
      </c>
      <c r="P440" s="35" t="s">
        <v>5553</v>
      </c>
    </row>
    <row r="441" spans="1:16">
      <c r="A441" s="35">
        <v>1364</v>
      </c>
      <c r="B441" s="36" t="s">
        <v>2017</v>
      </c>
      <c r="C441">
        <f>VLOOKUP(A441,'TABELA SPOLINE'!A:J,10,FALSE)</f>
        <v>366.17700000000002</v>
      </c>
      <c r="D441">
        <f t="shared" si="159"/>
        <v>402.79470000000003</v>
      </c>
      <c r="E441">
        <f t="shared" si="160"/>
        <v>402.8</v>
      </c>
      <c r="F441">
        <f t="shared" si="161"/>
        <v>442.07300000000004</v>
      </c>
      <c r="G441">
        <f t="shared" si="162"/>
        <v>442.08</v>
      </c>
      <c r="H441">
        <v>814</v>
      </c>
      <c r="I441">
        <v>120</v>
      </c>
      <c r="J441" s="35" t="s">
        <v>3402</v>
      </c>
      <c r="K441" t="str">
        <f t="shared" si="126"/>
        <v>1364</v>
      </c>
      <c r="L441" s="36" t="s">
        <v>4529</v>
      </c>
      <c r="M441" s="35">
        <v>7629</v>
      </c>
      <c r="N441" s="36" t="s">
        <v>5269</v>
      </c>
      <c r="O441" s="35" t="s">
        <v>5554</v>
      </c>
      <c r="P441" s="35" t="s">
        <v>5555</v>
      </c>
    </row>
    <row r="442" spans="1:16">
      <c r="A442" s="35">
        <v>1365</v>
      </c>
      <c r="B442" s="36" t="s">
        <v>2020</v>
      </c>
      <c r="C442">
        <f>VLOOKUP(A442,'TABELA SPOLINE'!A:J,10,FALSE)</f>
        <v>366.17700000000002</v>
      </c>
      <c r="D442">
        <f t="shared" si="159"/>
        <v>402.79470000000003</v>
      </c>
      <c r="E442">
        <f t="shared" si="160"/>
        <v>402.8</v>
      </c>
      <c r="F442">
        <f t="shared" si="161"/>
        <v>442.07300000000004</v>
      </c>
      <c r="G442">
        <f t="shared" si="162"/>
        <v>442.08</v>
      </c>
      <c r="H442">
        <v>814</v>
      </c>
      <c r="I442">
        <v>120</v>
      </c>
      <c r="J442" s="35" t="s">
        <v>3405</v>
      </c>
      <c r="K442" t="str">
        <f t="shared" si="126"/>
        <v>1365</v>
      </c>
      <c r="L442" s="36" t="s">
        <v>4530</v>
      </c>
      <c r="M442" s="35">
        <v>7629</v>
      </c>
      <c r="N442" s="36" t="s">
        <v>5269</v>
      </c>
      <c r="O442" s="35" t="s">
        <v>5554</v>
      </c>
      <c r="P442" s="35" t="s">
        <v>5555</v>
      </c>
    </row>
    <row r="443" spans="1:16">
      <c r="A443" s="35">
        <v>1370</v>
      </c>
      <c r="B443" s="36" t="s">
        <v>2199</v>
      </c>
      <c r="C443">
        <f>VLOOKUP(A443,'TABELA SPOLINE'!A:J,10,FALSE)</f>
        <v>222.60000000000002</v>
      </c>
      <c r="D443">
        <f t="shared" si="159"/>
        <v>244.86</v>
      </c>
      <c r="E443">
        <f t="shared" si="160"/>
        <v>244.86</v>
      </c>
      <c r="F443">
        <f t="shared" si="161"/>
        <v>268.73385000000002</v>
      </c>
      <c r="G443">
        <f t="shared" si="162"/>
        <v>268.74</v>
      </c>
      <c r="H443">
        <v>815</v>
      </c>
      <c r="I443">
        <v>1</v>
      </c>
      <c r="J443" s="35" t="s">
        <v>3584</v>
      </c>
      <c r="K443" t="str">
        <f t="shared" si="126"/>
        <v>1370</v>
      </c>
      <c r="L443" s="36" t="s">
        <v>4531</v>
      </c>
      <c r="M443" s="35">
        <v>7629</v>
      </c>
      <c r="N443" s="36" t="s">
        <v>5269</v>
      </c>
      <c r="O443" s="35" t="s">
        <v>5556</v>
      </c>
      <c r="P443" s="35" t="s">
        <v>5557</v>
      </c>
    </row>
    <row r="444" spans="1:16">
      <c r="A444" s="35">
        <v>1372</v>
      </c>
      <c r="B444" s="36" t="s">
        <v>2200</v>
      </c>
      <c r="C444">
        <f>VLOOKUP(A444,'TABELA SPOLINE'!A:J,10,FALSE)</f>
        <v>222.60000000000002</v>
      </c>
      <c r="D444">
        <f t="shared" si="159"/>
        <v>244.86</v>
      </c>
      <c r="E444">
        <f t="shared" si="160"/>
        <v>244.86</v>
      </c>
      <c r="F444">
        <f t="shared" si="161"/>
        <v>268.73385000000002</v>
      </c>
      <c r="G444">
        <f t="shared" si="162"/>
        <v>268.74</v>
      </c>
      <c r="H444">
        <v>815</v>
      </c>
      <c r="I444">
        <v>1</v>
      </c>
      <c r="J444" s="35" t="s">
        <v>3585</v>
      </c>
      <c r="K444" t="str">
        <f t="shared" si="126"/>
        <v>1372</v>
      </c>
      <c r="L444" s="36" t="s">
        <v>4531</v>
      </c>
      <c r="M444" s="35">
        <v>7629</v>
      </c>
      <c r="N444" s="36" t="s">
        <v>5269</v>
      </c>
      <c r="O444" s="35" t="s">
        <v>5556</v>
      </c>
      <c r="P444" s="35" t="s">
        <v>5557</v>
      </c>
    </row>
    <row r="445" spans="1:16">
      <c r="A445" s="35">
        <v>1388</v>
      </c>
      <c r="B445" s="36" t="s">
        <v>2201</v>
      </c>
      <c r="C445">
        <f>VLOOKUP(A445,'TABELA SPOLINE'!A:J,10,FALSE)</f>
        <v>110.18700000000001</v>
      </c>
      <c r="D445">
        <f t="shared" si="159"/>
        <v>121.20570000000001</v>
      </c>
      <c r="E445">
        <f t="shared" si="160"/>
        <v>121.21000000000001</v>
      </c>
      <c r="F445">
        <f t="shared" si="161"/>
        <v>133.027975</v>
      </c>
      <c r="G445">
        <f t="shared" si="162"/>
        <v>133.03</v>
      </c>
      <c r="H445">
        <v>817</v>
      </c>
      <c r="I445">
        <v>1</v>
      </c>
      <c r="J445" s="35" t="s">
        <v>3586</v>
      </c>
      <c r="K445" t="str">
        <f t="shared" si="126"/>
        <v>1388</v>
      </c>
      <c r="L445" s="36" t="s">
        <v>4531</v>
      </c>
      <c r="M445" s="35">
        <v>7629</v>
      </c>
      <c r="N445" s="36" t="s">
        <v>5269</v>
      </c>
      <c r="O445" s="35" t="s">
        <v>5556</v>
      </c>
      <c r="P445" s="35" t="s">
        <v>5557</v>
      </c>
    </row>
    <row r="446" spans="1:16">
      <c r="A446" s="35">
        <v>1390</v>
      </c>
      <c r="B446" s="36" t="s">
        <v>2202</v>
      </c>
      <c r="C446">
        <f>VLOOKUP(A446,'TABELA SPOLINE'!A:J,10,FALSE)</f>
        <v>110.18700000000001</v>
      </c>
      <c r="D446">
        <f t="shared" si="159"/>
        <v>121.20570000000001</v>
      </c>
      <c r="E446">
        <f t="shared" si="160"/>
        <v>121.21000000000001</v>
      </c>
      <c r="F446">
        <f t="shared" si="161"/>
        <v>133.027975</v>
      </c>
      <c r="G446">
        <f t="shared" si="162"/>
        <v>133.03</v>
      </c>
      <c r="H446">
        <v>817</v>
      </c>
      <c r="I446">
        <v>1</v>
      </c>
      <c r="J446" s="35" t="s">
        <v>3587</v>
      </c>
      <c r="K446" t="str">
        <f t="shared" si="126"/>
        <v>1390</v>
      </c>
      <c r="L446" s="36" t="s">
        <v>4531</v>
      </c>
      <c r="M446" s="35">
        <v>7629</v>
      </c>
      <c r="N446" s="36" t="s">
        <v>5269</v>
      </c>
      <c r="O446" s="35" t="s">
        <v>5556</v>
      </c>
      <c r="P446" s="35" t="s">
        <v>5557</v>
      </c>
    </row>
    <row r="447" spans="1:16">
      <c r="A447" s="35">
        <v>1391</v>
      </c>
      <c r="B447" s="36" t="s">
        <v>2203</v>
      </c>
      <c r="C447">
        <f>VLOOKUP(A447,'TABELA SPOLINE'!A:J,10,FALSE)</f>
        <v>110.18700000000001</v>
      </c>
      <c r="D447">
        <f t="shared" si="159"/>
        <v>121.20570000000001</v>
      </c>
      <c r="E447">
        <f t="shared" si="160"/>
        <v>121.21000000000001</v>
      </c>
      <c r="F447">
        <f t="shared" si="161"/>
        <v>133.027975</v>
      </c>
      <c r="G447">
        <f t="shared" si="162"/>
        <v>133.03</v>
      </c>
      <c r="H447">
        <v>817</v>
      </c>
      <c r="I447">
        <v>1</v>
      </c>
      <c r="J447" s="35" t="s">
        <v>3588</v>
      </c>
      <c r="K447" t="str">
        <f t="shared" si="126"/>
        <v>1391</v>
      </c>
      <c r="L447" s="36" t="s">
        <v>4532</v>
      </c>
      <c r="M447" s="35">
        <v>7629</v>
      </c>
      <c r="N447" s="36" t="s">
        <v>5269</v>
      </c>
      <c r="O447" s="35" t="s">
        <v>5554</v>
      </c>
      <c r="P447" s="35" t="s">
        <v>5555</v>
      </c>
    </row>
    <row r="448" spans="1:16">
      <c r="A448" s="35">
        <v>1398</v>
      </c>
      <c r="B448" s="36" t="s">
        <v>2211</v>
      </c>
      <c r="C448">
        <f>VLOOKUP(A448,'TABELA SPOLINE'!A:J,10,FALSE)</f>
        <v>134.673</v>
      </c>
      <c r="D448">
        <f t="shared" si="159"/>
        <v>148.1403</v>
      </c>
      <c r="E448">
        <f t="shared" si="160"/>
        <v>148.14999999999998</v>
      </c>
      <c r="F448">
        <f t="shared" si="161"/>
        <v>162.59462499999998</v>
      </c>
      <c r="G448">
        <f t="shared" si="162"/>
        <v>162.6</v>
      </c>
      <c r="H448">
        <v>820</v>
      </c>
      <c r="I448">
        <v>1</v>
      </c>
      <c r="J448" s="35" t="s">
        <v>3596</v>
      </c>
      <c r="K448" t="str">
        <f t="shared" si="126"/>
        <v>1398</v>
      </c>
      <c r="L448" s="36" t="s">
        <v>4531</v>
      </c>
      <c r="M448" s="35">
        <v>7629</v>
      </c>
      <c r="N448" s="36" t="s">
        <v>5269</v>
      </c>
      <c r="O448" s="35" t="s">
        <v>5554</v>
      </c>
      <c r="P448" s="35" t="s">
        <v>5555</v>
      </c>
    </row>
    <row r="449" spans="1:16">
      <c r="A449" s="35">
        <v>1399</v>
      </c>
      <c r="B449" s="36" t="s">
        <v>2212</v>
      </c>
      <c r="C449">
        <f>VLOOKUP(A449,'TABELA SPOLINE'!A:J,10,FALSE)</f>
        <v>134.673</v>
      </c>
      <c r="D449">
        <f t="shared" si="159"/>
        <v>148.1403</v>
      </c>
      <c r="E449">
        <f t="shared" si="160"/>
        <v>148.14999999999998</v>
      </c>
      <c r="F449">
        <f t="shared" si="161"/>
        <v>162.59462499999998</v>
      </c>
      <c r="G449">
        <f t="shared" si="162"/>
        <v>162.6</v>
      </c>
      <c r="H449">
        <v>820</v>
      </c>
      <c r="I449">
        <v>1</v>
      </c>
      <c r="J449" s="35" t="s">
        <v>3597</v>
      </c>
      <c r="K449" t="str">
        <f t="shared" si="126"/>
        <v>1399</v>
      </c>
      <c r="L449" s="36" t="s">
        <v>4531</v>
      </c>
      <c r="M449" s="35">
        <v>7629</v>
      </c>
      <c r="N449" s="36" t="s">
        <v>5269</v>
      </c>
      <c r="O449" s="35" t="s">
        <v>5556</v>
      </c>
      <c r="P449" s="35" t="s">
        <v>5557</v>
      </c>
    </row>
    <row r="450" spans="1:16">
      <c r="A450" s="35">
        <v>1400</v>
      </c>
      <c r="B450" s="36" t="s">
        <v>2213</v>
      </c>
      <c r="C450">
        <f>VLOOKUP(A450,'TABELA SPOLINE'!A:J,10,FALSE)</f>
        <v>161.60759999999999</v>
      </c>
      <c r="D450">
        <f t="shared" si="159"/>
        <v>177.76836</v>
      </c>
      <c r="E450">
        <f t="shared" si="160"/>
        <v>177.76999999999998</v>
      </c>
      <c r="F450">
        <f t="shared" si="161"/>
        <v>195.10257499999997</v>
      </c>
      <c r="G450">
        <f t="shared" si="162"/>
        <v>195.10999999999999</v>
      </c>
      <c r="H450">
        <v>820</v>
      </c>
      <c r="I450">
        <v>1</v>
      </c>
      <c r="J450" s="35" t="s">
        <v>3598</v>
      </c>
      <c r="K450" t="str">
        <f t="shared" si="126"/>
        <v>1400</v>
      </c>
      <c r="L450" s="36" t="s">
        <v>4533</v>
      </c>
      <c r="M450" s="35">
        <v>7629</v>
      </c>
      <c r="N450" s="36" t="s">
        <v>5269</v>
      </c>
      <c r="O450" s="35" t="s">
        <v>5554</v>
      </c>
      <c r="P450" s="35" t="s">
        <v>5555</v>
      </c>
    </row>
    <row r="451" spans="1:16">
      <c r="A451" s="35">
        <v>1401</v>
      </c>
      <c r="B451" s="36" t="s">
        <v>2214</v>
      </c>
      <c r="C451">
        <f>VLOOKUP(A451,'TABELA SPOLINE'!A:J,10,FALSE)</f>
        <v>134.673</v>
      </c>
      <c r="D451">
        <f t="shared" si="159"/>
        <v>148.1403</v>
      </c>
      <c r="E451">
        <f t="shared" si="160"/>
        <v>148.14999999999998</v>
      </c>
      <c r="F451">
        <f t="shared" si="161"/>
        <v>162.59462499999998</v>
      </c>
      <c r="G451">
        <f t="shared" si="162"/>
        <v>162.6</v>
      </c>
      <c r="H451">
        <v>820</v>
      </c>
      <c r="I451">
        <v>1</v>
      </c>
      <c r="J451" s="35" t="s">
        <v>3599</v>
      </c>
      <c r="K451" t="str">
        <f t="shared" ref="K451:K514" si="163">TRIM(A451)</f>
        <v>1401</v>
      </c>
      <c r="L451" s="36" t="s">
        <v>4534</v>
      </c>
      <c r="M451" s="35">
        <v>7629</v>
      </c>
      <c r="N451" s="36" t="s">
        <v>5269</v>
      </c>
      <c r="O451" s="35" t="s">
        <v>5554</v>
      </c>
      <c r="P451" s="35" t="s">
        <v>5555</v>
      </c>
    </row>
    <row r="452" spans="1:16">
      <c r="A452" s="35">
        <v>1402</v>
      </c>
      <c r="B452" s="36" t="s">
        <v>2215</v>
      </c>
      <c r="C452">
        <f>VLOOKUP(A452,'TABELA SPOLINE'!A:J,10,FALSE)</f>
        <v>161.60759999999999</v>
      </c>
      <c r="D452">
        <f t="shared" si="159"/>
        <v>177.76836</v>
      </c>
      <c r="E452">
        <f t="shared" si="160"/>
        <v>177.76999999999998</v>
      </c>
      <c r="F452">
        <f t="shared" si="161"/>
        <v>195.10257499999997</v>
      </c>
      <c r="G452">
        <f t="shared" si="162"/>
        <v>195.10999999999999</v>
      </c>
      <c r="H452">
        <v>820</v>
      </c>
      <c r="I452">
        <v>1</v>
      </c>
      <c r="J452" s="35" t="s">
        <v>3600</v>
      </c>
      <c r="K452" t="str">
        <f t="shared" si="163"/>
        <v>1402</v>
      </c>
      <c r="L452" s="36" t="s">
        <v>4531</v>
      </c>
      <c r="M452" s="35">
        <v>7629</v>
      </c>
      <c r="N452" s="36" t="s">
        <v>5269</v>
      </c>
      <c r="O452" s="35" t="s">
        <v>5554</v>
      </c>
      <c r="P452" s="35" t="s">
        <v>5555</v>
      </c>
    </row>
    <row r="453" spans="1:16" hidden="1">
      <c r="A453" s="35">
        <v>1404</v>
      </c>
      <c r="B453" s="36" t="s">
        <v>2216</v>
      </c>
      <c r="C453" t="e">
        <f>VLOOKUP(A453,'TABELA SPOLINE'!A:J,10,FALSE)</f>
        <v>#N/A</v>
      </c>
      <c r="H453">
        <v>820</v>
      </c>
      <c r="I453">
        <v>1</v>
      </c>
      <c r="J453" s="35" t="s">
        <v>3601</v>
      </c>
      <c r="K453" t="str">
        <f t="shared" si="163"/>
        <v>1404</v>
      </c>
      <c r="L453" s="36" t="s">
        <v>4535</v>
      </c>
      <c r="M453" s="35">
        <v>7629</v>
      </c>
      <c r="N453" s="36" t="s">
        <v>5269</v>
      </c>
      <c r="O453" s="35" t="s">
        <v>5554</v>
      </c>
      <c r="P453" s="35" t="s">
        <v>5555</v>
      </c>
    </row>
    <row r="454" spans="1:16">
      <c r="A454" s="35">
        <v>1406</v>
      </c>
      <c r="B454" s="36" t="s">
        <v>2217</v>
      </c>
      <c r="C454">
        <f>VLOOKUP(A454,'TABELA SPOLINE'!A:J,10,FALSE)</f>
        <v>134.673</v>
      </c>
      <c r="D454">
        <f>C454*0.1+C454</f>
        <v>148.1403</v>
      </c>
      <c r="E454">
        <f>ROUNDUP(D454,2)</f>
        <v>148.14999999999998</v>
      </c>
      <c r="F454">
        <f>E454*0.0975+E454</f>
        <v>162.59462499999998</v>
      </c>
      <c r="G454">
        <f>ROUNDUP(F454,2)</f>
        <v>162.6</v>
      </c>
      <c r="H454">
        <v>820</v>
      </c>
      <c r="I454">
        <v>1</v>
      </c>
      <c r="J454" s="35" t="s">
        <v>3602</v>
      </c>
      <c r="K454" t="str">
        <f t="shared" si="163"/>
        <v>1406</v>
      </c>
      <c r="L454" s="36" t="s">
        <v>4536</v>
      </c>
      <c r="M454" s="35">
        <v>7629</v>
      </c>
      <c r="N454" s="36" t="s">
        <v>5269</v>
      </c>
      <c r="O454" s="35" t="s">
        <v>5556</v>
      </c>
      <c r="P454" s="35" t="s">
        <v>5557</v>
      </c>
    </row>
    <row r="455" spans="1:16" hidden="1">
      <c r="A455" s="35">
        <v>1409</v>
      </c>
      <c r="B455" s="36" t="s">
        <v>2224</v>
      </c>
      <c r="C455" t="e">
        <f>VLOOKUP(A455,'TABELA SPOLINE'!A:J,10,FALSE)</f>
        <v>#N/A</v>
      </c>
      <c r="H455">
        <v>821</v>
      </c>
      <c r="I455">
        <v>1</v>
      </c>
      <c r="J455" s="35" t="s">
        <v>3609</v>
      </c>
      <c r="K455" t="str">
        <f t="shared" si="163"/>
        <v>1409</v>
      </c>
      <c r="L455" s="36" t="s">
        <v>4537</v>
      </c>
      <c r="M455" s="35">
        <v>7629</v>
      </c>
      <c r="N455" s="36" t="s">
        <v>5269</v>
      </c>
      <c r="O455" s="35" t="s">
        <v>5554</v>
      </c>
      <c r="P455" s="35" t="s">
        <v>5555</v>
      </c>
    </row>
    <row r="456" spans="1:16" hidden="1">
      <c r="A456" s="35">
        <v>1410</v>
      </c>
      <c r="B456" s="36" t="s">
        <v>2219</v>
      </c>
      <c r="C456" t="e">
        <f>VLOOKUP(A456,'TABELA SPOLINE'!A:J,10,FALSE)</f>
        <v>#N/A</v>
      </c>
      <c r="H456">
        <v>821</v>
      </c>
      <c r="I456">
        <v>1</v>
      </c>
      <c r="J456" s="35" t="s">
        <v>3604</v>
      </c>
      <c r="K456" t="str">
        <f t="shared" si="163"/>
        <v>1410</v>
      </c>
      <c r="L456" s="36" t="s">
        <v>4531</v>
      </c>
      <c r="M456" s="35">
        <v>7629</v>
      </c>
      <c r="N456" s="36" t="s">
        <v>5269</v>
      </c>
      <c r="O456" s="35" t="s">
        <v>5556</v>
      </c>
      <c r="P456" s="35" t="s">
        <v>5557</v>
      </c>
    </row>
    <row r="457" spans="1:16">
      <c r="A457" s="35">
        <v>1411</v>
      </c>
      <c r="B457" s="36" t="s">
        <v>2223</v>
      </c>
      <c r="C457">
        <f>VLOOKUP(A457,'TABELA SPOLINE'!A:J,10,FALSE)</f>
        <v>150.255</v>
      </c>
      <c r="D457">
        <f t="shared" ref="D457:D460" si="164">C457*0.1+C457</f>
        <v>165.28049999999999</v>
      </c>
      <c r="E457">
        <f t="shared" ref="E457:E460" si="165">ROUNDUP(D457,2)</f>
        <v>165.29</v>
      </c>
      <c r="F457">
        <f t="shared" ref="F457:F460" si="166">E457*0.0975+E457</f>
        <v>181.40577500000001</v>
      </c>
      <c r="G457">
        <f t="shared" ref="G457:G460" si="167">ROUNDUP(F457,2)</f>
        <v>181.41</v>
      </c>
      <c r="H457">
        <v>821</v>
      </c>
      <c r="I457">
        <v>1</v>
      </c>
      <c r="J457" s="35" t="s">
        <v>3608</v>
      </c>
      <c r="K457" t="str">
        <f t="shared" si="163"/>
        <v>1411</v>
      </c>
      <c r="L457" s="36" t="s">
        <v>4531</v>
      </c>
      <c r="M457" s="35">
        <v>7629</v>
      </c>
      <c r="N457" s="36" t="s">
        <v>5269</v>
      </c>
      <c r="O457" s="35" t="s">
        <v>5556</v>
      </c>
      <c r="P457" s="35" t="s">
        <v>5557</v>
      </c>
    </row>
    <row r="458" spans="1:16">
      <c r="A458" s="35">
        <v>1412</v>
      </c>
      <c r="B458" s="36" t="s">
        <v>2220</v>
      </c>
      <c r="C458">
        <f>VLOOKUP(A458,'TABELA SPOLINE'!A:J,10,FALSE)</f>
        <v>150.255</v>
      </c>
      <c r="D458">
        <f t="shared" si="164"/>
        <v>165.28049999999999</v>
      </c>
      <c r="E458">
        <f t="shared" si="165"/>
        <v>165.29</v>
      </c>
      <c r="F458">
        <f t="shared" si="166"/>
        <v>181.40577500000001</v>
      </c>
      <c r="G458">
        <f t="shared" si="167"/>
        <v>181.41</v>
      </c>
      <c r="H458">
        <v>821</v>
      </c>
      <c r="I458">
        <v>1</v>
      </c>
      <c r="J458" s="35" t="s">
        <v>3605</v>
      </c>
      <c r="K458" t="str">
        <f t="shared" si="163"/>
        <v>1412</v>
      </c>
      <c r="L458" s="36" t="s">
        <v>4531</v>
      </c>
      <c r="M458" s="35">
        <v>7629</v>
      </c>
      <c r="N458" s="36" t="s">
        <v>5269</v>
      </c>
      <c r="O458" s="35" t="s">
        <v>5556</v>
      </c>
      <c r="P458" s="35" t="s">
        <v>5557</v>
      </c>
    </row>
    <row r="459" spans="1:16">
      <c r="A459" s="35">
        <v>1413</v>
      </c>
      <c r="B459" s="36" t="s">
        <v>2221</v>
      </c>
      <c r="C459">
        <f>VLOOKUP(A459,'TABELA SPOLINE'!A:J,10,FALSE)</f>
        <v>150.255</v>
      </c>
      <c r="D459">
        <f t="shared" si="164"/>
        <v>165.28049999999999</v>
      </c>
      <c r="E459">
        <f t="shared" si="165"/>
        <v>165.29</v>
      </c>
      <c r="F459">
        <f t="shared" si="166"/>
        <v>181.40577500000001</v>
      </c>
      <c r="G459">
        <f t="shared" si="167"/>
        <v>181.41</v>
      </c>
      <c r="H459">
        <v>821</v>
      </c>
      <c r="I459">
        <v>1</v>
      </c>
      <c r="J459" s="35" t="s">
        <v>3606</v>
      </c>
      <c r="K459" t="str">
        <f t="shared" si="163"/>
        <v>1413</v>
      </c>
      <c r="L459" s="36" t="s">
        <v>4531</v>
      </c>
      <c r="M459" s="35">
        <v>7629</v>
      </c>
      <c r="N459" s="36" t="s">
        <v>5269</v>
      </c>
      <c r="O459" s="35" t="s">
        <v>5556</v>
      </c>
      <c r="P459" s="35" t="s">
        <v>5557</v>
      </c>
    </row>
    <row r="460" spans="1:16">
      <c r="A460" s="35">
        <v>1415</v>
      </c>
      <c r="B460" s="36" t="s">
        <v>2225</v>
      </c>
      <c r="C460">
        <f>VLOOKUP(A460,'TABELA SPOLINE'!A:J,10,FALSE)</f>
        <v>150.255</v>
      </c>
      <c r="D460">
        <f t="shared" si="164"/>
        <v>165.28049999999999</v>
      </c>
      <c r="E460">
        <f t="shared" si="165"/>
        <v>165.29</v>
      </c>
      <c r="F460">
        <f t="shared" si="166"/>
        <v>181.40577500000001</v>
      </c>
      <c r="G460">
        <f t="shared" si="167"/>
        <v>181.41</v>
      </c>
      <c r="H460">
        <v>821</v>
      </c>
      <c r="I460">
        <v>1</v>
      </c>
      <c r="J460" s="35" t="s">
        <v>3610</v>
      </c>
      <c r="K460" t="str">
        <f t="shared" si="163"/>
        <v>1415</v>
      </c>
      <c r="L460" s="36" t="s">
        <v>4531</v>
      </c>
      <c r="M460" s="35">
        <v>7629</v>
      </c>
      <c r="N460" s="36" t="s">
        <v>5269</v>
      </c>
      <c r="O460" s="35" t="s">
        <v>5556</v>
      </c>
      <c r="P460" s="35" t="s">
        <v>5557</v>
      </c>
    </row>
    <row r="461" spans="1:16" hidden="1">
      <c r="A461" s="35">
        <v>1417</v>
      </c>
      <c r="B461" s="36" t="s">
        <v>2231</v>
      </c>
      <c r="C461" t="e">
        <f>VLOOKUP(A461,'TABELA SPOLINE'!A:J,10,FALSE)</f>
        <v>#N/A</v>
      </c>
      <c r="H461">
        <v>822</v>
      </c>
      <c r="I461">
        <v>2</v>
      </c>
      <c r="J461" s="35" t="s">
        <v>3616</v>
      </c>
      <c r="K461" t="str">
        <f t="shared" si="163"/>
        <v>1417</v>
      </c>
      <c r="L461" s="36" t="s">
        <v>4538</v>
      </c>
      <c r="M461" s="35">
        <v>7629</v>
      </c>
      <c r="N461" s="36" t="s">
        <v>5269</v>
      </c>
      <c r="O461" s="35" t="s">
        <v>5558</v>
      </c>
      <c r="P461" s="35" t="s">
        <v>5559</v>
      </c>
    </row>
    <row r="462" spans="1:16" hidden="1">
      <c r="A462" s="35">
        <v>1419</v>
      </c>
      <c r="B462" s="36" t="s">
        <v>2232</v>
      </c>
      <c r="C462" t="e">
        <f>VLOOKUP(A462,'TABELA SPOLINE'!A:J,10,FALSE)</f>
        <v>#N/A</v>
      </c>
      <c r="H462">
        <v>822</v>
      </c>
      <c r="I462">
        <v>2</v>
      </c>
      <c r="J462" s="35" t="s">
        <v>3617</v>
      </c>
      <c r="K462" t="str">
        <f t="shared" si="163"/>
        <v>1419</v>
      </c>
      <c r="L462" s="36" t="s">
        <v>4539</v>
      </c>
      <c r="M462" s="35">
        <v>7629</v>
      </c>
      <c r="N462" s="36" t="s">
        <v>5269</v>
      </c>
      <c r="O462" s="35" t="s">
        <v>5558</v>
      </c>
      <c r="P462" s="35" t="s">
        <v>5559</v>
      </c>
    </row>
    <row r="463" spans="1:16" hidden="1">
      <c r="A463" s="35">
        <v>1429</v>
      </c>
      <c r="B463" s="36" t="s">
        <v>2239</v>
      </c>
      <c r="C463" t="e">
        <f>VLOOKUP(A463,'TABELA SPOLINE'!A:J,10,FALSE)</f>
        <v>#N/A</v>
      </c>
      <c r="H463">
        <v>823</v>
      </c>
      <c r="I463">
        <v>60</v>
      </c>
      <c r="J463" s="35" t="s">
        <v>3624</v>
      </c>
      <c r="K463" t="str">
        <f t="shared" si="163"/>
        <v>1429</v>
      </c>
      <c r="L463" s="36" t="s">
        <v>4540</v>
      </c>
      <c r="M463" s="35">
        <v>7629</v>
      </c>
      <c r="N463" s="36" t="s">
        <v>5269</v>
      </c>
      <c r="O463" s="35" t="s">
        <v>5560</v>
      </c>
      <c r="P463" s="35" t="s">
        <v>5561</v>
      </c>
    </row>
    <row r="464" spans="1:16">
      <c r="A464" s="35">
        <v>1430</v>
      </c>
      <c r="B464" s="36" t="s">
        <v>2240</v>
      </c>
      <c r="C464">
        <f>VLOOKUP(A464,'TABELA SPOLINE'!A:J,10,FALSE)</f>
        <v>143.577</v>
      </c>
      <c r="D464">
        <f t="shared" ref="D464:D465" si="168">C464*0.1+C464</f>
        <v>157.93469999999999</v>
      </c>
      <c r="E464">
        <f t="shared" ref="E464:E465" si="169">ROUNDUP(D464,2)</f>
        <v>157.94</v>
      </c>
      <c r="F464">
        <f t="shared" ref="F464:F465" si="170">E464*0.0975+E464</f>
        <v>173.33914999999999</v>
      </c>
      <c r="G464">
        <f t="shared" ref="G464:G465" si="171">ROUNDUP(F464,2)</f>
        <v>173.34</v>
      </c>
      <c r="H464">
        <v>823</v>
      </c>
      <c r="I464">
        <v>60</v>
      </c>
      <c r="J464" s="35" t="s">
        <v>3625</v>
      </c>
      <c r="K464" t="str">
        <f t="shared" si="163"/>
        <v>1430</v>
      </c>
      <c r="L464" s="36" t="s">
        <v>4541</v>
      </c>
      <c r="M464" s="35">
        <v>7629</v>
      </c>
      <c r="N464" s="36" t="s">
        <v>5269</v>
      </c>
      <c r="O464" s="35" t="s">
        <v>5558</v>
      </c>
      <c r="P464" s="35" t="s">
        <v>5559</v>
      </c>
    </row>
    <row r="465" spans="1:16">
      <c r="A465" s="35">
        <v>1431</v>
      </c>
      <c r="B465" s="36" t="s">
        <v>2241</v>
      </c>
      <c r="C465">
        <f>VLOOKUP(A465,'TABELA SPOLINE'!A:J,10,FALSE)</f>
        <v>143.577</v>
      </c>
      <c r="D465">
        <f t="shared" si="168"/>
        <v>157.93469999999999</v>
      </c>
      <c r="E465">
        <f t="shared" si="169"/>
        <v>157.94</v>
      </c>
      <c r="F465">
        <f t="shared" si="170"/>
        <v>173.33914999999999</v>
      </c>
      <c r="G465">
        <f t="shared" si="171"/>
        <v>173.34</v>
      </c>
      <c r="H465">
        <v>823</v>
      </c>
      <c r="I465">
        <v>60</v>
      </c>
      <c r="J465" s="35" t="s">
        <v>3626</v>
      </c>
      <c r="K465" t="str">
        <f t="shared" si="163"/>
        <v>1431</v>
      </c>
      <c r="L465" s="36" t="s">
        <v>4542</v>
      </c>
      <c r="M465" s="35">
        <v>7629</v>
      </c>
      <c r="N465" s="36" t="s">
        <v>5269</v>
      </c>
      <c r="O465" s="35" t="s">
        <v>5562</v>
      </c>
      <c r="P465" s="35" t="s">
        <v>5563</v>
      </c>
    </row>
    <row r="466" spans="1:16" hidden="1">
      <c r="A466" s="35">
        <v>1432</v>
      </c>
      <c r="B466" s="36" t="s">
        <v>2243</v>
      </c>
      <c r="C466" t="e">
        <f>VLOOKUP(A466,'TABELA SPOLINE'!A:J,10,FALSE)</f>
        <v>#N/A</v>
      </c>
      <c r="H466">
        <v>823</v>
      </c>
      <c r="I466">
        <v>60</v>
      </c>
      <c r="J466" s="35" t="s">
        <v>3628</v>
      </c>
      <c r="K466" t="str">
        <f t="shared" si="163"/>
        <v>1432</v>
      </c>
      <c r="L466" s="36" t="s">
        <v>4543</v>
      </c>
      <c r="M466" s="35">
        <v>7629</v>
      </c>
      <c r="N466" s="36" t="s">
        <v>5269</v>
      </c>
      <c r="O466" s="35" t="s">
        <v>5558</v>
      </c>
      <c r="P466" s="35" t="s">
        <v>5559</v>
      </c>
    </row>
    <row r="467" spans="1:16">
      <c r="A467" s="35">
        <v>1433</v>
      </c>
      <c r="B467" s="36" t="s">
        <v>1685</v>
      </c>
      <c r="C467">
        <f>VLOOKUP(A467,'TABELA SPOLINE'!A:J,10,FALSE)</f>
        <v>238.18199999999999</v>
      </c>
      <c r="D467">
        <f t="shared" ref="D467:D484" si="172">C467*0.1+C467</f>
        <v>262.00020000000001</v>
      </c>
      <c r="E467">
        <f t="shared" ref="E467:E484" si="173">ROUNDUP(D467,2)</f>
        <v>262.01</v>
      </c>
      <c r="F467">
        <f t="shared" ref="F467:F484" si="174">E467*0.0975+E467</f>
        <v>287.55597499999999</v>
      </c>
      <c r="G467">
        <f t="shared" ref="G467:G484" si="175">ROUNDUP(F467,2)</f>
        <v>287.56</v>
      </c>
      <c r="H467">
        <v>824</v>
      </c>
      <c r="I467">
        <v>30</v>
      </c>
      <c r="J467" s="35" t="s">
        <v>3073</v>
      </c>
      <c r="K467" t="str">
        <f t="shared" si="163"/>
        <v>1433</v>
      </c>
      <c r="L467" s="36" t="s">
        <v>4544</v>
      </c>
      <c r="M467" s="35">
        <v>7629</v>
      </c>
      <c r="N467" s="36" t="s">
        <v>5269</v>
      </c>
      <c r="O467" s="35" t="s">
        <v>5562</v>
      </c>
      <c r="P467" s="35" t="s">
        <v>5563</v>
      </c>
    </row>
    <row r="468" spans="1:16">
      <c r="A468" s="35">
        <v>1434</v>
      </c>
      <c r="B468" s="36" t="s">
        <v>1686</v>
      </c>
      <c r="C468">
        <f>VLOOKUP(A468,'TABELA SPOLINE'!A:J,10,FALSE)</f>
        <v>238.18199999999999</v>
      </c>
      <c r="D468">
        <f t="shared" si="172"/>
        <v>262.00020000000001</v>
      </c>
      <c r="E468">
        <f t="shared" si="173"/>
        <v>262.01</v>
      </c>
      <c r="F468">
        <f t="shared" si="174"/>
        <v>287.55597499999999</v>
      </c>
      <c r="G468">
        <f t="shared" si="175"/>
        <v>287.56</v>
      </c>
      <c r="H468">
        <v>824</v>
      </c>
      <c r="I468">
        <v>30</v>
      </c>
      <c r="J468" s="35" t="s">
        <v>3074</v>
      </c>
      <c r="K468" t="str">
        <f t="shared" si="163"/>
        <v>1434</v>
      </c>
      <c r="L468" s="36" t="s">
        <v>4545</v>
      </c>
      <c r="M468" s="35">
        <v>7629</v>
      </c>
      <c r="N468" s="36" t="s">
        <v>5269</v>
      </c>
      <c r="O468" s="35" t="s">
        <v>5564</v>
      </c>
      <c r="P468" s="35" t="s">
        <v>5565</v>
      </c>
    </row>
    <row r="469" spans="1:16">
      <c r="A469" s="35">
        <v>1435</v>
      </c>
      <c r="B469" s="36" t="s">
        <v>1688</v>
      </c>
      <c r="C469">
        <f>VLOOKUP(A469,'TABELA SPOLINE'!A:J,10,FALSE)</f>
        <v>238.18199999999999</v>
      </c>
      <c r="D469">
        <f t="shared" si="172"/>
        <v>262.00020000000001</v>
      </c>
      <c r="E469">
        <f t="shared" si="173"/>
        <v>262.01</v>
      </c>
      <c r="F469">
        <f t="shared" si="174"/>
        <v>287.55597499999999</v>
      </c>
      <c r="G469">
        <f t="shared" si="175"/>
        <v>287.56</v>
      </c>
      <c r="H469">
        <v>824</v>
      </c>
      <c r="I469">
        <v>30</v>
      </c>
      <c r="J469" s="35" t="s">
        <v>3076</v>
      </c>
      <c r="K469" t="str">
        <f t="shared" si="163"/>
        <v>1435</v>
      </c>
      <c r="L469" s="36" t="s">
        <v>4546</v>
      </c>
      <c r="M469" s="35">
        <v>7629</v>
      </c>
      <c r="N469" s="36" t="s">
        <v>5269</v>
      </c>
      <c r="O469" s="35" t="s">
        <v>5564</v>
      </c>
      <c r="P469" s="35" t="s">
        <v>5565</v>
      </c>
    </row>
    <row r="470" spans="1:16">
      <c r="A470" s="35">
        <v>1437</v>
      </c>
      <c r="B470" s="36" t="s">
        <v>1694</v>
      </c>
      <c r="C470">
        <f>VLOOKUP(A470,'TABELA SPOLINE'!A:J,10,FALSE)</f>
        <v>400.68</v>
      </c>
      <c r="D470">
        <f t="shared" si="172"/>
        <v>440.74799999999999</v>
      </c>
      <c r="E470">
        <f t="shared" si="173"/>
        <v>440.75</v>
      </c>
      <c r="F470">
        <f t="shared" si="174"/>
        <v>483.72312499999998</v>
      </c>
      <c r="G470">
        <f t="shared" si="175"/>
        <v>483.73</v>
      </c>
      <c r="H470">
        <v>824</v>
      </c>
      <c r="I470">
        <v>30</v>
      </c>
      <c r="J470" s="35" t="s">
        <v>3082</v>
      </c>
      <c r="K470" t="str">
        <f t="shared" si="163"/>
        <v>1437</v>
      </c>
      <c r="L470" s="36" t="s">
        <v>4547</v>
      </c>
      <c r="M470" s="35">
        <v>7629</v>
      </c>
      <c r="N470" s="36" t="s">
        <v>5269</v>
      </c>
      <c r="O470" s="35" t="s">
        <v>5566</v>
      </c>
      <c r="P470" s="35" t="s">
        <v>5567</v>
      </c>
    </row>
    <row r="471" spans="1:16">
      <c r="A471" s="35">
        <v>1438</v>
      </c>
      <c r="B471" s="36" t="s">
        <v>1691</v>
      </c>
      <c r="C471">
        <f>VLOOKUP(A471,'TABELA SPOLINE'!A:J,10,FALSE)</f>
        <v>400.68</v>
      </c>
      <c r="D471">
        <f t="shared" si="172"/>
        <v>440.74799999999999</v>
      </c>
      <c r="E471">
        <f t="shared" si="173"/>
        <v>440.75</v>
      </c>
      <c r="F471">
        <f t="shared" si="174"/>
        <v>483.72312499999998</v>
      </c>
      <c r="G471">
        <f t="shared" si="175"/>
        <v>483.73</v>
      </c>
      <c r="H471">
        <v>824</v>
      </c>
      <c r="I471">
        <v>30</v>
      </c>
      <c r="J471" s="35" t="s">
        <v>3079</v>
      </c>
      <c r="K471" t="str">
        <f t="shared" si="163"/>
        <v>1438</v>
      </c>
      <c r="L471" s="36" t="s">
        <v>4548</v>
      </c>
      <c r="M471" s="35">
        <v>7629</v>
      </c>
      <c r="N471" s="36" t="s">
        <v>5269</v>
      </c>
      <c r="O471" s="35" t="s">
        <v>5568</v>
      </c>
      <c r="P471" s="35" t="s">
        <v>5569</v>
      </c>
    </row>
    <row r="472" spans="1:16">
      <c r="A472" s="35">
        <v>1439</v>
      </c>
      <c r="B472" s="36" t="s">
        <v>1692</v>
      </c>
      <c r="C472">
        <f>VLOOKUP(A472,'TABELA SPOLINE'!A:J,10,FALSE)</f>
        <v>400.68</v>
      </c>
      <c r="D472">
        <f t="shared" si="172"/>
        <v>440.74799999999999</v>
      </c>
      <c r="E472">
        <f t="shared" si="173"/>
        <v>440.75</v>
      </c>
      <c r="F472">
        <f t="shared" si="174"/>
        <v>483.72312499999998</v>
      </c>
      <c r="G472">
        <f t="shared" si="175"/>
        <v>483.73</v>
      </c>
      <c r="H472">
        <v>824</v>
      </c>
      <c r="I472">
        <v>30</v>
      </c>
      <c r="J472" s="35" t="s">
        <v>3080</v>
      </c>
      <c r="K472" t="str">
        <f t="shared" si="163"/>
        <v>1439</v>
      </c>
      <c r="L472" s="36" t="s">
        <v>4548</v>
      </c>
      <c r="M472" s="35">
        <v>7629</v>
      </c>
      <c r="N472" s="36" t="s">
        <v>5269</v>
      </c>
      <c r="O472" s="35" t="s">
        <v>5568</v>
      </c>
      <c r="P472" s="35" t="s">
        <v>5569</v>
      </c>
    </row>
    <row r="473" spans="1:16">
      <c r="A473" s="35">
        <v>1440</v>
      </c>
      <c r="B473" s="36" t="s">
        <v>1695</v>
      </c>
      <c r="C473">
        <f>VLOOKUP(A473,'TABELA SPOLINE'!A:J,10,FALSE)</f>
        <v>400.68</v>
      </c>
      <c r="D473">
        <f t="shared" si="172"/>
        <v>440.74799999999999</v>
      </c>
      <c r="E473">
        <f t="shared" si="173"/>
        <v>440.75</v>
      </c>
      <c r="F473">
        <f t="shared" si="174"/>
        <v>483.72312499999998</v>
      </c>
      <c r="G473">
        <f t="shared" si="175"/>
        <v>483.73</v>
      </c>
      <c r="H473">
        <v>824</v>
      </c>
      <c r="I473">
        <v>30</v>
      </c>
      <c r="J473" s="35" t="s">
        <v>3083</v>
      </c>
      <c r="K473" t="str">
        <f t="shared" si="163"/>
        <v>1440</v>
      </c>
      <c r="L473" s="36" t="s">
        <v>4549</v>
      </c>
      <c r="M473" s="35">
        <v>7629</v>
      </c>
      <c r="N473" s="36" t="s">
        <v>5269</v>
      </c>
      <c r="O473" s="35" t="s">
        <v>5566</v>
      </c>
      <c r="P473" s="35" t="s">
        <v>5567</v>
      </c>
    </row>
    <row r="474" spans="1:16">
      <c r="A474" s="35">
        <v>1441</v>
      </c>
      <c r="B474" s="36" t="s">
        <v>1697</v>
      </c>
      <c r="C474">
        <f>VLOOKUP(A474,'TABELA SPOLINE'!A:J,10,FALSE)</f>
        <v>463.00800000000004</v>
      </c>
      <c r="D474">
        <f t="shared" si="172"/>
        <v>509.30880000000002</v>
      </c>
      <c r="E474">
        <f t="shared" si="173"/>
        <v>509.31</v>
      </c>
      <c r="F474">
        <f t="shared" si="174"/>
        <v>558.96772499999997</v>
      </c>
      <c r="G474">
        <f t="shared" si="175"/>
        <v>558.97</v>
      </c>
      <c r="H474">
        <v>824</v>
      </c>
      <c r="I474">
        <v>30</v>
      </c>
      <c r="J474" s="35" t="s">
        <v>3085</v>
      </c>
      <c r="K474" t="str">
        <f t="shared" si="163"/>
        <v>1441</v>
      </c>
      <c r="L474" s="36" t="s">
        <v>4550</v>
      </c>
      <c r="M474" s="35">
        <v>7629</v>
      </c>
      <c r="N474" s="36" t="s">
        <v>5269</v>
      </c>
      <c r="O474" s="35" t="s">
        <v>5566</v>
      </c>
      <c r="P474" s="35" t="s">
        <v>5567</v>
      </c>
    </row>
    <row r="475" spans="1:16">
      <c r="A475" s="35">
        <v>1443</v>
      </c>
      <c r="B475" s="36" t="s">
        <v>1698</v>
      </c>
      <c r="C475">
        <f>VLOOKUP(A475,'TABELA SPOLINE'!A:J,10,FALSE)</f>
        <v>463.00800000000004</v>
      </c>
      <c r="D475">
        <f t="shared" si="172"/>
        <v>509.30880000000002</v>
      </c>
      <c r="E475">
        <f t="shared" si="173"/>
        <v>509.31</v>
      </c>
      <c r="F475">
        <f t="shared" si="174"/>
        <v>558.96772499999997</v>
      </c>
      <c r="G475">
        <f t="shared" si="175"/>
        <v>558.97</v>
      </c>
      <c r="H475">
        <v>824</v>
      </c>
      <c r="I475">
        <v>30</v>
      </c>
      <c r="J475" s="35" t="s">
        <v>3086</v>
      </c>
      <c r="K475" t="str">
        <f t="shared" si="163"/>
        <v>1443</v>
      </c>
      <c r="L475" s="36" t="s">
        <v>4550</v>
      </c>
      <c r="M475" s="35">
        <v>7629</v>
      </c>
      <c r="N475" s="36" t="s">
        <v>5269</v>
      </c>
      <c r="O475" s="35" t="s">
        <v>5568</v>
      </c>
      <c r="P475" s="35" t="s">
        <v>5569</v>
      </c>
    </row>
    <row r="476" spans="1:16">
      <c r="A476" s="35">
        <v>1444</v>
      </c>
      <c r="B476" s="36" t="s">
        <v>1701</v>
      </c>
      <c r="C476">
        <f>VLOOKUP(A476,'TABELA SPOLINE'!A:J,10,FALSE)</f>
        <v>463.00800000000004</v>
      </c>
      <c r="D476">
        <f t="shared" si="172"/>
        <v>509.30880000000002</v>
      </c>
      <c r="E476">
        <f t="shared" si="173"/>
        <v>509.31</v>
      </c>
      <c r="F476">
        <f t="shared" si="174"/>
        <v>558.96772499999997</v>
      </c>
      <c r="G476">
        <f t="shared" si="175"/>
        <v>558.97</v>
      </c>
      <c r="H476">
        <v>824</v>
      </c>
      <c r="I476">
        <v>30</v>
      </c>
      <c r="J476" s="35" t="s">
        <v>3089</v>
      </c>
      <c r="K476" t="str">
        <f t="shared" si="163"/>
        <v>1444</v>
      </c>
      <c r="L476" s="36" t="s">
        <v>4550</v>
      </c>
      <c r="M476" s="35">
        <v>7629</v>
      </c>
      <c r="N476" s="36" t="s">
        <v>5269</v>
      </c>
      <c r="O476" s="35" t="s">
        <v>5566</v>
      </c>
      <c r="P476" s="35" t="s">
        <v>5567</v>
      </c>
    </row>
    <row r="477" spans="1:16">
      <c r="A477" s="35">
        <v>1445</v>
      </c>
      <c r="B477" s="36" t="s">
        <v>1699</v>
      </c>
      <c r="C477">
        <f>VLOOKUP(A477,'TABELA SPOLINE'!A:J,10,FALSE)</f>
        <v>463.00800000000004</v>
      </c>
      <c r="D477">
        <f t="shared" si="172"/>
        <v>509.30880000000002</v>
      </c>
      <c r="E477">
        <f t="shared" si="173"/>
        <v>509.31</v>
      </c>
      <c r="F477">
        <f t="shared" si="174"/>
        <v>558.96772499999997</v>
      </c>
      <c r="G477">
        <f t="shared" si="175"/>
        <v>558.97</v>
      </c>
      <c r="H477">
        <v>824</v>
      </c>
      <c r="I477">
        <v>30</v>
      </c>
      <c r="J477" s="35" t="s">
        <v>3087</v>
      </c>
      <c r="K477" t="str">
        <f t="shared" si="163"/>
        <v>1445</v>
      </c>
      <c r="L477" s="36" t="s">
        <v>4551</v>
      </c>
      <c r="M477" s="35">
        <v>7629</v>
      </c>
      <c r="N477" s="36" t="s">
        <v>5269</v>
      </c>
      <c r="O477" s="35" t="s">
        <v>5568</v>
      </c>
      <c r="P477" s="35" t="s">
        <v>5569</v>
      </c>
    </row>
    <row r="478" spans="1:16">
      <c r="A478" s="35">
        <v>1446</v>
      </c>
      <c r="B478" s="36" t="s">
        <v>1700</v>
      </c>
      <c r="C478">
        <f>VLOOKUP(A478,'TABELA SPOLINE'!A:J,10,FALSE)</f>
        <v>463.00800000000004</v>
      </c>
      <c r="D478">
        <f t="shared" si="172"/>
        <v>509.30880000000002</v>
      </c>
      <c r="E478">
        <f t="shared" si="173"/>
        <v>509.31</v>
      </c>
      <c r="F478">
        <f t="shared" si="174"/>
        <v>558.96772499999997</v>
      </c>
      <c r="G478">
        <f t="shared" si="175"/>
        <v>558.97</v>
      </c>
      <c r="H478">
        <v>824</v>
      </c>
      <c r="I478">
        <v>30</v>
      </c>
      <c r="J478" s="35" t="s">
        <v>3088</v>
      </c>
      <c r="K478" t="str">
        <f t="shared" si="163"/>
        <v>1446</v>
      </c>
      <c r="L478" s="36" t="s">
        <v>4552</v>
      </c>
      <c r="M478" s="35">
        <v>7629</v>
      </c>
      <c r="N478" s="36" t="s">
        <v>5269</v>
      </c>
      <c r="O478" s="35" t="s">
        <v>5568</v>
      </c>
      <c r="P478" s="35" t="s">
        <v>5569</v>
      </c>
    </row>
    <row r="479" spans="1:16">
      <c r="A479" s="35">
        <v>1447</v>
      </c>
      <c r="B479" s="36" t="s">
        <v>1703</v>
      </c>
      <c r="C479">
        <f>VLOOKUP(A479,'TABELA SPOLINE'!A:J,10,FALSE)</f>
        <v>271.572</v>
      </c>
      <c r="D479">
        <f t="shared" si="172"/>
        <v>298.72919999999999</v>
      </c>
      <c r="E479">
        <f t="shared" si="173"/>
        <v>298.73</v>
      </c>
      <c r="F479">
        <f t="shared" si="174"/>
        <v>327.85617500000001</v>
      </c>
      <c r="G479">
        <f t="shared" si="175"/>
        <v>327.86</v>
      </c>
      <c r="H479">
        <v>825</v>
      </c>
      <c r="I479">
        <v>30</v>
      </c>
      <c r="J479" s="35" t="s">
        <v>3091</v>
      </c>
      <c r="K479" t="str">
        <f t="shared" si="163"/>
        <v>1447</v>
      </c>
      <c r="L479" s="36" t="s">
        <v>4550</v>
      </c>
      <c r="M479" s="35">
        <v>7629</v>
      </c>
      <c r="N479" s="36" t="s">
        <v>5269</v>
      </c>
      <c r="O479" s="35" t="s">
        <v>5568</v>
      </c>
      <c r="P479" s="35" t="s">
        <v>5569</v>
      </c>
    </row>
    <row r="480" spans="1:16">
      <c r="A480" s="35">
        <v>1449</v>
      </c>
      <c r="B480" s="36" t="s">
        <v>1704</v>
      </c>
      <c r="C480">
        <f>VLOOKUP(A480,'TABELA SPOLINE'!A:J,10,FALSE)</f>
        <v>271.572</v>
      </c>
      <c r="D480">
        <f t="shared" si="172"/>
        <v>298.72919999999999</v>
      </c>
      <c r="E480">
        <f t="shared" si="173"/>
        <v>298.73</v>
      </c>
      <c r="F480">
        <f t="shared" si="174"/>
        <v>327.85617500000001</v>
      </c>
      <c r="G480">
        <f t="shared" si="175"/>
        <v>327.86</v>
      </c>
      <c r="H480">
        <v>825</v>
      </c>
      <c r="I480">
        <v>30</v>
      </c>
      <c r="J480" s="35" t="s">
        <v>3092</v>
      </c>
      <c r="K480" t="str">
        <f t="shared" si="163"/>
        <v>1449</v>
      </c>
      <c r="L480" s="36" t="s">
        <v>4550</v>
      </c>
      <c r="M480" s="35">
        <v>7629</v>
      </c>
      <c r="N480" s="36" t="s">
        <v>5269</v>
      </c>
      <c r="O480" s="35" t="s">
        <v>5568</v>
      </c>
      <c r="P480" s="35" t="s">
        <v>5569</v>
      </c>
    </row>
    <row r="481" spans="1:16">
      <c r="A481" s="35">
        <v>1450</v>
      </c>
      <c r="B481" s="36" t="s">
        <v>1706</v>
      </c>
      <c r="C481">
        <f>VLOOKUP(A481,'TABELA SPOLINE'!A:J,10,FALSE)</f>
        <v>271.572</v>
      </c>
      <c r="D481">
        <f t="shared" si="172"/>
        <v>298.72919999999999</v>
      </c>
      <c r="E481">
        <f t="shared" si="173"/>
        <v>298.73</v>
      </c>
      <c r="F481">
        <f t="shared" si="174"/>
        <v>327.85617500000001</v>
      </c>
      <c r="G481">
        <f t="shared" si="175"/>
        <v>327.86</v>
      </c>
      <c r="H481">
        <v>825</v>
      </c>
      <c r="I481">
        <v>30</v>
      </c>
      <c r="J481" s="35" t="s">
        <v>3094</v>
      </c>
      <c r="K481" t="str">
        <f t="shared" si="163"/>
        <v>1450</v>
      </c>
      <c r="L481" s="36" t="s">
        <v>4551</v>
      </c>
      <c r="M481" s="35">
        <v>7629</v>
      </c>
      <c r="N481" s="36" t="s">
        <v>5269</v>
      </c>
      <c r="O481" s="35" t="s">
        <v>5568</v>
      </c>
      <c r="P481" s="35" t="s">
        <v>5569</v>
      </c>
    </row>
    <row r="482" spans="1:16">
      <c r="A482" s="35">
        <v>1451</v>
      </c>
      <c r="B482" s="36" t="s">
        <v>1708</v>
      </c>
      <c r="C482">
        <f>VLOOKUP(A482,'TABELA SPOLINE'!A:J,10,FALSE)</f>
        <v>271.572</v>
      </c>
      <c r="D482">
        <f t="shared" si="172"/>
        <v>298.72919999999999</v>
      </c>
      <c r="E482">
        <f t="shared" si="173"/>
        <v>298.73</v>
      </c>
      <c r="F482">
        <f t="shared" si="174"/>
        <v>327.85617500000001</v>
      </c>
      <c r="G482">
        <f t="shared" si="175"/>
        <v>327.86</v>
      </c>
      <c r="H482">
        <v>825</v>
      </c>
      <c r="I482">
        <v>30</v>
      </c>
      <c r="J482" s="35" t="s">
        <v>3096</v>
      </c>
      <c r="K482" t="str">
        <f t="shared" si="163"/>
        <v>1451</v>
      </c>
      <c r="L482" s="36" t="s">
        <v>4552</v>
      </c>
      <c r="M482" s="35">
        <v>7629</v>
      </c>
      <c r="N482" s="36" t="s">
        <v>5269</v>
      </c>
      <c r="O482" s="35" t="s">
        <v>5566</v>
      </c>
      <c r="P482" s="35" t="s">
        <v>5567</v>
      </c>
    </row>
    <row r="483" spans="1:16">
      <c r="A483" s="35">
        <v>1456</v>
      </c>
      <c r="B483" s="36" t="s">
        <v>2029</v>
      </c>
      <c r="C483">
        <f>VLOOKUP(A483,'TABELA SPOLINE'!A:J,10,FALSE)</f>
        <v>338.35200000000003</v>
      </c>
      <c r="D483">
        <f t="shared" si="172"/>
        <v>372.18720000000002</v>
      </c>
      <c r="E483">
        <f t="shared" si="173"/>
        <v>372.19</v>
      </c>
      <c r="F483">
        <f t="shared" si="174"/>
        <v>408.47852499999999</v>
      </c>
      <c r="G483">
        <f t="shared" si="175"/>
        <v>408.48</v>
      </c>
      <c r="H483">
        <v>827</v>
      </c>
      <c r="I483">
        <v>30</v>
      </c>
      <c r="J483" s="35" t="s">
        <v>3414</v>
      </c>
      <c r="K483" t="str">
        <f t="shared" si="163"/>
        <v>1456</v>
      </c>
      <c r="L483" s="36" t="s">
        <v>4548</v>
      </c>
      <c r="M483" s="35">
        <v>7629</v>
      </c>
      <c r="N483" s="36" t="s">
        <v>5269</v>
      </c>
      <c r="O483" s="35" t="s">
        <v>5566</v>
      </c>
      <c r="P483" s="35" t="s">
        <v>5567</v>
      </c>
    </row>
    <row r="484" spans="1:16">
      <c r="A484" s="35">
        <v>1457</v>
      </c>
      <c r="B484" s="36" t="s">
        <v>2030</v>
      </c>
      <c r="C484">
        <f>VLOOKUP(A484,'TABELA SPOLINE'!A:J,10,FALSE)</f>
        <v>338.35200000000003</v>
      </c>
      <c r="D484">
        <f t="shared" si="172"/>
        <v>372.18720000000002</v>
      </c>
      <c r="E484">
        <f t="shared" si="173"/>
        <v>372.19</v>
      </c>
      <c r="F484">
        <f t="shared" si="174"/>
        <v>408.47852499999999</v>
      </c>
      <c r="G484">
        <f t="shared" si="175"/>
        <v>408.48</v>
      </c>
      <c r="H484">
        <v>827</v>
      </c>
      <c r="I484">
        <v>30</v>
      </c>
      <c r="J484" s="35" t="s">
        <v>3415</v>
      </c>
      <c r="K484" t="str">
        <f t="shared" si="163"/>
        <v>1457</v>
      </c>
      <c r="L484" s="36" t="s">
        <v>4548</v>
      </c>
      <c r="M484" s="35">
        <v>7629</v>
      </c>
      <c r="N484" s="36" t="s">
        <v>5269</v>
      </c>
      <c r="O484" s="35" t="s">
        <v>5568</v>
      </c>
      <c r="P484" s="35" t="s">
        <v>5569</v>
      </c>
    </row>
    <row r="485" spans="1:16" hidden="1">
      <c r="A485" s="35">
        <v>1459</v>
      </c>
      <c r="B485" s="36" t="s">
        <v>2025</v>
      </c>
      <c r="C485" t="e">
        <f>VLOOKUP(A485,'TABELA SPOLINE'!A:J,10,FALSE)</f>
        <v>#N/A</v>
      </c>
      <c r="H485">
        <v>828</v>
      </c>
      <c r="I485">
        <v>2</v>
      </c>
      <c r="J485" s="35" t="s">
        <v>3410</v>
      </c>
      <c r="K485" t="str">
        <f t="shared" si="163"/>
        <v>1459</v>
      </c>
      <c r="L485" s="36" t="s">
        <v>4548</v>
      </c>
      <c r="M485" s="35">
        <v>7629</v>
      </c>
      <c r="N485" s="36" t="s">
        <v>5269</v>
      </c>
      <c r="O485" s="35" t="s">
        <v>5568</v>
      </c>
      <c r="P485" s="35" t="s">
        <v>5569</v>
      </c>
    </row>
    <row r="486" spans="1:16" hidden="1">
      <c r="A486" s="35">
        <v>1460</v>
      </c>
      <c r="B486" s="36" t="s">
        <v>2026</v>
      </c>
      <c r="C486" t="e">
        <f>VLOOKUP(A486,'TABELA SPOLINE'!A:J,10,FALSE)</f>
        <v>#N/A</v>
      </c>
      <c r="H486">
        <v>828</v>
      </c>
      <c r="I486">
        <v>2</v>
      </c>
      <c r="J486" s="35" t="s">
        <v>3411</v>
      </c>
      <c r="K486" t="str">
        <f t="shared" si="163"/>
        <v>1460</v>
      </c>
      <c r="L486" s="36" t="s">
        <v>4553</v>
      </c>
      <c r="M486" s="35">
        <v>7629</v>
      </c>
      <c r="N486" s="36" t="s">
        <v>5269</v>
      </c>
      <c r="O486" s="35" t="s">
        <v>5570</v>
      </c>
      <c r="P486" s="35" t="s">
        <v>5571</v>
      </c>
    </row>
    <row r="487" spans="1:16" hidden="1">
      <c r="A487" s="35">
        <v>1461</v>
      </c>
      <c r="B487" s="36" t="s">
        <v>2027</v>
      </c>
      <c r="C487" t="e">
        <f>VLOOKUP(A487,'TABELA SPOLINE'!A:J,10,FALSE)</f>
        <v>#N/A</v>
      </c>
      <c r="H487">
        <v>828</v>
      </c>
      <c r="I487">
        <v>2</v>
      </c>
      <c r="J487" s="35" t="s">
        <v>3412</v>
      </c>
      <c r="K487" t="str">
        <f t="shared" si="163"/>
        <v>1461</v>
      </c>
      <c r="L487" s="36" t="s">
        <v>4554</v>
      </c>
      <c r="M487" s="35">
        <v>7629</v>
      </c>
      <c r="N487" s="36" t="s">
        <v>5269</v>
      </c>
      <c r="O487" s="35" t="s">
        <v>5570</v>
      </c>
      <c r="P487" s="35" t="s">
        <v>5571</v>
      </c>
    </row>
    <row r="488" spans="1:16">
      <c r="A488" s="35">
        <v>1462</v>
      </c>
      <c r="B488" s="36" t="s">
        <v>2035</v>
      </c>
      <c r="C488">
        <f>VLOOKUP(A488,'TABELA SPOLINE'!A:J,10,FALSE)</f>
        <v>608.81100000000004</v>
      </c>
      <c r="D488">
        <f t="shared" ref="D488:D490" si="176">C488*0.1+C488</f>
        <v>669.69209999999998</v>
      </c>
      <c r="E488">
        <f t="shared" ref="E488:E490" si="177">ROUNDUP(D488,2)</f>
        <v>669.7</v>
      </c>
      <c r="F488">
        <f t="shared" ref="F488:F490" si="178">E488*0.0975+E488</f>
        <v>734.99575000000004</v>
      </c>
      <c r="G488">
        <f t="shared" ref="G488:G490" si="179">ROUNDUP(F488,2)</f>
        <v>735</v>
      </c>
      <c r="H488">
        <v>829</v>
      </c>
      <c r="I488">
        <v>3</v>
      </c>
      <c r="J488" s="35" t="s">
        <v>3420</v>
      </c>
      <c r="K488" t="str">
        <f t="shared" si="163"/>
        <v>1462</v>
      </c>
      <c r="L488" s="36" t="s">
        <v>4555</v>
      </c>
      <c r="M488" s="35">
        <v>7629</v>
      </c>
      <c r="N488" s="36" t="s">
        <v>5269</v>
      </c>
      <c r="O488" s="35" t="s">
        <v>5572</v>
      </c>
      <c r="P488" s="35" t="s">
        <v>5573</v>
      </c>
    </row>
    <row r="489" spans="1:16">
      <c r="A489" s="35">
        <v>1463</v>
      </c>
      <c r="B489" s="36" t="s">
        <v>2041</v>
      </c>
      <c r="C489">
        <f>VLOOKUP(A489,'TABELA SPOLINE'!A:J,10,FALSE)</f>
        <v>495.28500000000003</v>
      </c>
      <c r="D489">
        <f t="shared" si="176"/>
        <v>544.81349999999998</v>
      </c>
      <c r="E489">
        <f t="shared" si="177"/>
        <v>544.81999999999994</v>
      </c>
      <c r="F489">
        <f t="shared" si="178"/>
        <v>597.93994999999995</v>
      </c>
      <c r="G489">
        <f t="shared" si="179"/>
        <v>597.93999999999994</v>
      </c>
      <c r="H489">
        <v>830</v>
      </c>
      <c r="I489">
        <v>1</v>
      </c>
      <c r="J489" s="35" t="s">
        <v>3426</v>
      </c>
      <c r="K489" t="str">
        <f t="shared" si="163"/>
        <v>1463</v>
      </c>
      <c r="L489" s="36" t="s">
        <v>4556</v>
      </c>
      <c r="M489" s="35">
        <v>7629</v>
      </c>
      <c r="N489" s="36" t="s">
        <v>5269</v>
      </c>
      <c r="O489" s="35" t="s">
        <v>5570</v>
      </c>
      <c r="P489" s="35" t="s">
        <v>5571</v>
      </c>
    </row>
    <row r="490" spans="1:16">
      <c r="A490" s="35">
        <v>1465</v>
      </c>
      <c r="B490" s="36" t="s">
        <v>2042</v>
      </c>
      <c r="C490">
        <f>VLOOKUP(A490,'TABELA SPOLINE'!A:J,10,FALSE)</f>
        <v>495.28500000000003</v>
      </c>
      <c r="D490">
        <f t="shared" si="176"/>
        <v>544.81349999999998</v>
      </c>
      <c r="E490">
        <f t="shared" si="177"/>
        <v>544.81999999999994</v>
      </c>
      <c r="F490">
        <f t="shared" si="178"/>
        <v>597.93994999999995</v>
      </c>
      <c r="G490">
        <f t="shared" si="179"/>
        <v>597.93999999999994</v>
      </c>
      <c r="H490">
        <v>830</v>
      </c>
      <c r="I490">
        <v>1</v>
      </c>
      <c r="J490" s="35" t="s">
        <v>3427</v>
      </c>
      <c r="K490" t="str">
        <f t="shared" si="163"/>
        <v>1465</v>
      </c>
      <c r="L490" s="36" t="s">
        <v>4557</v>
      </c>
      <c r="M490" s="35">
        <v>7629</v>
      </c>
      <c r="N490" s="36" t="s">
        <v>5269</v>
      </c>
      <c r="O490" s="35" t="s">
        <v>5570</v>
      </c>
      <c r="P490" s="35" t="s">
        <v>5571</v>
      </c>
    </row>
    <row r="491" spans="1:16" hidden="1">
      <c r="A491" s="35">
        <v>1466</v>
      </c>
      <c r="B491" s="36" t="s">
        <v>2043</v>
      </c>
      <c r="C491" t="e">
        <f>VLOOKUP(A491,'TABELA SPOLINE'!A:J,10,FALSE)</f>
        <v>#N/A</v>
      </c>
      <c r="H491">
        <v>830</v>
      </c>
      <c r="I491">
        <v>1</v>
      </c>
      <c r="J491" s="35" t="s">
        <v>3428</v>
      </c>
      <c r="K491" t="str">
        <f t="shared" si="163"/>
        <v>1466</v>
      </c>
      <c r="L491" s="36" t="s">
        <v>4558</v>
      </c>
      <c r="M491" s="35">
        <v>7629</v>
      </c>
      <c r="N491" s="36" t="s">
        <v>5269</v>
      </c>
      <c r="O491" s="35" t="s">
        <v>5570</v>
      </c>
      <c r="P491" s="35" t="s">
        <v>5571</v>
      </c>
    </row>
    <row r="492" spans="1:16" hidden="1">
      <c r="A492" s="35">
        <v>1467</v>
      </c>
      <c r="B492" s="36" t="s">
        <v>2044</v>
      </c>
      <c r="C492" t="e">
        <f>VLOOKUP(A492,'TABELA SPOLINE'!A:J,10,FALSE)</f>
        <v>#N/A</v>
      </c>
      <c r="H492">
        <v>830</v>
      </c>
      <c r="I492">
        <v>1</v>
      </c>
      <c r="J492" s="35" t="s">
        <v>3429</v>
      </c>
      <c r="K492" t="str">
        <f t="shared" si="163"/>
        <v>1467</v>
      </c>
      <c r="L492" s="36" t="s">
        <v>4558</v>
      </c>
      <c r="M492" s="35">
        <v>7629</v>
      </c>
      <c r="N492" s="36" t="s">
        <v>5269</v>
      </c>
      <c r="O492" s="35" t="s">
        <v>5570</v>
      </c>
      <c r="P492" s="35" t="s">
        <v>5571</v>
      </c>
    </row>
    <row r="493" spans="1:16" hidden="1">
      <c r="A493" s="35">
        <v>1468</v>
      </c>
      <c r="B493" s="36" t="s">
        <v>2045</v>
      </c>
      <c r="C493" t="e">
        <f>VLOOKUP(A493,'TABELA SPOLINE'!A:J,10,FALSE)</f>
        <v>#N/A</v>
      </c>
      <c r="H493">
        <v>830</v>
      </c>
      <c r="I493">
        <v>1</v>
      </c>
      <c r="J493" s="35" t="s">
        <v>3430</v>
      </c>
      <c r="K493" t="str">
        <f t="shared" si="163"/>
        <v>1468</v>
      </c>
      <c r="L493" s="36" t="s">
        <v>4558</v>
      </c>
      <c r="M493" s="35">
        <v>7629</v>
      </c>
      <c r="N493" s="36" t="s">
        <v>5269</v>
      </c>
      <c r="O493" s="35" t="s">
        <v>5570</v>
      </c>
      <c r="P493" s="35" t="s">
        <v>5571</v>
      </c>
    </row>
    <row r="494" spans="1:16" hidden="1">
      <c r="A494" s="35">
        <v>1473</v>
      </c>
      <c r="B494" s="36" t="s">
        <v>2338</v>
      </c>
      <c r="C494" t="e">
        <f>VLOOKUP(A494,'TABELA SPOLINE'!A:J,10,FALSE)</f>
        <v>#N/A</v>
      </c>
      <c r="H494">
        <v>831</v>
      </c>
      <c r="I494">
        <v>60</v>
      </c>
      <c r="J494" s="35" t="s">
        <v>3723</v>
      </c>
      <c r="K494" t="str">
        <f t="shared" si="163"/>
        <v>1473</v>
      </c>
      <c r="L494" s="36" t="s">
        <v>4558</v>
      </c>
      <c r="M494" s="35">
        <v>7629</v>
      </c>
      <c r="N494" s="36" t="s">
        <v>5269</v>
      </c>
      <c r="O494" s="35" t="s">
        <v>5570</v>
      </c>
      <c r="P494" s="35" t="s">
        <v>5571</v>
      </c>
    </row>
    <row r="495" spans="1:16" hidden="1">
      <c r="A495" s="35">
        <v>1474</v>
      </c>
      <c r="B495" s="36" t="s">
        <v>2339</v>
      </c>
      <c r="C495" t="e">
        <f>VLOOKUP(A495,'TABELA SPOLINE'!A:J,10,FALSE)</f>
        <v>#N/A</v>
      </c>
      <c r="H495">
        <v>831</v>
      </c>
      <c r="I495">
        <v>60</v>
      </c>
      <c r="J495" s="35" t="s">
        <v>3724</v>
      </c>
      <c r="K495" t="str">
        <f t="shared" si="163"/>
        <v>1474</v>
      </c>
      <c r="L495" s="36" t="s">
        <v>4559</v>
      </c>
      <c r="M495" s="35">
        <v>7629</v>
      </c>
      <c r="N495" s="36" t="s">
        <v>5269</v>
      </c>
      <c r="O495" s="35" t="s">
        <v>5572</v>
      </c>
      <c r="P495" s="35" t="s">
        <v>5573</v>
      </c>
    </row>
    <row r="496" spans="1:16">
      <c r="A496" s="35">
        <v>1475</v>
      </c>
      <c r="B496" s="36" t="s">
        <v>2061</v>
      </c>
      <c r="C496">
        <f>VLOOKUP(A496,'TABELA SPOLINE'!A:J,10,FALSE)</f>
        <v>213.696</v>
      </c>
      <c r="D496">
        <f t="shared" ref="D496:D497" si="180">C496*0.1+C496</f>
        <v>235.06559999999999</v>
      </c>
      <c r="E496">
        <f t="shared" ref="E496:E497" si="181">ROUNDUP(D496,2)</f>
        <v>235.07</v>
      </c>
      <c r="F496">
        <f t="shared" ref="F496:F497" si="182">E496*0.0975+E496</f>
        <v>257.98932500000001</v>
      </c>
      <c r="G496">
        <f t="shared" ref="G496:G497" si="183">ROUNDUP(F496,2)</f>
        <v>257.99</v>
      </c>
      <c r="H496">
        <v>832</v>
      </c>
      <c r="I496">
        <v>1</v>
      </c>
      <c r="J496" s="35" t="s">
        <v>3446</v>
      </c>
      <c r="K496" t="str">
        <f t="shared" si="163"/>
        <v>1475</v>
      </c>
      <c r="L496" s="36" t="s">
        <v>4554</v>
      </c>
      <c r="M496" s="35">
        <v>7629</v>
      </c>
      <c r="N496" s="36" t="s">
        <v>5269</v>
      </c>
      <c r="O496" s="35" t="s">
        <v>5570</v>
      </c>
      <c r="P496" s="35" t="s">
        <v>5571</v>
      </c>
    </row>
    <row r="497" spans="1:16">
      <c r="A497" s="35">
        <v>1476</v>
      </c>
      <c r="B497" s="36" t="s">
        <v>2062</v>
      </c>
      <c r="C497">
        <f>VLOOKUP(A497,'TABELA SPOLINE'!A:J,10,FALSE)</f>
        <v>213.696</v>
      </c>
      <c r="D497">
        <f t="shared" si="180"/>
        <v>235.06559999999999</v>
      </c>
      <c r="E497">
        <f t="shared" si="181"/>
        <v>235.07</v>
      </c>
      <c r="F497">
        <f t="shared" si="182"/>
        <v>257.98932500000001</v>
      </c>
      <c r="G497">
        <f t="shared" si="183"/>
        <v>257.99</v>
      </c>
      <c r="H497">
        <v>832</v>
      </c>
      <c r="I497">
        <v>1</v>
      </c>
      <c r="J497" s="35" t="s">
        <v>3447</v>
      </c>
      <c r="K497" t="str">
        <f t="shared" si="163"/>
        <v>1476</v>
      </c>
      <c r="L497" s="36" t="s">
        <v>4560</v>
      </c>
      <c r="M497" s="35">
        <v>7629</v>
      </c>
      <c r="N497" s="36" t="s">
        <v>5269</v>
      </c>
      <c r="O497" s="35" t="s">
        <v>5572</v>
      </c>
      <c r="P497" s="35" t="s">
        <v>5573</v>
      </c>
    </row>
    <row r="498" spans="1:16" hidden="1">
      <c r="A498" s="35">
        <v>1478</v>
      </c>
      <c r="B498" s="36" t="s">
        <v>2063</v>
      </c>
      <c r="C498" t="e">
        <f>VLOOKUP(A498,'TABELA SPOLINE'!A:J,10,FALSE)</f>
        <v>#N/A</v>
      </c>
      <c r="H498">
        <v>832</v>
      </c>
      <c r="I498">
        <v>1</v>
      </c>
      <c r="J498" s="35" t="s">
        <v>3448</v>
      </c>
      <c r="K498" t="str">
        <f t="shared" si="163"/>
        <v>1478</v>
      </c>
      <c r="L498" s="36" t="s">
        <v>4558</v>
      </c>
      <c r="M498" s="35">
        <v>7629</v>
      </c>
      <c r="N498" s="36" t="s">
        <v>5269</v>
      </c>
      <c r="O498" s="35" t="s">
        <v>5570</v>
      </c>
      <c r="P498" s="35" t="s">
        <v>5571</v>
      </c>
    </row>
    <row r="499" spans="1:16">
      <c r="A499" s="35">
        <v>1479</v>
      </c>
      <c r="B499" s="36" t="s">
        <v>2064</v>
      </c>
      <c r="C499">
        <f>VLOOKUP(A499,'TABELA SPOLINE'!A:J,10,FALSE)</f>
        <v>213.696</v>
      </c>
      <c r="D499">
        <f t="shared" ref="D499:D504" si="184">C499*0.1+C499</f>
        <v>235.06559999999999</v>
      </c>
      <c r="E499">
        <f t="shared" ref="E499:E504" si="185">ROUNDUP(D499,2)</f>
        <v>235.07</v>
      </c>
      <c r="F499">
        <f t="shared" ref="F499:F504" si="186">E499*0.0975+E499</f>
        <v>257.98932500000001</v>
      </c>
      <c r="G499">
        <f t="shared" ref="G499:G504" si="187">ROUNDUP(F499,2)</f>
        <v>257.99</v>
      </c>
      <c r="H499">
        <v>832</v>
      </c>
      <c r="I499">
        <v>1</v>
      </c>
      <c r="J499" s="35" t="s">
        <v>3449</v>
      </c>
      <c r="K499" t="str">
        <f t="shared" si="163"/>
        <v>1479</v>
      </c>
      <c r="L499" s="36" t="s">
        <v>4554</v>
      </c>
      <c r="M499" s="35">
        <v>7629</v>
      </c>
      <c r="N499" s="36" t="s">
        <v>5269</v>
      </c>
      <c r="O499" s="35" t="s">
        <v>5570</v>
      </c>
      <c r="P499" s="35" t="s">
        <v>5571</v>
      </c>
    </row>
    <row r="500" spans="1:16">
      <c r="A500" s="35">
        <v>1480</v>
      </c>
      <c r="B500" s="36" t="s">
        <v>2065</v>
      </c>
      <c r="C500">
        <f>VLOOKUP(A500,'TABELA SPOLINE'!A:J,10,FALSE)</f>
        <v>178.08</v>
      </c>
      <c r="D500">
        <f t="shared" si="184"/>
        <v>195.88800000000001</v>
      </c>
      <c r="E500">
        <f t="shared" si="185"/>
        <v>195.89</v>
      </c>
      <c r="F500">
        <f t="shared" si="186"/>
        <v>214.98927499999999</v>
      </c>
      <c r="G500">
        <f t="shared" si="187"/>
        <v>214.98999999999998</v>
      </c>
      <c r="H500">
        <v>832</v>
      </c>
      <c r="I500">
        <v>1</v>
      </c>
      <c r="J500" s="35" t="s">
        <v>3450</v>
      </c>
      <c r="K500" t="str">
        <f t="shared" si="163"/>
        <v>1480</v>
      </c>
      <c r="L500" s="36" t="s">
        <v>4561</v>
      </c>
      <c r="M500" s="35">
        <v>7629</v>
      </c>
      <c r="N500" s="36" t="s">
        <v>5269</v>
      </c>
      <c r="O500" s="35" t="s">
        <v>5574</v>
      </c>
      <c r="P500" s="35" t="s">
        <v>5575</v>
      </c>
    </row>
    <row r="501" spans="1:16">
      <c r="A501" s="35">
        <v>1481</v>
      </c>
      <c r="B501" s="36" t="s">
        <v>2066</v>
      </c>
      <c r="C501">
        <f>VLOOKUP(A501,'TABELA SPOLINE'!A:J,10,FALSE)</f>
        <v>213.696</v>
      </c>
      <c r="D501">
        <f t="shared" si="184"/>
        <v>235.06559999999999</v>
      </c>
      <c r="E501">
        <f t="shared" si="185"/>
        <v>235.07</v>
      </c>
      <c r="F501">
        <f t="shared" si="186"/>
        <v>257.98932500000001</v>
      </c>
      <c r="G501">
        <f t="shared" si="187"/>
        <v>257.99</v>
      </c>
      <c r="H501">
        <v>832</v>
      </c>
      <c r="I501">
        <v>1</v>
      </c>
      <c r="J501" s="35" t="s">
        <v>3451</v>
      </c>
      <c r="K501" t="str">
        <f t="shared" si="163"/>
        <v>1481</v>
      </c>
      <c r="L501" s="36" t="s">
        <v>4562</v>
      </c>
      <c r="M501" s="35">
        <v>7629</v>
      </c>
      <c r="N501" s="36" t="s">
        <v>5269</v>
      </c>
      <c r="O501" s="35" t="s">
        <v>5576</v>
      </c>
      <c r="P501" s="35" t="s">
        <v>5577</v>
      </c>
    </row>
    <row r="502" spans="1:16">
      <c r="A502" s="35">
        <v>1482</v>
      </c>
      <c r="B502" s="36" t="s">
        <v>2067</v>
      </c>
      <c r="C502">
        <f>VLOOKUP(A502,'TABELA SPOLINE'!A:J,10,FALSE)</f>
        <v>178.08</v>
      </c>
      <c r="D502">
        <f t="shared" si="184"/>
        <v>195.88800000000001</v>
      </c>
      <c r="E502">
        <f t="shared" si="185"/>
        <v>195.89</v>
      </c>
      <c r="F502">
        <f t="shared" si="186"/>
        <v>214.98927499999999</v>
      </c>
      <c r="G502">
        <f t="shared" si="187"/>
        <v>214.98999999999998</v>
      </c>
      <c r="H502">
        <v>832</v>
      </c>
      <c r="I502">
        <v>1</v>
      </c>
      <c r="J502" s="35" t="s">
        <v>3452</v>
      </c>
      <c r="K502" t="str">
        <f t="shared" si="163"/>
        <v>1482</v>
      </c>
      <c r="L502" s="36" t="s">
        <v>4563</v>
      </c>
      <c r="M502" s="35">
        <v>7629</v>
      </c>
      <c r="N502" s="36" t="s">
        <v>5269</v>
      </c>
      <c r="O502" s="35" t="s">
        <v>5578</v>
      </c>
      <c r="P502" s="35" t="s">
        <v>5579</v>
      </c>
    </row>
    <row r="503" spans="1:16">
      <c r="A503" s="35">
        <v>1495</v>
      </c>
      <c r="B503" s="36" t="s">
        <v>2247</v>
      </c>
      <c r="C503">
        <f>VLOOKUP(A503,'TABELA SPOLINE'!A:J,10,FALSE)</f>
        <v>200.34</v>
      </c>
      <c r="D503">
        <f t="shared" si="184"/>
        <v>220.374</v>
      </c>
      <c r="E503">
        <f t="shared" si="185"/>
        <v>220.38</v>
      </c>
      <c r="F503">
        <f t="shared" si="186"/>
        <v>241.86705000000001</v>
      </c>
      <c r="G503">
        <f t="shared" si="187"/>
        <v>241.87</v>
      </c>
      <c r="H503">
        <v>835</v>
      </c>
      <c r="I503">
        <v>1</v>
      </c>
      <c r="J503" s="35" t="s">
        <v>3632</v>
      </c>
      <c r="K503" t="str">
        <f t="shared" si="163"/>
        <v>1495</v>
      </c>
      <c r="L503" s="36" t="s">
        <v>4564</v>
      </c>
      <c r="M503" s="35">
        <v>7629</v>
      </c>
      <c r="N503" s="36" t="s">
        <v>5269</v>
      </c>
      <c r="O503" s="35" t="s">
        <v>5574</v>
      </c>
      <c r="P503" s="35" t="s">
        <v>5575</v>
      </c>
    </row>
    <row r="504" spans="1:16">
      <c r="A504" s="35">
        <v>1496</v>
      </c>
      <c r="B504" s="36" t="s">
        <v>2248</v>
      </c>
      <c r="C504">
        <f>VLOOKUP(A504,'TABELA SPOLINE'!A:J,10,FALSE)</f>
        <v>200.34</v>
      </c>
      <c r="D504">
        <f t="shared" si="184"/>
        <v>220.374</v>
      </c>
      <c r="E504">
        <f t="shared" si="185"/>
        <v>220.38</v>
      </c>
      <c r="F504">
        <f t="shared" si="186"/>
        <v>241.86705000000001</v>
      </c>
      <c r="G504">
        <f t="shared" si="187"/>
        <v>241.87</v>
      </c>
      <c r="H504">
        <v>835</v>
      </c>
      <c r="I504">
        <v>1</v>
      </c>
      <c r="J504" s="35" t="s">
        <v>3633</v>
      </c>
      <c r="K504" t="str">
        <f t="shared" si="163"/>
        <v>1496</v>
      </c>
      <c r="L504" s="36" t="s">
        <v>4565</v>
      </c>
      <c r="M504" s="35">
        <v>7629</v>
      </c>
      <c r="N504" s="36" t="s">
        <v>5269</v>
      </c>
      <c r="O504" s="35" t="s">
        <v>5574</v>
      </c>
      <c r="P504" s="35" t="s">
        <v>5575</v>
      </c>
    </row>
    <row r="505" spans="1:16" hidden="1">
      <c r="A505" s="35">
        <v>1498</v>
      </c>
      <c r="B505" s="36" t="s">
        <v>2249</v>
      </c>
      <c r="C505" t="e">
        <f>VLOOKUP(A505,'TABELA SPOLINE'!A:J,10,FALSE)</f>
        <v>#N/A</v>
      </c>
      <c r="H505">
        <v>835</v>
      </c>
      <c r="I505">
        <v>1</v>
      </c>
      <c r="J505" s="35" t="s">
        <v>3634</v>
      </c>
      <c r="K505" t="str">
        <f t="shared" si="163"/>
        <v>1498</v>
      </c>
      <c r="L505" s="36" t="s">
        <v>4566</v>
      </c>
      <c r="M505" s="35">
        <v>7629</v>
      </c>
      <c r="N505" s="36" t="s">
        <v>5269</v>
      </c>
      <c r="O505" s="35" t="s">
        <v>5580</v>
      </c>
      <c r="P505" s="35" t="s">
        <v>5581</v>
      </c>
    </row>
    <row r="506" spans="1:16" hidden="1">
      <c r="A506" s="35">
        <v>1499</v>
      </c>
      <c r="B506" s="36" t="s">
        <v>2250</v>
      </c>
      <c r="C506" t="e">
        <f>VLOOKUP(A506,'TABELA SPOLINE'!A:J,10,FALSE)</f>
        <v>#N/A</v>
      </c>
      <c r="H506">
        <v>835</v>
      </c>
      <c r="I506">
        <v>1</v>
      </c>
      <c r="J506" s="35" t="s">
        <v>3635</v>
      </c>
      <c r="K506" t="str">
        <f t="shared" si="163"/>
        <v>1499</v>
      </c>
      <c r="L506" s="36" t="s">
        <v>4567</v>
      </c>
      <c r="M506" s="35">
        <v>7629</v>
      </c>
      <c r="N506" s="36" t="s">
        <v>5269</v>
      </c>
      <c r="O506" s="35" t="s">
        <v>5578</v>
      </c>
      <c r="P506" s="35" t="s">
        <v>5579</v>
      </c>
    </row>
    <row r="507" spans="1:16" hidden="1">
      <c r="A507" s="35">
        <v>1500</v>
      </c>
      <c r="B507" s="36" t="s">
        <v>2251</v>
      </c>
      <c r="C507" t="e">
        <f>VLOOKUP(A507,'TABELA SPOLINE'!A:J,10,FALSE)</f>
        <v>#N/A</v>
      </c>
      <c r="H507">
        <v>835</v>
      </c>
      <c r="I507">
        <v>1</v>
      </c>
      <c r="J507" s="35" t="s">
        <v>3636</v>
      </c>
      <c r="K507" t="str">
        <f t="shared" si="163"/>
        <v>1500</v>
      </c>
      <c r="L507" s="36" t="s">
        <v>4568</v>
      </c>
      <c r="M507" s="35">
        <v>7629</v>
      </c>
      <c r="N507" s="36" t="s">
        <v>5269</v>
      </c>
      <c r="O507" s="35" t="s">
        <v>5582</v>
      </c>
      <c r="P507" s="35" t="s">
        <v>5583</v>
      </c>
    </row>
    <row r="508" spans="1:16">
      <c r="A508" s="35">
        <v>1501</v>
      </c>
      <c r="B508" s="36" t="s">
        <v>2252</v>
      </c>
      <c r="C508">
        <f>VLOOKUP(A508,'TABELA SPOLINE'!A:J,10,FALSE)</f>
        <v>240.40800000000002</v>
      </c>
      <c r="D508">
        <f t="shared" ref="D508:D511" si="188">C508*0.1+C508</f>
        <v>264.44880000000001</v>
      </c>
      <c r="E508">
        <f t="shared" ref="E508:E511" si="189">ROUNDUP(D508,2)</f>
        <v>264.45</v>
      </c>
      <c r="F508">
        <f t="shared" ref="F508:F511" si="190">E508*0.0975+E508</f>
        <v>290.23387500000001</v>
      </c>
      <c r="G508">
        <f t="shared" ref="G508:G511" si="191">ROUNDUP(F508,2)</f>
        <v>290.24</v>
      </c>
      <c r="H508">
        <v>835</v>
      </c>
      <c r="I508">
        <v>1</v>
      </c>
      <c r="J508" s="35" t="s">
        <v>3637</v>
      </c>
      <c r="K508" t="str">
        <f t="shared" si="163"/>
        <v>1501</v>
      </c>
      <c r="L508" s="36" t="s">
        <v>4569</v>
      </c>
      <c r="M508" s="35">
        <v>7629</v>
      </c>
      <c r="N508" s="36" t="s">
        <v>5269</v>
      </c>
      <c r="O508" s="35" t="s">
        <v>5492</v>
      </c>
      <c r="P508" s="35" t="s">
        <v>5493</v>
      </c>
    </row>
    <row r="509" spans="1:16">
      <c r="A509" s="35">
        <v>1502</v>
      </c>
      <c r="B509" s="36" t="s">
        <v>2253</v>
      </c>
      <c r="C509">
        <f>VLOOKUP(A509,'TABELA SPOLINE'!A:J,10,FALSE)</f>
        <v>200.34</v>
      </c>
      <c r="D509">
        <f t="shared" si="188"/>
        <v>220.374</v>
      </c>
      <c r="E509">
        <f t="shared" si="189"/>
        <v>220.38</v>
      </c>
      <c r="F509">
        <f t="shared" si="190"/>
        <v>241.86705000000001</v>
      </c>
      <c r="G509">
        <f t="shared" si="191"/>
        <v>241.87</v>
      </c>
      <c r="H509">
        <v>835</v>
      </c>
      <c r="I509">
        <v>1</v>
      </c>
      <c r="J509" s="35" t="s">
        <v>3638</v>
      </c>
      <c r="K509" t="str">
        <f t="shared" si="163"/>
        <v>1502</v>
      </c>
      <c r="L509" s="36" t="s">
        <v>4570</v>
      </c>
      <c r="M509" s="35">
        <v>7629</v>
      </c>
      <c r="N509" s="36" t="s">
        <v>5269</v>
      </c>
      <c r="O509" s="35" t="s">
        <v>5582</v>
      </c>
      <c r="P509" s="35" t="s">
        <v>5583</v>
      </c>
    </row>
    <row r="510" spans="1:16">
      <c r="A510" s="35">
        <v>1503</v>
      </c>
      <c r="B510" s="36" t="s">
        <v>2254</v>
      </c>
      <c r="C510">
        <f>VLOOKUP(A510,'TABELA SPOLINE'!A:J,10,FALSE)</f>
        <v>200.34</v>
      </c>
      <c r="D510">
        <f t="shared" si="188"/>
        <v>220.374</v>
      </c>
      <c r="E510">
        <f t="shared" si="189"/>
        <v>220.38</v>
      </c>
      <c r="F510">
        <f t="shared" si="190"/>
        <v>241.86705000000001</v>
      </c>
      <c r="G510">
        <f t="shared" si="191"/>
        <v>241.87</v>
      </c>
      <c r="H510">
        <v>835</v>
      </c>
      <c r="I510">
        <v>1</v>
      </c>
      <c r="J510" s="35" t="s">
        <v>3639</v>
      </c>
      <c r="K510" t="str">
        <f t="shared" si="163"/>
        <v>1503</v>
      </c>
      <c r="L510" s="36" t="s">
        <v>4571</v>
      </c>
      <c r="M510" s="35">
        <v>7629</v>
      </c>
      <c r="N510" s="36" t="s">
        <v>5269</v>
      </c>
      <c r="O510" s="35" t="s">
        <v>5492</v>
      </c>
      <c r="P510" s="35" t="s">
        <v>5493</v>
      </c>
    </row>
    <row r="511" spans="1:16">
      <c r="A511" s="35">
        <v>1504</v>
      </c>
      <c r="B511" s="36" t="s">
        <v>2255</v>
      </c>
      <c r="C511">
        <f>VLOOKUP(A511,'TABELA SPOLINE'!A:J,10,FALSE)</f>
        <v>200.34</v>
      </c>
      <c r="D511">
        <f t="shared" si="188"/>
        <v>220.374</v>
      </c>
      <c r="E511">
        <f t="shared" si="189"/>
        <v>220.38</v>
      </c>
      <c r="F511">
        <f t="shared" si="190"/>
        <v>241.86705000000001</v>
      </c>
      <c r="G511">
        <f t="shared" si="191"/>
        <v>241.87</v>
      </c>
      <c r="H511">
        <v>835</v>
      </c>
      <c r="I511">
        <v>1</v>
      </c>
      <c r="J511" s="35" t="s">
        <v>3640</v>
      </c>
      <c r="K511" t="str">
        <f t="shared" si="163"/>
        <v>1504</v>
      </c>
      <c r="L511" s="36" t="s">
        <v>4572</v>
      </c>
      <c r="M511" s="35">
        <v>7629</v>
      </c>
      <c r="N511" s="36" t="s">
        <v>5269</v>
      </c>
      <c r="O511" s="35" t="s">
        <v>5492</v>
      </c>
      <c r="P511" s="35" t="s">
        <v>5493</v>
      </c>
    </row>
    <row r="512" spans="1:16" hidden="1">
      <c r="A512" s="35">
        <v>1505</v>
      </c>
      <c r="B512" s="36" t="s">
        <v>2284</v>
      </c>
      <c r="C512" t="e">
        <f>VLOOKUP(A512,'TABELA SPOLINE'!A:J,10,FALSE)</f>
        <v>#N/A</v>
      </c>
      <c r="H512">
        <v>836</v>
      </c>
      <c r="I512">
        <v>1</v>
      </c>
      <c r="J512" s="35" t="s">
        <v>3669</v>
      </c>
      <c r="K512" t="str">
        <f t="shared" si="163"/>
        <v>1505</v>
      </c>
      <c r="L512" s="36" t="s">
        <v>4573</v>
      </c>
      <c r="M512" s="35">
        <v>7629</v>
      </c>
      <c r="N512" s="36" t="s">
        <v>5269</v>
      </c>
      <c r="O512" s="35" t="s">
        <v>5582</v>
      </c>
      <c r="P512" s="35" t="s">
        <v>5583</v>
      </c>
    </row>
    <row r="513" spans="1:16" hidden="1">
      <c r="A513" s="35">
        <v>1507</v>
      </c>
      <c r="B513" s="36" t="s">
        <v>2280</v>
      </c>
      <c r="C513" t="e">
        <f>VLOOKUP(A513,'TABELA SPOLINE'!A:J,10,FALSE)</f>
        <v>#N/A</v>
      </c>
      <c r="H513">
        <v>836</v>
      </c>
      <c r="I513">
        <v>1</v>
      </c>
      <c r="J513" s="35" t="s">
        <v>3665</v>
      </c>
      <c r="K513" t="str">
        <f t="shared" si="163"/>
        <v>1507</v>
      </c>
      <c r="L513" s="36" t="s">
        <v>4574</v>
      </c>
      <c r="M513" s="35">
        <v>7629</v>
      </c>
      <c r="N513" s="36" t="s">
        <v>5269</v>
      </c>
      <c r="O513" s="35" t="s">
        <v>5582</v>
      </c>
      <c r="P513" s="35" t="s">
        <v>5583</v>
      </c>
    </row>
    <row r="514" spans="1:16" hidden="1">
      <c r="A514" s="35">
        <v>1508</v>
      </c>
      <c r="B514" s="36" t="s">
        <v>2293</v>
      </c>
      <c r="C514" t="e">
        <f>VLOOKUP(A514,'TABELA SPOLINE'!A:J,10,FALSE)</f>
        <v>#N/A</v>
      </c>
      <c r="H514">
        <v>836</v>
      </c>
      <c r="I514">
        <v>1</v>
      </c>
      <c r="J514" s="35" t="s">
        <v>3678</v>
      </c>
      <c r="K514" t="str">
        <f t="shared" si="163"/>
        <v>1508</v>
      </c>
      <c r="L514" s="36" t="s">
        <v>4575</v>
      </c>
      <c r="M514" s="35">
        <v>7629</v>
      </c>
      <c r="N514" s="36" t="s">
        <v>5269</v>
      </c>
      <c r="O514" s="35" t="s">
        <v>5584</v>
      </c>
      <c r="P514" s="35" t="s">
        <v>5585</v>
      </c>
    </row>
    <row r="515" spans="1:16" hidden="1">
      <c r="A515" s="35">
        <v>1509</v>
      </c>
      <c r="B515" s="36" t="s">
        <v>2282</v>
      </c>
      <c r="C515" t="e">
        <f>VLOOKUP(A515,'TABELA SPOLINE'!A:J,10,FALSE)</f>
        <v>#N/A</v>
      </c>
      <c r="H515">
        <v>836</v>
      </c>
      <c r="I515">
        <v>1</v>
      </c>
      <c r="J515" s="35" t="s">
        <v>3667</v>
      </c>
      <c r="K515" t="str">
        <f t="shared" ref="K515:K578" si="192">TRIM(A515)</f>
        <v>1509</v>
      </c>
      <c r="L515" s="36" t="s">
        <v>4576</v>
      </c>
      <c r="M515" s="35">
        <v>7629</v>
      </c>
      <c r="N515" s="36" t="s">
        <v>5269</v>
      </c>
      <c r="O515" s="35" t="s">
        <v>5586</v>
      </c>
      <c r="P515" s="35" t="s">
        <v>5587</v>
      </c>
    </row>
    <row r="516" spans="1:16" hidden="1">
      <c r="A516" s="35">
        <v>1510</v>
      </c>
      <c r="B516" s="36" t="s">
        <v>2286</v>
      </c>
      <c r="C516" t="e">
        <f>VLOOKUP(A516,'TABELA SPOLINE'!A:J,10,FALSE)</f>
        <v>#N/A</v>
      </c>
      <c r="H516">
        <v>836</v>
      </c>
      <c r="I516">
        <v>1</v>
      </c>
      <c r="J516" s="35" t="s">
        <v>3671</v>
      </c>
      <c r="K516" t="str">
        <f t="shared" si="192"/>
        <v>1510</v>
      </c>
      <c r="L516" s="36" t="s">
        <v>4577</v>
      </c>
      <c r="M516" s="35">
        <v>7629</v>
      </c>
      <c r="N516" s="36" t="s">
        <v>5269</v>
      </c>
      <c r="O516" s="35" t="s">
        <v>5588</v>
      </c>
      <c r="P516" s="35" t="s">
        <v>5589</v>
      </c>
    </row>
    <row r="517" spans="1:16" hidden="1">
      <c r="A517" s="35">
        <v>1511</v>
      </c>
      <c r="B517" s="36" t="s">
        <v>2283</v>
      </c>
      <c r="C517" t="e">
        <f>VLOOKUP(A517,'TABELA SPOLINE'!A:J,10,FALSE)</f>
        <v>#N/A</v>
      </c>
      <c r="H517">
        <v>836</v>
      </c>
      <c r="I517">
        <v>1</v>
      </c>
      <c r="J517" s="35" t="s">
        <v>3668</v>
      </c>
      <c r="K517" t="str">
        <f t="shared" si="192"/>
        <v>1511</v>
      </c>
      <c r="L517" s="36" t="s">
        <v>4578</v>
      </c>
      <c r="M517" s="35">
        <v>7629</v>
      </c>
      <c r="N517" s="36" t="s">
        <v>5269</v>
      </c>
      <c r="O517" s="35" t="s">
        <v>5584</v>
      </c>
      <c r="P517" s="35" t="s">
        <v>5585</v>
      </c>
    </row>
    <row r="518" spans="1:16" hidden="1">
      <c r="A518" s="35">
        <v>1512</v>
      </c>
      <c r="B518" s="36" t="s">
        <v>2288</v>
      </c>
      <c r="C518" t="e">
        <f>VLOOKUP(A518,'TABELA SPOLINE'!A:J,10,FALSE)</f>
        <v>#N/A</v>
      </c>
      <c r="H518">
        <v>836</v>
      </c>
      <c r="I518">
        <v>1</v>
      </c>
      <c r="J518" s="35" t="s">
        <v>3673</v>
      </c>
      <c r="K518" t="str">
        <f t="shared" si="192"/>
        <v>1512</v>
      </c>
      <c r="L518" s="36" t="s">
        <v>4579</v>
      </c>
      <c r="M518" s="35">
        <v>7629</v>
      </c>
      <c r="N518" s="36" t="s">
        <v>5269</v>
      </c>
      <c r="O518" s="35" t="s">
        <v>5590</v>
      </c>
      <c r="P518" s="35" t="s">
        <v>5591</v>
      </c>
    </row>
    <row r="519" spans="1:16">
      <c r="A519" s="35">
        <v>1522</v>
      </c>
      <c r="B519" s="36" t="s">
        <v>2324</v>
      </c>
      <c r="C519">
        <f>VLOOKUP(A519,'TABELA SPOLINE'!A:J,10,FALSE)</f>
        <v>291.60600000000005</v>
      </c>
      <c r="D519">
        <f>C519*0.1+C519</f>
        <v>320.76660000000004</v>
      </c>
      <c r="E519">
        <f>ROUNDUP(D519,2)</f>
        <v>320.77</v>
      </c>
      <c r="F519">
        <f>E519*0.0975+E519</f>
        <v>352.045075</v>
      </c>
      <c r="G519">
        <f>ROUNDUP(F519,2)</f>
        <v>352.05</v>
      </c>
      <c r="H519">
        <v>837</v>
      </c>
      <c r="I519">
        <v>1</v>
      </c>
      <c r="J519" s="35" t="s">
        <v>3709</v>
      </c>
      <c r="K519" t="str">
        <f t="shared" si="192"/>
        <v>1522</v>
      </c>
      <c r="L519" s="36" t="s">
        <v>4580</v>
      </c>
      <c r="M519" s="35">
        <v>7629</v>
      </c>
      <c r="N519" s="36" t="s">
        <v>5269</v>
      </c>
      <c r="O519" s="35" t="s">
        <v>5588</v>
      </c>
      <c r="P519" s="35" t="s">
        <v>5589</v>
      </c>
    </row>
    <row r="520" spans="1:16" hidden="1">
      <c r="A520" s="35">
        <v>1523</v>
      </c>
      <c r="B520" s="36" t="s">
        <v>2326</v>
      </c>
      <c r="C520" t="e">
        <f>VLOOKUP(A520,'TABELA SPOLINE'!A:J,10,FALSE)</f>
        <v>#N/A</v>
      </c>
      <c r="H520">
        <v>837</v>
      </c>
      <c r="I520">
        <v>1</v>
      </c>
      <c r="J520" s="35" t="s">
        <v>3711</v>
      </c>
      <c r="K520" t="str">
        <f t="shared" si="192"/>
        <v>1523</v>
      </c>
      <c r="L520" s="36" t="s">
        <v>4581</v>
      </c>
      <c r="M520" s="35">
        <v>7629</v>
      </c>
      <c r="N520" s="36" t="s">
        <v>5269</v>
      </c>
      <c r="O520" s="35" t="s">
        <v>5584</v>
      </c>
      <c r="P520" s="35" t="s">
        <v>5585</v>
      </c>
    </row>
    <row r="521" spans="1:16">
      <c r="A521" s="35">
        <v>1525</v>
      </c>
      <c r="B521" s="36" t="s">
        <v>2327</v>
      </c>
      <c r="C521">
        <f>VLOOKUP(A521,'TABELA SPOLINE'!A:J,10,FALSE)</f>
        <v>291.60600000000005</v>
      </c>
      <c r="D521">
        <f>C521*0.1+C521</f>
        <v>320.76660000000004</v>
      </c>
      <c r="E521">
        <f>ROUNDUP(D521,2)</f>
        <v>320.77</v>
      </c>
      <c r="F521">
        <f>E521*0.0975+E521</f>
        <v>352.045075</v>
      </c>
      <c r="G521">
        <f>ROUNDUP(F521,2)</f>
        <v>352.05</v>
      </c>
      <c r="H521">
        <v>837</v>
      </c>
      <c r="I521">
        <v>1</v>
      </c>
      <c r="J521" s="35" t="s">
        <v>3712</v>
      </c>
      <c r="K521" t="str">
        <f t="shared" si="192"/>
        <v>1525</v>
      </c>
      <c r="L521" s="36" t="s">
        <v>4582</v>
      </c>
      <c r="M521" s="35">
        <v>7629</v>
      </c>
      <c r="N521" s="36" t="s">
        <v>5269</v>
      </c>
      <c r="O521" s="35" t="s">
        <v>5592</v>
      </c>
      <c r="P521" s="35" t="s">
        <v>5593</v>
      </c>
    </row>
    <row r="522" spans="1:16" hidden="1">
      <c r="A522" s="35">
        <v>1527</v>
      </c>
      <c r="B522" s="36" t="s">
        <v>2328</v>
      </c>
      <c r="C522" t="e">
        <f>VLOOKUP(A522,'TABELA SPOLINE'!A:J,10,FALSE)</f>
        <v>#N/A</v>
      </c>
      <c r="H522">
        <v>837</v>
      </c>
      <c r="I522">
        <v>1</v>
      </c>
      <c r="J522" s="35" t="s">
        <v>3713</v>
      </c>
      <c r="K522" t="str">
        <f t="shared" si="192"/>
        <v>1527</v>
      </c>
      <c r="L522" s="36" t="s">
        <v>4583</v>
      </c>
      <c r="M522" s="35">
        <v>7629</v>
      </c>
      <c r="N522" s="36" t="s">
        <v>5269</v>
      </c>
      <c r="O522" s="35" t="s">
        <v>5594</v>
      </c>
      <c r="P522" s="35" t="s">
        <v>5595</v>
      </c>
    </row>
    <row r="523" spans="1:16">
      <c r="A523" s="35">
        <v>1530</v>
      </c>
      <c r="B523" s="36" t="s">
        <v>2332</v>
      </c>
      <c r="C523">
        <f>VLOOKUP(A523,'TABELA SPOLINE'!A:J,10,FALSE)</f>
        <v>291.60600000000005</v>
      </c>
      <c r="D523">
        <f>C523*0.1+C523</f>
        <v>320.76660000000004</v>
      </c>
      <c r="E523">
        <f>ROUNDUP(D523,2)</f>
        <v>320.77</v>
      </c>
      <c r="F523">
        <f>E523*0.0975+E523</f>
        <v>352.045075</v>
      </c>
      <c r="G523">
        <f>ROUNDUP(F523,2)</f>
        <v>352.05</v>
      </c>
      <c r="H523">
        <v>837</v>
      </c>
      <c r="I523">
        <v>1</v>
      </c>
      <c r="J523" s="35" t="s">
        <v>3717</v>
      </c>
      <c r="K523" t="str">
        <f t="shared" si="192"/>
        <v>1530</v>
      </c>
      <c r="L523" s="36" t="s">
        <v>4584</v>
      </c>
      <c r="M523" s="35">
        <v>7629</v>
      </c>
      <c r="N523" s="36" t="s">
        <v>5269</v>
      </c>
      <c r="O523" s="35" t="s">
        <v>5592</v>
      </c>
      <c r="P523" s="35" t="s">
        <v>5593</v>
      </c>
    </row>
    <row r="524" spans="1:16" hidden="1">
      <c r="A524" s="35">
        <v>1656</v>
      </c>
      <c r="B524" s="36" t="s">
        <v>2077</v>
      </c>
      <c r="C524" t="e">
        <f>VLOOKUP(A524,'TABELA SPOLINE'!A:J,10,FALSE)</f>
        <v>#N/A</v>
      </c>
      <c r="H524">
        <v>709</v>
      </c>
      <c r="I524">
        <v>1</v>
      </c>
      <c r="J524" s="35" t="s">
        <v>3462</v>
      </c>
      <c r="K524" t="str">
        <f t="shared" si="192"/>
        <v>1656</v>
      </c>
      <c r="L524" s="36" t="s">
        <v>4585</v>
      </c>
      <c r="M524" s="35">
        <v>7629</v>
      </c>
      <c r="N524" s="36" t="s">
        <v>5269</v>
      </c>
      <c r="O524" s="35" t="s">
        <v>5596</v>
      </c>
      <c r="P524" s="35" t="s">
        <v>5597</v>
      </c>
    </row>
    <row r="525" spans="1:16" hidden="1">
      <c r="A525" s="35">
        <v>1657</v>
      </c>
      <c r="B525" s="36" t="s">
        <v>2078</v>
      </c>
      <c r="C525" t="e">
        <f>VLOOKUP(A525,'TABELA SPOLINE'!A:J,10,FALSE)</f>
        <v>#N/A</v>
      </c>
      <c r="H525">
        <v>709</v>
      </c>
      <c r="I525">
        <v>1</v>
      </c>
      <c r="J525" s="35" t="s">
        <v>3463</v>
      </c>
      <c r="K525" t="str">
        <f t="shared" si="192"/>
        <v>1657</v>
      </c>
      <c r="L525" s="36" t="s">
        <v>4586</v>
      </c>
      <c r="M525" s="35">
        <v>7629</v>
      </c>
      <c r="N525" s="36" t="s">
        <v>5269</v>
      </c>
      <c r="O525" s="35" t="s">
        <v>5592</v>
      </c>
      <c r="P525" s="35" t="s">
        <v>5593</v>
      </c>
    </row>
    <row r="526" spans="1:16">
      <c r="A526" s="35">
        <v>1847</v>
      </c>
      <c r="B526" s="36" t="s">
        <v>2242</v>
      </c>
      <c r="C526">
        <f>VLOOKUP(A526,'TABELA SPOLINE'!A:J,10,FALSE)</f>
        <v>143.577</v>
      </c>
      <c r="D526">
        <f t="shared" ref="D526:D527" si="193">C526*0.1+C526</f>
        <v>157.93469999999999</v>
      </c>
      <c r="E526">
        <f t="shared" ref="E526:E527" si="194">ROUNDUP(D526,2)</f>
        <v>157.94</v>
      </c>
      <c r="F526">
        <f t="shared" ref="F526:F527" si="195">E526*0.0975+E526</f>
        <v>173.33914999999999</v>
      </c>
      <c r="G526">
        <f t="shared" ref="G526:G527" si="196">ROUNDUP(F526,2)</f>
        <v>173.34</v>
      </c>
      <c r="H526">
        <v>823</v>
      </c>
      <c r="I526">
        <v>60</v>
      </c>
      <c r="J526" s="35" t="s">
        <v>3627</v>
      </c>
      <c r="K526" t="str">
        <f t="shared" si="192"/>
        <v>1847</v>
      </c>
      <c r="L526" s="36" t="s">
        <v>4587</v>
      </c>
      <c r="M526" s="35">
        <v>7629</v>
      </c>
      <c r="N526" s="36" t="s">
        <v>5269</v>
      </c>
      <c r="O526" s="35" t="s">
        <v>5596</v>
      </c>
      <c r="P526" s="35" t="s">
        <v>5597</v>
      </c>
    </row>
    <row r="527" spans="1:16">
      <c r="A527" s="35">
        <v>1848</v>
      </c>
      <c r="B527" s="36" t="s">
        <v>1986</v>
      </c>
      <c r="C527">
        <f>VLOOKUP(A527,'TABELA SPOLINE'!A:J,10,FALSE)</f>
        <v>366.17700000000002</v>
      </c>
      <c r="D527">
        <f t="shared" si="193"/>
        <v>402.79470000000003</v>
      </c>
      <c r="E527">
        <f t="shared" si="194"/>
        <v>402.8</v>
      </c>
      <c r="F527">
        <f t="shared" si="195"/>
        <v>442.07300000000004</v>
      </c>
      <c r="G527">
        <f t="shared" si="196"/>
        <v>442.08</v>
      </c>
      <c r="H527">
        <v>810</v>
      </c>
      <c r="I527">
        <v>120</v>
      </c>
      <c r="J527" s="35" t="s">
        <v>3371</v>
      </c>
      <c r="K527" t="str">
        <f t="shared" si="192"/>
        <v>1848</v>
      </c>
      <c r="L527" s="36" t="s">
        <v>4588</v>
      </c>
      <c r="M527" s="35">
        <v>7629</v>
      </c>
      <c r="N527" s="36" t="s">
        <v>5269</v>
      </c>
      <c r="O527" s="35" t="s">
        <v>5598</v>
      </c>
      <c r="P527" s="35" t="s">
        <v>5599</v>
      </c>
    </row>
    <row r="528" spans="1:16" hidden="1">
      <c r="A528" s="35">
        <v>1861</v>
      </c>
      <c r="B528" s="36" t="s">
        <v>2046</v>
      </c>
      <c r="C528" t="e">
        <f>VLOOKUP(A528,'TABELA SPOLINE'!A:J,10,FALSE)</f>
        <v>#N/A</v>
      </c>
      <c r="H528">
        <v>830</v>
      </c>
      <c r="I528">
        <v>1</v>
      </c>
      <c r="J528" s="35" t="s">
        <v>3431</v>
      </c>
      <c r="K528" t="str">
        <f t="shared" si="192"/>
        <v>1861</v>
      </c>
      <c r="L528" s="36" t="s">
        <v>4589</v>
      </c>
      <c r="M528" s="35">
        <v>7629</v>
      </c>
      <c r="N528" s="36" t="s">
        <v>5269</v>
      </c>
      <c r="O528" s="35" t="s">
        <v>5594</v>
      </c>
      <c r="P528" s="35" t="s">
        <v>5595</v>
      </c>
    </row>
    <row r="529" spans="1:16">
      <c r="A529" s="35">
        <v>1862</v>
      </c>
      <c r="B529" s="36" t="s">
        <v>2330</v>
      </c>
      <c r="C529">
        <f>VLOOKUP(A529,'TABELA SPOLINE'!A:J,10,FALSE)</f>
        <v>291.60600000000005</v>
      </c>
      <c r="D529">
        <f>C529*0.1+C529</f>
        <v>320.76660000000004</v>
      </c>
      <c r="E529">
        <f>ROUNDUP(D529,2)</f>
        <v>320.77</v>
      </c>
      <c r="F529">
        <f>E529*0.0975+E529</f>
        <v>352.045075</v>
      </c>
      <c r="G529">
        <f>ROUNDUP(F529,2)</f>
        <v>352.05</v>
      </c>
      <c r="H529">
        <v>837</v>
      </c>
      <c r="I529">
        <v>1</v>
      </c>
      <c r="J529" s="35" t="s">
        <v>3715</v>
      </c>
      <c r="K529" t="str">
        <f t="shared" si="192"/>
        <v>1862</v>
      </c>
      <c r="L529" s="36" t="s">
        <v>4590</v>
      </c>
      <c r="M529" s="35">
        <v>7629</v>
      </c>
      <c r="N529" s="36" t="s">
        <v>5269</v>
      </c>
      <c r="O529" s="35" t="s">
        <v>5594</v>
      </c>
      <c r="P529" s="35" t="s">
        <v>5595</v>
      </c>
    </row>
    <row r="530" spans="1:16" hidden="1">
      <c r="A530" s="35">
        <v>1863</v>
      </c>
      <c r="B530" s="36" t="s">
        <v>2079</v>
      </c>
      <c r="C530" t="e">
        <f>VLOOKUP(A530,'TABELA SPOLINE'!A:J,10,FALSE)</f>
        <v>#N/A</v>
      </c>
      <c r="H530">
        <v>709</v>
      </c>
      <c r="I530">
        <v>1</v>
      </c>
      <c r="J530" s="35" t="s">
        <v>3464</v>
      </c>
      <c r="K530" t="str">
        <f t="shared" si="192"/>
        <v>1863</v>
      </c>
      <c r="L530" s="36" t="s">
        <v>4591</v>
      </c>
      <c r="M530" s="35">
        <v>7629</v>
      </c>
      <c r="N530" s="36" t="s">
        <v>5269</v>
      </c>
      <c r="O530" s="35" t="s">
        <v>5598</v>
      </c>
      <c r="P530" s="35" t="s">
        <v>5599</v>
      </c>
    </row>
    <row r="531" spans="1:16" hidden="1">
      <c r="A531" s="35">
        <v>1868</v>
      </c>
      <c r="B531" s="36" t="s">
        <v>2233</v>
      </c>
      <c r="C531" t="e">
        <f>VLOOKUP(A531,'TABELA SPOLINE'!A:J,10,FALSE)</f>
        <v>#N/A</v>
      </c>
      <c r="H531">
        <v>822</v>
      </c>
      <c r="I531">
        <v>2</v>
      </c>
      <c r="J531" s="35" t="s">
        <v>3618</v>
      </c>
      <c r="K531" t="str">
        <f t="shared" si="192"/>
        <v>1868</v>
      </c>
      <c r="L531" s="36" t="s">
        <v>4592</v>
      </c>
      <c r="M531" s="35">
        <v>7629</v>
      </c>
      <c r="N531" s="36" t="s">
        <v>5269</v>
      </c>
      <c r="O531" s="35" t="s">
        <v>5318</v>
      </c>
      <c r="P531" s="35" t="s">
        <v>5319</v>
      </c>
    </row>
    <row r="532" spans="1:16">
      <c r="A532" s="35">
        <v>1870</v>
      </c>
      <c r="B532" s="36" t="s">
        <v>2014</v>
      </c>
      <c r="C532">
        <f>VLOOKUP(A532,'TABELA SPOLINE'!A:J,10,FALSE)</f>
        <v>263.78100000000001</v>
      </c>
      <c r="D532">
        <f>C532*0.1+C532</f>
        <v>290.15910000000002</v>
      </c>
      <c r="E532">
        <f>ROUNDUP(D532,2)</f>
        <v>290.15999999999997</v>
      </c>
      <c r="F532">
        <f>E532*0.0975+E532</f>
        <v>318.45059999999995</v>
      </c>
      <c r="G532">
        <f>ROUNDUP(F532,2)</f>
        <v>318.45999999999998</v>
      </c>
      <c r="H532">
        <v>811</v>
      </c>
      <c r="I532">
        <v>120</v>
      </c>
      <c r="J532" s="35" t="s">
        <v>3399</v>
      </c>
      <c r="K532" t="str">
        <f t="shared" si="192"/>
        <v>1870</v>
      </c>
      <c r="L532" s="36" t="s">
        <v>4593</v>
      </c>
      <c r="M532" s="35">
        <v>7629</v>
      </c>
      <c r="N532" s="36" t="s">
        <v>5269</v>
      </c>
      <c r="O532" s="35" t="s">
        <v>5316</v>
      </c>
      <c r="P532" s="35" t="s">
        <v>5317</v>
      </c>
    </row>
    <row r="533" spans="1:16" hidden="1">
      <c r="A533" s="35">
        <v>1871</v>
      </c>
      <c r="B533" s="36" t="s">
        <v>1781</v>
      </c>
      <c r="C533" t="e">
        <f>VLOOKUP(A533,'TABELA SPOLINE'!A:J,10,FALSE)</f>
        <v>#N/A</v>
      </c>
      <c r="H533">
        <v>636</v>
      </c>
      <c r="I533">
        <v>3</v>
      </c>
      <c r="J533" s="35" t="s">
        <v>3166</v>
      </c>
      <c r="K533" t="str">
        <f t="shared" si="192"/>
        <v>1871</v>
      </c>
      <c r="L533" s="36" t="s">
        <v>4594</v>
      </c>
      <c r="M533" s="35">
        <v>7629</v>
      </c>
      <c r="N533" s="36" t="s">
        <v>5269</v>
      </c>
      <c r="O533" s="35" t="s">
        <v>5314</v>
      </c>
      <c r="P533" s="35" t="s">
        <v>5315</v>
      </c>
    </row>
    <row r="534" spans="1:16">
      <c r="A534" s="35">
        <v>1875</v>
      </c>
      <c r="B534" s="36" t="s">
        <v>1678</v>
      </c>
      <c r="C534">
        <f>VLOOKUP(A534,'TABELA SPOLINE'!A:J,10,FALSE)</f>
        <v>363.95100000000002</v>
      </c>
      <c r="D534">
        <f t="shared" ref="D534:D535" si="197">C534*0.1+C534</f>
        <v>400.34610000000004</v>
      </c>
      <c r="E534">
        <f t="shared" ref="E534:E535" si="198">ROUNDUP(D534,2)</f>
        <v>400.34999999999997</v>
      </c>
      <c r="F534">
        <f t="shared" ref="F534:F535" si="199">E534*0.0975+E534</f>
        <v>439.38412499999998</v>
      </c>
      <c r="G534">
        <f t="shared" ref="G534:G535" si="200">ROUNDUP(F534,2)</f>
        <v>439.39</v>
      </c>
      <c r="H534">
        <v>812</v>
      </c>
      <c r="I534">
        <v>120</v>
      </c>
      <c r="J534" s="35" t="s">
        <v>3066</v>
      </c>
      <c r="K534" t="str">
        <f t="shared" si="192"/>
        <v>1875</v>
      </c>
      <c r="L534" s="36" t="s">
        <v>4595</v>
      </c>
      <c r="M534" s="35">
        <v>7629</v>
      </c>
      <c r="N534" s="36" t="s">
        <v>5269</v>
      </c>
      <c r="O534" s="35" t="s">
        <v>5312</v>
      </c>
      <c r="P534" s="35" t="s">
        <v>5313</v>
      </c>
    </row>
    <row r="535" spans="1:16">
      <c r="A535" s="35">
        <v>1880</v>
      </c>
      <c r="B535" s="36" t="s">
        <v>2033</v>
      </c>
      <c r="C535">
        <f>VLOOKUP(A535,'TABELA SPOLINE'!A:J,10,FALSE)</f>
        <v>338.35200000000003</v>
      </c>
      <c r="D535">
        <f t="shared" si="197"/>
        <v>372.18720000000002</v>
      </c>
      <c r="E535">
        <f t="shared" si="198"/>
        <v>372.19</v>
      </c>
      <c r="F535">
        <f t="shared" si="199"/>
        <v>408.47852499999999</v>
      </c>
      <c r="G535">
        <f t="shared" si="200"/>
        <v>408.48</v>
      </c>
      <c r="H535">
        <v>827</v>
      </c>
      <c r="I535">
        <v>30</v>
      </c>
      <c r="J535" s="35" t="s">
        <v>3418</v>
      </c>
      <c r="K535" t="str">
        <f t="shared" si="192"/>
        <v>1880</v>
      </c>
      <c r="L535" s="36" t="s">
        <v>4596</v>
      </c>
      <c r="M535" s="35">
        <v>7629</v>
      </c>
      <c r="N535" s="36" t="s">
        <v>5269</v>
      </c>
      <c r="O535" s="35" t="s">
        <v>5314</v>
      </c>
      <c r="P535" s="35" t="s">
        <v>5315</v>
      </c>
    </row>
    <row r="536" spans="1:16" hidden="1">
      <c r="A536" s="35">
        <v>1887</v>
      </c>
      <c r="B536" s="36" t="s">
        <v>1857</v>
      </c>
      <c r="C536" t="e">
        <f>VLOOKUP(A536,'TABELA SPOLINE'!A:J,10,FALSE)</f>
        <v>#N/A</v>
      </c>
      <c r="H536">
        <v>743</v>
      </c>
      <c r="I536">
        <v>6</v>
      </c>
      <c r="J536" s="35" t="s">
        <v>3242</v>
      </c>
      <c r="K536" t="str">
        <f t="shared" si="192"/>
        <v>1887</v>
      </c>
      <c r="L536" s="36" t="s">
        <v>4597</v>
      </c>
      <c r="M536" s="35">
        <v>7629</v>
      </c>
      <c r="N536" s="36" t="s">
        <v>5269</v>
      </c>
      <c r="O536" s="35" t="s">
        <v>5312</v>
      </c>
      <c r="P536" s="35" t="s">
        <v>5313</v>
      </c>
    </row>
    <row r="537" spans="1:16" hidden="1">
      <c r="A537" s="35">
        <v>1888</v>
      </c>
      <c r="B537" s="36" t="s">
        <v>1905</v>
      </c>
      <c r="C537" t="e">
        <f>VLOOKUP(A537,'TABELA SPOLINE'!A:J,10,FALSE)</f>
        <v>#N/A</v>
      </c>
      <c r="H537">
        <v>786</v>
      </c>
      <c r="I537">
        <v>1</v>
      </c>
      <c r="J537" s="35" t="s">
        <v>3290</v>
      </c>
      <c r="K537" t="str">
        <f t="shared" si="192"/>
        <v>1888</v>
      </c>
      <c r="L537" s="36" t="s">
        <v>4598</v>
      </c>
      <c r="M537" s="35">
        <v>7629</v>
      </c>
      <c r="N537" s="36" t="s">
        <v>5269</v>
      </c>
      <c r="O537" s="35" t="s">
        <v>5318</v>
      </c>
      <c r="P537" s="35" t="s">
        <v>5319</v>
      </c>
    </row>
    <row r="538" spans="1:16">
      <c r="A538" s="35">
        <v>1892</v>
      </c>
      <c r="B538" s="36" t="s">
        <v>1705</v>
      </c>
      <c r="C538">
        <f>VLOOKUP(A538,'TABELA SPOLINE'!A:J,10,FALSE)</f>
        <v>271.572</v>
      </c>
      <c r="D538">
        <f>C538*0.1+C538</f>
        <v>298.72919999999999</v>
      </c>
      <c r="E538">
        <f>ROUNDUP(D538,2)</f>
        <v>298.73</v>
      </c>
      <c r="F538">
        <f>E538*0.0975+E538</f>
        <v>327.85617500000001</v>
      </c>
      <c r="G538">
        <f>ROUNDUP(F538,2)</f>
        <v>327.86</v>
      </c>
      <c r="H538">
        <v>825</v>
      </c>
      <c r="I538">
        <v>30</v>
      </c>
      <c r="J538" s="35" t="s">
        <v>3093</v>
      </c>
      <c r="K538" t="str">
        <f t="shared" si="192"/>
        <v>1892</v>
      </c>
      <c r="L538" s="36" t="s">
        <v>4599</v>
      </c>
      <c r="M538" s="35">
        <v>7629</v>
      </c>
      <c r="N538" s="36" t="s">
        <v>5269</v>
      </c>
      <c r="O538" s="35" t="s">
        <v>5316</v>
      </c>
      <c r="P538" s="35" t="s">
        <v>5317</v>
      </c>
    </row>
    <row r="539" spans="1:16" hidden="1">
      <c r="A539" s="35">
        <v>1893</v>
      </c>
      <c r="B539" s="36" t="s">
        <v>1679</v>
      </c>
      <c r="C539" t="e">
        <f>VLOOKUP(A539,'TABELA SPOLINE'!A:J,10,FALSE)</f>
        <v>#N/A</v>
      </c>
      <c r="H539">
        <v>812</v>
      </c>
      <c r="I539">
        <v>120</v>
      </c>
      <c r="J539" s="35" t="s">
        <v>3067</v>
      </c>
      <c r="K539" t="str">
        <f t="shared" si="192"/>
        <v>1893</v>
      </c>
      <c r="L539" s="36" t="s">
        <v>4600</v>
      </c>
      <c r="M539" s="35">
        <v>7629</v>
      </c>
      <c r="N539" s="36" t="s">
        <v>5269</v>
      </c>
      <c r="O539" s="35" t="s">
        <v>5316</v>
      </c>
      <c r="P539" s="35" t="s">
        <v>5317</v>
      </c>
    </row>
    <row r="540" spans="1:16">
      <c r="A540" s="35">
        <v>1900</v>
      </c>
      <c r="B540" s="36" t="s">
        <v>1681</v>
      </c>
      <c r="C540">
        <f>VLOOKUP(A540,'TABELA SPOLINE'!A:J,10,FALSE)</f>
        <v>363.95100000000002</v>
      </c>
      <c r="D540">
        <f t="shared" ref="D540:D541" si="201">C540*0.1+C540</f>
        <v>400.34610000000004</v>
      </c>
      <c r="E540">
        <f t="shared" ref="E540:E541" si="202">ROUNDUP(D540,2)</f>
        <v>400.34999999999997</v>
      </c>
      <c r="F540">
        <f t="shared" ref="F540:F541" si="203">E540*0.0975+E540</f>
        <v>439.38412499999998</v>
      </c>
      <c r="G540">
        <f t="shared" ref="G540:G541" si="204">ROUNDUP(F540,2)</f>
        <v>439.39</v>
      </c>
      <c r="H540">
        <v>812</v>
      </c>
      <c r="I540">
        <v>120</v>
      </c>
      <c r="J540" s="35" t="s">
        <v>3069</v>
      </c>
      <c r="K540" t="str">
        <f t="shared" si="192"/>
        <v>1900</v>
      </c>
      <c r="L540" s="36" t="s">
        <v>4601</v>
      </c>
      <c r="M540" s="35">
        <v>7629</v>
      </c>
      <c r="N540" s="36" t="s">
        <v>5269</v>
      </c>
      <c r="O540" s="35" t="s">
        <v>5316</v>
      </c>
      <c r="P540" s="35" t="s">
        <v>5317</v>
      </c>
    </row>
    <row r="541" spans="1:16">
      <c r="A541" s="35">
        <v>1901</v>
      </c>
      <c r="B541" s="36" t="s">
        <v>1674</v>
      </c>
      <c r="C541">
        <f>VLOOKUP(A541,'TABELA SPOLINE'!A:J,10,FALSE)</f>
        <v>230.39100000000002</v>
      </c>
      <c r="D541">
        <f t="shared" si="201"/>
        <v>253.43010000000004</v>
      </c>
      <c r="E541">
        <f t="shared" si="202"/>
        <v>253.44</v>
      </c>
      <c r="F541">
        <f t="shared" si="203"/>
        <v>278.15039999999999</v>
      </c>
      <c r="G541">
        <f t="shared" si="204"/>
        <v>278.15999999999997</v>
      </c>
      <c r="H541">
        <v>812</v>
      </c>
      <c r="I541">
        <v>60</v>
      </c>
      <c r="J541" s="35" t="s">
        <v>3062</v>
      </c>
      <c r="K541" t="str">
        <f t="shared" si="192"/>
        <v>1901</v>
      </c>
      <c r="L541" s="36" t="s">
        <v>4602</v>
      </c>
      <c r="M541" s="35">
        <v>7629</v>
      </c>
      <c r="N541" s="36" t="s">
        <v>5269</v>
      </c>
      <c r="O541" s="35" t="s">
        <v>5600</v>
      </c>
      <c r="P541" s="35" t="s">
        <v>5601</v>
      </c>
    </row>
    <row r="542" spans="1:16" hidden="1">
      <c r="A542" s="35">
        <v>1902</v>
      </c>
      <c r="B542" s="36" t="s">
        <v>2218</v>
      </c>
      <c r="C542" t="e">
        <f>VLOOKUP(A542,'TABELA SPOLINE'!A:J,10,FALSE)</f>
        <v>#N/A</v>
      </c>
      <c r="H542">
        <v>821</v>
      </c>
      <c r="I542">
        <v>1</v>
      </c>
      <c r="J542" s="35" t="s">
        <v>3603</v>
      </c>
      <c r="K542" t="str">
        <f t="shared" si="192"/>
        <v>1902</v>
      </c>
      <c r="L542" s="36" t="s">
        <v>4603</v>
      </c>
      <c r="M542" s="35">
        <v>7629</v>
      </c>
      <c r="N542" s="36" t="s">
        <v>5269</v>
      </c>
      <c r="O542" s="35" t="s">
        <v>5600</v>
      </c>
      <c r="P542" s="35" t="s">
        <v>5601</v>
      </c>
    </row>
    <row r="543" spans="1:16" hidden="1">
      <c r="A543" s="35">
        <v>1903</v>
      </c>
      <c r="B543" s="36" t="s">
        <v>2179</v>
      </c>
      <c r="C543" t="e">
        <f>VLOOKUP(A543,'TABELA SPOLINE'!A:J,10,FALSE)</f>
        <v>#N/A</v>
      </c>
      <c r="H543">
        <v>794</v>
      </c>
      <c r="I543">
        <v>1</v>
      </c>
      <c r="J543" s="35" t="s">
        <v>3564</v>
      </c>
      <c r="K543" t="str">
        <f t="shared" si="192"/>
        <v>1903</v>
      </c>
      <c r="L543" s="36" t="s">
        <v>4604</v>
      </c>
      <c r="M543" s="35">
        <v>7629</v>
      </c>
      <c r="N543" s="36" t="s">
        <v>5269</v>
      </c>
      <c r="O543" s="35" t="s">
        <v>5602</v>
      </c>
      <c r="P543" s="35" t="s">
        <v>5603</v>
      </c>
    </row>
    <row r="544" spans="1:16" hidden="1">
      <c r="A544" s="35">
        <v>1909</v>
      </c>
      <c r="B544" s="36" t="s">
        <v>2193</v>
      </c>
      <c r="C544" t="e">
        <f>VLOOKUP(A544,'TABELA SPOLINE'!A:J,10,FALSE)</f>
        <v>#N/A</v>
      </c>
      <c r="H544">
        <v>803</v>
      </c>
      <c r="I544">
        <v>1</v>
      </c>
      <c r="J544" s="35" t="s">
        <v>3578</v>
      </c>
      <c r="K544" t="str">
        <f t="shared" si="192"/>
        <v>1909</v>
      </c>
      <c r="L544" s="36" t="s">
        <v>4605</v>
      </c>
      <c r="M544" s="35">
        <v>7629</v>
      </c>
      <c r="N544" s="36" t="s">
        <v>5269</v>
      </c>
      <c r="O544" s="35" t="s">
        <v>5600</v>
      </c>
      <c r="P544" s="35" t="s">
        <v>5601</v>
      </c>
    </row>
    <row r="545" spans="1:16" hidden="1">
      <c r="A545" s="35">
        <v>1913</v>
      </c>
      <c r="B545" s="36" t="s">
        <v>2028</v>
      </c>
      <c r="C545" t="e">
        <f>VLOOKUP(A545,'TABELA SPOLINE'!A:J,10,FALSE)</f>
        <v>#N/A</v>
      </c>
      <c r="H545">
        <v>828</v>
      </c>
      <c r="I545">
        <v>2</v>
      </c>
      <c r="J545" s="35" t="s">
        <v>3413</v>
      </c>
      <c r="K545" t="str">
        <f t="shared" si="192"/>
        <v>1913</v>
      </c>
      <c r="L545" s="36" t="s">
        <v>4606</v>
      </c>
      <c r="M545" s="35">
        <v>7629</v>
      </c>
      <c r="N545" s="36" t="s">
        <v>5269</v>
      </c>
      <c r="O545" s="35" t="s">
        <v>5602</v>
      </c>
      <c r="P545" s="35" t="s">
        <v>5603</v>
      </c>
    </row>
    <row r="546" spans="1:16" hidden="1">
      <c r="A546" s="35">
        <v>1924</v>
      </c>
      <c r="B546" s="36" t="s">
        <v>1893</v>
      </c>
      <c r="C546" t="e">
        <f>VLOOKUP(A546,'TABELA SPOLINE'!A:J,10,FALSE)</f>
        <v>#N/A</v>
      </c>
      <c r="H546">
        <v>784</v>
      </c>
      <c r="I546">
        <v>2</v>
      </c>
      <c r="J546" s="35" t="s">
        <v>3278</v>
      </c>
      <c r="K546" t="str">
        <f t="shared" si="192"/>
        <v>1924</v>
      </c>
      <c r="L546" s="36" t="s">
        <v>4607</v>
      </c>
      <c r="M546" s="35">
        <v>7629</v>
      </c>
      <c r="N546" s="36" t="s">
        <v>5269</v>
      </c>
      <c r="O546" s="35" t="s">
        <v>5600</v>
      </c>
      <c r="P546" s="35" t="s">
        <v>5601</v>
      </c>
    </row>
    <row r="547" spans="1:16" hidden="1">
      <c r="A547" s="35">
        <v>1925</v>
      </c>
      <c r="B547" s="36" t="s">
        <v>1876</v>
      </c>
      <c r="C547" t="e">
        <f>VLOOKUP(A547,'TABELA SPOLINE'!A:J,10,FALSE)</f>
        <v>#N/A</v>
      </c>
      <c r="H547">
        <v>782</v>
      </c>
      <c r="I547">
        <v>20</v>
      </c>
      <c r="J547" s="35" t="s">
        <v>3261</v>
      </c>
      <c r="K547" t="str">
        <f t="shared" si="192"/>
        <v>1925</v>
      </c>
      <c r="L547" s="36" t="s">
        <v>4608</v>
      </c>
      <c r="M547" s="35">
        <v>7629</v>
      </c>
      <c r="N547" s="36" t="s">
        <v>5269</v>
      </c>
      <c r="O547" s="35" t="s">
        <v>5600</v>
      </c>
      <c r="P547" s="35" t="s">
        <v>5601</v>
      </c>
    </row>
    <row r="548" spans="1:16" hidden="1">
      <c r="A548" s="35">
        <v>1926</v>
      </c>
      <c r="B548" s="36" t="s">
        <v>1968</v>
      </c>
      <c r="C548" t="e">
        <f>VLOOKUP(A548,'TABELA SPOLINE'!A:J,10,FALSE)</f>
        <v>#N/A</v>
      </c>
      <c r="H548">
        <v>806</v>
      </c>
      <c r="I548">
        <v>3</v>
      </c>
      <c r="J548" s="35" t="s">
        <v>3353</v>
      </c>
      <c r="K548" t="str">
        <f t="shared" si="192"/>
        <v>1926</v>
      </c>
      <c r="L548" s="36" t="s">
        <v>4609</v>
      </c>
      <c r="M548" s="35">
        <v>7629</v>
      </c>
      <c r="N548" s="36" t="s">
        <v>5269</v>
      </c>
      <c r="O548" s="35" t="s">
        <v>5602</v>
      </c>
      <c r="P548" s="35" t="s">
        <v>5603</v>
      </c>
    </row>
    <row r="549" spans="1:16" hidden="1">
      <c r="A549" s="35">
        <v>1936</v>
      </c>
      <c r="B549" s="36" t="s">
        <v>2137</v>
      </c>
      <c r="C549" t="e">
        <f>VLOOKUP(A549,'TABELA SPOLINE'!A:J,10,FALSE)</f>
        <v>#N/A</v>
      </c>
      <c r="H549">
        <v>788</v>
      </c>
      <c r="I549">
        <v>3</v>
      </c>
      <c r="J549" s="35" t="s">
        <v>3522</v>
      </c>
      <c r="K549" t="str">
        <f t="shared" si="192"/>
        <v>1936</v>
      </c>
      <c r="L549" s="36" t="s">
        <v>4610</v>
      </c>
      <c r="M549" s="35">
        <v>7629</v>
      </c>
      <c r="N549" s="36" t="s">
        <v>5269</v>
      </c>
      <c r="O549" s="35" t="s">
        <v>5600</v>
      </c>
      <c r="P549" s="35" t="s">
        <v>5601</v>
      </c>
    </row>
    <row r="550" spans="1:16">
      <c r="A550" s="35">
        <v>1937</v>
      </c>
      <c r="B550" s="36" t="s">
        <v>2002</v>
      </c>
      <c r="C550">
        <f>VLOOKUP(A550,'TABELA SPOLINE'!A:J,10,FALSE)</f>
        <v>263.78100000000001</v>
      </c>
      <c r="D550">
        <f t="shared" ref="D550:D551" si="205">C550*0.1+C550</f>
        <v>290.15910000000002</v>
      </c>
      <c r="E550">
        <f t="shared" ref="E550:E551" si="206">ROUNDUP(D550,2)</f>
        <v>290.15999999999997</v>
      </c>
      <c r="F550">
        <f t="shared" ref="F550:F551" si="207">E550*0.0975+E550</f>
        <v>318.45059999999995</v>
      </c>
      <c r="G550">
        <f t="shared" ref="G550:G551" si="208">ROUNDUP(F550,2)</f>
        <v>318.45999999999998</v>
      </c>
      <c r="H550">
        <v>811</v>
      </c>
      <c r="I550">
        <v>60</v>
      </c>
      <c r="J550" s="35" t="s">
        <v>3387</v>
      </c>
      <c r="K550" t="str">
        <f t="shared" si="192"/>
        <v>1937</v>
      </c>
      <c r="L550" s="36" t="s">
        <v>4611</v>
      </c>
      <c r="M550" s="35">
        <v>7629</v>
      </c>
      <c r="N550" s="36" t="s">
        <v>5269</v>
      </c>
      <c r="O550" s="35" t="s">
        <v>5602</v>
      </c>
      <c r="P550" s="35" t="s">
        <v>5603</v>
      </c>
    </row>
    <row r="551" spans="1:16">
      <c r="A551" s="35">
        <v>1942</v>
      </c>
      <c r="B551" s="36" t="s">
        <v>1750</v>
      </c>
      <c r="C551">
        <f>VLOOKUP(A551,'TABELA SPOLINE'!A:J,10,FALSE)</f>
        <v>76.797000000000011</v>
      </c>
      <c r="D551">
        <f t="shared" si="205"/>
        <v>84.476700000000008</v>
      </c>
      <c r="E551">
        <f t="shared" si="206"/>
        <v>84.48</v>
      </c>
      <c r="F551">
        <f t="shared" si="207"/>
        <v>92.716800000000006</v>
      </c>
      <c r="G551">
        <f t="shared" si="208"/>
        <v>92.72</v>
      </c>
      <c r="H551">
        <v>499</v>
      </c>
      <c r="I551">
        <v>1</v>
      </c>
      <c r="J551" s="35" t="s">
        <v>3137</v>
      </c>
      <c r="K551" t="str">
        <f t="shared" si="192"/>
        <v>1942</v>
      </c>
      <c r="L551" s="36" t="s">
        <v>4612</v>
      </c>
      <c r="M551" s="35">
        <v>7629</v>
      </c>
      <c r="N551" s="36" t="s">
        <v>5269</v>
      </c>
      <c r="O551" s="35" t="s">
        <v>5600</v>
      </c>
      <c r="P551" s="35" t="s">
        <v>5601</v>
      </c>
    </row>
    <row r="552" spans="1:16" hidden="1">
      <c r="A552" s="35">
        <v>1944</v>
      </c>
      <c r="B552" s="36" t="s">
        <v>1982</v>
      </c>
      <c r="C552" t="e">
        <f>VLOOKUP(A552,'TABELA SPOLINE'!A:J,10,FALSE)</f>
        <v>#N/A</v>
      </c>
      <c r="H552">
        <v>807</v>
      </c>
      <c r="I552">
        <v>4</v>
      </c>
      <c r="J552" s="35" t="s">
        <v>3367</v>
      </c>
      <c r="K552" t="str">
        <f t="shared" si="192"/>
        <v>1944</v>
      </c>
      <c r="L552" s="36" t="s">
        <v>4613</v>
      </c>
      <c r="M552" s="35">
        <v>7629</v>
      </c>
      <c r="N552" s="36" t="s">
        <v>5269</v>
      </c>
      <c r="O552" s="35" t="s">
        <v>5600</v>
      </c>
      <c r="P552" s="35" t="s">
        <v>5601</v>
      </c>
    </row>
    <row r="553" spans="1:16">
      <c r="A553" s="35">
        <v>1945</v>
      </c>
      <c r="B553" s="36" t="s">
        <v>2204</v>
      </c>
      <c r="C553">
        <f>VLOOKUP(A553,'TABELA SPOLINE'!A:J,10,FALSE)</f>
        <v>110.18700000000001</v>
      </c>
      <c r="D553">
        <f>C553*0.1+C553</f>
        <v>121.20570000000001</v>
      </c>
      <c r="E553">
        <f>ROUNDUP(D553,2)</f>
        <v>121.21000000000001</v>
      </c>
      <c r="F553">
        <f>E553*0.0975+E553</f>
        <v>133.027975</v>
      </c>
      <c r="G553">
        <f>ROUNDUP(F553,2)</f>
        <v>133.03</v>
      </c>
      <c r="H553">
        <v>817</v>
      </c>
      <c r="I553">
        <v>1</v>
      </c>
      <c r="J553" s="35" t="s">
        <v>3589</v>
      </c>
      <c r="K553" t="str">
        <f t="shared" si="192"/>
        <v>1945</v>
      </c>
      <c r="L553" s="36" t="s">
        <v>4614</v>
      </c>
      <c r="M553" s="35">
        <v>7629</v>
      </c>
      <c r="N553" s="36" t="s">
        <v>5269</v>
      </c>
      <c r="O553" s="35" t="s">
        <v>5602</v>
      </c>
      <c r="P553" s="35" t="s">
        <v>5603</v>
      </c>
    </row>
    <row r="554" spans="1:16" hidden="1">
      <c r="A554" s="35">
        <v>1948</v>
      </c>
      <c r="B554" s="36" t="s">
        <v>1877</v>
      </c>
      <c r="C554" t="e">
        <f>VLOOKUP(A554,'TABELA SPOLINE'!A:J,10,FALSE)</f>
        <v>#N/A</v>
      </c>
      <c r="H554">
        <v>782</v>
      </c>
      <c r="I554">
        <v>20</v>
      </c>
      <c r="J554" s="35" t="s">
        <v>3262</v>
      </c>
      <c r="K554" t="str">
        <f t="shared" si="192"/>
        <v>1948</v>
      </c>
      <c r="L554" s="36" t="s">
        <v>4615</v>
      </c>
      <c r="M554" s="35">
        <v>7629</v>
      </c>
      <c r="N554" s="36" t="s">
        <v>5269</v>
      </c>
      <c r="O554" s="35" t="s">
        <v>5600</v>
      </c>
      <c r="P554" s="35" t="s">
        <v>5601</v>
      </c>
    </row>
    <row r="555" spans="1:16" hidden="1">
      <c r="A555" s="35">
        <v>1949</v>
      </c>
      <c r="B555" s="36" t="s">
        <v>2235</v>
      </c>
      <c r="C555" t="e">
        <f>VLOOKUP(A555,'TABELA SPOLINE'!A:J,10,FALSE)</f>
        <v>#N/A</v>
      </c>
      <c r="H555">
        <v>822</v>
      </c>
      <c r="I555">
        <v>2</v>
      </c>
      <c r="J555" s="35" t="s">
        <v>3620</v>
      </c>
      <c r="K555" t="str">
        <f t="shared" si="192"/>
        <v>1949</v>
      </c>
      <c r="L555" s="36" t="s">
        <v>4616</v>
      </c>
      <c r="M555" s="35">
        <v>7629</v>
      </c>
      <c r="N555" s="36" t="s">
        <v>5269</v>
      </c>
      <c r="O555" s="35" t="s">
        <v>5600</v>
      </c>
      <c r="P555" s="35" t="s">
        <v>5601</v>
      </c>
    </row>
    <row r="556" spans="1:16">
      <c r="A556" s="35">
        <v>1951</v>
      </c>
      <c r="B556" s="36" t="s">
        <v>2205</v>
      </c>
      <c r="C556">
        <f>VLOOKUP(A556,'TABELA SPOLINE'!A:J,10,FALSE)</f>
        <v>110.18700000000001</v>
      </c>
      <c r="D556">
        <f>C556*0.1+C556</f>
        <v>121.20570000000001</v>
      </c>
      <c r="E556">
        <f>ROUNDUP(D556,2)</f>
        <v>121.21000000000001</v>
      </c>
      <c r="F556">
        <f>E556*0.0975+E556</f>
        <v>133.027975</v>
      </c>
      <c r="G556">
        <f>ROUNDUP(F556,2)</f>
        <v>133.03</v>
      </c>
      <c r="H556">
        <v>817</v>
      </c>
      <c r="I556">
        <v>1</v>
      </c>
      <c r="J556" s="35" t="s">
        <v>3590</v>
      </c>
      <c r="K556" t="str">
        <f t="shared" si="192"/>
        <v>1951</v>
      </c>
      <c r="L556" s="36" t="s">
        <v>4617</v>
      </c>
      <c r="M556" s="35">
        <v>7629</v>
      </c>
      <c r="N556" s="36" t="s">
        <v>5269</v>
      </c>
      <c r="O556" s="35" t="s">
        <v>5600</v>
      </c>
      <c r="P556" s="35" t="s">
        <v>5601</v>
      </c>
    </row>
    <row r="557" spans="1:16" hidden="1">
      <c r="A557" s="35">
        <v>1969</v>
      </c>
      <c r="B557" s="36" t="s">
        <v>1883</v>
      </c>
      <c r="C557" t="e">
        <f>VLOOKUP(A557,'TABELA SPOLINE'!A:J,10,FALSE)</f>
        <v>#N/A</v>
      </c>
      <c r="H557">
        <v>782</v>
      </c>
      <c r="I557">
        <v>25</v>
      </c>
      <c r="J557" s="35" t="s">
        <v>3268</v>
      </c>
      <c r="K557" t="str">
        <f t="shared" si="192"/>
        <v>1969</v>
      </c>
      <c r="L557" s="36" t="s">
        <v>4618</v>
      </c>
      <c r="M557" s="35">
        <v>7629</v>
      </c>
      <c r="N557" s="36" t="s">
        <v>5269</v>
      </c>
      <c r="O557" s="35" t="s">
        <v>5600</v>
      </c>
      <c r="P557" s="35" t="s">
        <v>5601</v>
      </c>
    </row>
    <row r="558" spans="1:16" hidden="1">
      <c r="A558" s="35">
        <v>1993</v>
      </c>
      <c r="B558" s="36" t="s">
        <v>2341</v>
      </c>
      <c r="C558" t="e">
        <f>VLOOKUP(A558,'TABELA SPOLINE'!A:J,10,FALSE)</f>
        <v>#N/A</v>
      </c>
      <c r="H558">
        <v>831</v>
      </c>
      <c r="I558">
        <v>60</v>
      </c>
      <c r="J558" s="35" t="s">
        <v>3726</v>
      </c>
      <c r="K558" t="str">
        <f t="shared" si="192"/>
        <v>1993</v>
      </c>
      <c r="L558" s="36" t="s">
        <v>4619</v>
      </c>
      <c r="M558" s="35">
        <v>7629</v>
      </c>
      <c r="N558" s="36" t="s">
        <v>5269</v>
      </c>
      <c r="O558" s="35" t="s">
        <v>5604</v>
      </c>
      <c r="P558" s="35" t="s">
        <v>5605</v>
      </c>
    </row>
    <row r="559" spans="1:16" hidden="1">
      <c r="A559" s="35">
        <v>1994</v>
      </c>
      <c r="B559" s="36" t="s">
        <v>2080</v>
      </c>
      <c r="C559" t="e">
        <f>VLOOKUP(A559,'TABELA SPOLINE'!A:J,10,FALSE)</f>
        <v>#N/A</v>
      </c>
      <c r="H559">
        <v>709</v>
      </c>
      <c r="I559">
        <v>1</v>
      </c>
      <c r="J559" s="35" t="s">
        <v>3465</v>
      </c>
      <c r="K559" t="str">
        <f t="shared" si="192"/>
        <v>1994</v>
      </c>
      <c r="L559" s="36" t="s">
        <v>4620</v>
      </c>
      <c r="M559" s="35">
        <v>7629</v>
      </c>
      <c r="N559" s="36" t="s">
        <v>5269</v>
      </c>
      <c r="O559" s="35" t="s">
        <v>5472</v>
      </c>
      <c r="P559" s="35" t="s">
        <v>5473</v>
      </c>
    </row>
    <row r="560" spans="1:16" hidden="1">
      <c r="A560" s="35">
        <v>2003</v>
      </c>
      <c r="B560" s="36" t="s">
        <v>2127</v>
      </c>
      <c r="C560" t="e">
        <f>VLOOKUP(A560,'TABELA SPOLINE'!A:J,10,FALSE)</f>
        <v>#N/A</v>
      </c>
      <c r="H560">
        <v>787</v>
      </c>
      <c r="I560">
        <v>2</v>
      </c>
      <c r="J560" s="35" t="s">
        <v>3512</v>
      </c>
      <c r="K560" t="str">
        <f t="shared" si="192"/>
        <v>2003</v>
      </c>
      <c r="L560" s="36" t="s">
        <v>4621</v>
      </c>
      <c r="M560" s="35">
        <v>7629</v>
      </c>
      <c r="N560" s="36" t="s">
        <v>5269</v>
      </c>
      <c r="O560" s="35" t="s">
        <v>5606</v>
      </c>
      <c r="P560" s="35" t="s">
        <v>5607</v>
      </c>
    </row>
    <row r="561" spans="1:16">
      <c r="A561" s="35">
        <v>2014</v>
      </c>
      <c r="B561" s="36" t="s">
        <v>2304</v>
      </c>
      <c r="C561">
        <f>VLOOKUP(A561,'TABELA SPOLINE'!A:J,10,FALSE)</f>
        <v>195.88800000000003</v>
      </c>
      <c r="D561">
        <f t="shared" ref="D561:D570" si="209">C561*0.1+C561</f>
        <v>215.47680000000003</v>
      </c>
      <c r="E561">
        <f t="shared" ref="E561:E570" si="210">ROUNDUP(D561,2)</f>
        <v>215.48</v>
      </c>
      <c r="F561">
        <f t="shared" ref="F561:F570" si="211">E561*0.0975+E561</f>
        <v>236.48929999999999</v>
      </c>
      <c r="G561">
        <f t="shared" ref="G561:G570" si="212">ROUNDUP(F561,2)</f>
        <v>236.48999999999998</v>
      </c>
      <c r="H561">
        <v>646</v>
      </c>
      <c r="I561">
        <v>1</v>
      </c>
      <c r="J561" s="35" t="s">
        <v>3689</v>
      </c>
      <c r="K561" t="str">
        <f t="shared" si="192"/>
        <v>2014</v>
      </c>
      <c r="L561" s="36" t="s">
        <v>4622</v>
      </c>
      <c r="M561" s="35">
        <v>7629</v>
      </c>
      <c r="N561" s="36" t="s">
        <v>5269</v>
      </c>
      <c r="O561" s="35" t="s">
        <v>5470</v>
      </c>
      <c r="P561" s="35" t="s">
        <v>5471</v>
      </c>
    </row>
    <row r="562" spans="1:16">
      <c r="A562" s="35">
        <v>2019</v>
      </c>
      <c r="B562" s="36" t="s">
        <v>2018</v>
      </c>
      <c r="C562">
        <f>VLOOKUP(A562,'TABELA SPOLINE'!A:J,10,FALSE)</f>
        <v>366.17700000000002</v>
      </c>
      <c r="D562">
        <f t="shared" si="209"/>
        <v>402.79470000000003</v>
      </c>
      <c r="E562">
        <f t="shared" si="210"/>
        <v>402.8</v>
      </c>
      <c r="F562">
        <f t="shared" si="211"/>
        <v>442.07300000000004</v>
      </c>
      <c r="G562">
        <f t="shared" si="212"/>
        <v>442.08</v>
      </c>
      <c r="H562">
        <v>814</v>
      </c>
      <c r="I562">
        <v>120</v>
      </c>
      <c r="J562" s="35" t="s">
        <v>3403</v>
      </c>
      <c r="K562" t="str">
        <f t="shared" si="192"/>
        <v>2019</v>
      </c>
      <c r="L562" s="36" t="s">
        <v>4623</v>
      </c>
      <c r="M562" s="35">
        <v>7629</v>
      </c>
      <c r="N562" s="36" t="s">
        <v>5269</v>
      </c>
      <c r="O562" s="35" t="s">
        <v>5470</v>
      </c>
      <c r="P562" s="35" t="s">
        <v>5471</v>
      </c>
    </row>
    <row r="563" spans="1:16">
      <c r="A563" s="35">
        <v>2022</v>
      </c>
      <c r="B563" s="36" t="s">
        <v>1896</v>
      </c>
      <c r="C563">
        <f>VLOOKUP(A563,'TABELA SPOLINE'!A:J,10,FALSE)</f>
        <v>192.32640000000001</v>
      </c>
      <c r="D563">
        <f t="shared" si="209"/>
        <v>211.55904000000001</v>
      </c>
      <c r="E563">
        <f t="shared" si="210"/>
        <v>211.56</v>
      </c>
      <c r="F563">
        <f t="shared" si="211"/>
        <v>232.18710000000002</v>
      </c>
      <c r="G563">
        <f t="shared" si="212"/>
        <v>232.19</v>
      </c>
      <c r="H563">
        <v>786</v>
      </c>
      <c r="I563">
        <v>1</v>
      </c>
      <c r="J563" s="35" t="s">
        <v>3281</v>
      </c>
      <c r="K563" t="str">
        <f t="shared" si="192"/>
        <v>2022</v>
      </c>
      <c r="L563" s="36" t="s">
        <v>4624</v>
      </c>
      <c r="M563" s="35">
        <v>7629</v>
      </c>
      <c r="N563" s="36" t="s">
        <v>5269</v>
      </c>
      <c r="O563" s="35" t="s">
        <v>5604</v>
      </c>
      <c r="P563" s="35" t="s">
        <v>5605</v>
      </c>
    </row>
    <row r="564" spans="1:16">
      <c r="A564" s="35">
        <v>2025</v>
      </c>
      <c r="B564" s="36" t="s">
        <v>2003</v>
      </c>
      <c r="C564">
        <f>VLOOKUP(A564,'TABELA SPOLINE'!A:J,10,FALSE)</f>
        <v>263.78100000000001</v>
      </c>
      <c r="D564">
        <f t="shared" si="209"/>
        <v>290.15910000000002</v>
      </c>
      <c r="E564">
        <f t="shared" si="210"/>
        <v>290.15999999999997</v>
      </c>
      <c r="F564">
        <f t="shared" si="211"/>
        <v>318.45059999999995</v>
      </c>
      <c r="G564">
        <f t="shared" si="212"/>
        <v>318.45999999999998</v>
      </c>
      <c r="H564">
        <v>811</v>
      </c>
      <c r="I564">
        <v>120</v>
      </c>
      <c r="J564" s="35" t="s">
        <v>3388</v>
      </c>
      <c r="K564" t="str">
        <f t="shared" si="192"/>
        <v>2025</v>
      </c>
      <c r="L564" s="36" t="s">
        <v>4625</v>
      </c>
      <c r="M564" s="35">
        <v>7629</v>
      </c>
      <c r="N564" s="36" t="s">
        <v>5269</v>
      </c>
      <c r="O564" s="35" t="s">
        <v>5472</v>
      </c>
      <c r="P564" s="35" t="s">
        <v>5473</v>
      </c>
    </row>
    <row r="565" spans="1:16">
      <c r="A565" s="35">
        <v>2028</v>
      </c>
      <c r="B565" s="36" t="s">
        <v>2299</v>
      </c>
      <c r="C565">
        <f>VLOOKUP(A565,'TABELA SPOLINE'!A:J,10,FALSE)</f>
        <v>244.86</v>
      </c>
      <c r="D565">
        <f t="shared" si="209"/>
        <v>269.346</v>
      </c>
      <c r="E565">
        <f t="shared" si="210"/>
        <v>269.34999999999997</v>
      </c>
      <c r="F565">
        <f t="shared" si="211"/>
        <v>295.61162499999995</v>
      </c>
      <c r="G565">
        <f t="shared" si="212"/>
        <v>295.62</v>
      </c>
      <c r="H565">
        <v>449</v>
      </c>
      <c r="I565">
        <v>1</v>
      </c>
      <c r="J565" s="35" t="s">
        <v>3684</v>
      </c>
      <c r="K565" t="str">
        <f t="shared" si="192"/>
        <v>2028</v>
      </c>
      <c r="L565" s="36" t="s">
        <v>4626</v>
      </c>
      <c r="M565" s="35">
        <v>7629</v>
      </c>
      <c r="N565" s="36" t="s">
        <v>5269</v>
      </c>
      <c r="O565" s="35" t="s">
        <v>5604</v>
      </c>
      <c r="P565" s="35" t="s">
        <v>5605</v>
      </c>
    </row>
    <row r="566" spans="1:16">
      <c r="A566" s="35">
        <v>2028</v>
      </c>
      <c r="B566" s="36" t="s">
        <v>2889</v>
      </c>
      <c r="C566">
        <f>VLOOKUP(A566,'TABELA SPOLINE'!A:J,10,FALSE)</f>
        <v>244.86</v>
      </c>
      <c r="D566">
        <f t="shared" si="209"/>
        <v>269.346</v>
      </c>
      <c r="E566">
        <f t="shared" si="210"/>
        <v>269.34999999999997</v>
      </c>
      <c r="F566">
        <f t="shared" si="211"/>
        <v>295.61162499999995</v>
      </c>
      <c r="G566">
        <f t="shared" si="212"/>
        <v>295.62</v>
      </c>
      <c r="J566" s="35" t="s">
        <v>2888</v>
      </c>
      <c r="K566" t="str">
        <f t="shared" si="192"/>
        <v>2028</v>
      </c>
      <c r="L566" s="36" t="s">
        <v>4627</v>
      </c>
      <c r="M566" s="35">
        <v>7629</v>
      </c>
      <c r="N566" s="36" t="s">
        <v>5269</v>
      </c>
      <c r="O566" s="35" t="s">
        <v>5470</v>
      </c>
      <c r="P566" s="35" t="s">
        <v>5471</v>
      </c>
    </row>
    <row r="567" spans="1:16">
      <c r="A567" s="35">
        <v>2028</v>
      </c>
      <c r="B567" s="36" t="s">
        <v>2890</v>
      </c>
      <c r="C567">
        <f>VLOOKUP(A567,'TABELA SPOLINE'!A:J,10,FALSE)</f>
        <v>244.86</v>
      </c>
      <c r="D567">
        <f t="shared" si="209"/>
        <v>269.346</v>
      </c>
      <c r="E567">
        <f t="shared" si="210"/>
        <v>269.34999999999997</v>
      </c>
      <c r="F567">
        <f t="shared" si="211"/>
        <v>295.61162499999995</v>
      </c>
      <c r="G567">
        <f t="shared" si="212"/>
        <v>295.62</v>
      </c>
      <c r="J567" s="35" t="s">
        <v>2888</v>
      </c>
      <c r="K567" t="str">
        <f t="shared" si="192"/>
        <v>2028</v>
      </c>
      <c r="L567" s="36" t="s">
        <v>4628</v>
      </c>
      <c r="M567" s="35">
        <v>7629</v>
      </c>
      <c r="N567" s="36" t="s">
        <v>5269</v>
      </c>
      <c r="O567" s="35" t="s">
        <v>5472</v>
      </c>
      <c r="P567" s="35" t="s">
        <v>5473</v>
      </c>
    </row>
    <row r="568" spans="1:16">
      <c r="A568" s="35">
        <v>2040</v>
      </c>
      <c r="B568" s="36" t="s">
        <v>2194</v>
      </c>
      <c r="C568">
        <f>VLOOKUP(A568,'TABELA SPOLINE'!A:J,10,FALSE)</f>
        <v>121.31700000000001</v>
      </c>
      <c r="D568">
        <f t="shared" si="209"/>
        <v>133.4487</v>
      </c>
      <c r="E568">
        <f t="shared" si="210"/>
        <v>133.44999999999999</v>
      </c>
      <c r="F568">
        <f t="shared" si="211"/>
        <v>146.46137499999998</v>
      </c>
      <c r="G568">
        <f t="shared" si="212"/>
        <v>146.47</v>
      </c>
      <c r="H568">
        <v>803</v>
      </c>
      <c r="I568">
        <v>1</v>
      </c>
      <c r="J568" s="35" t="s">
        <v>3579</v>
      </c>
      <c r="K568" t="str">
        <f t="shared" si="192"/>
        <v>2040</v>
      </c>
      <c r="L568" s="36" t="s">
        <v>4629</v>
      </c>
      <c r="M568" s="35">
        <v>7629</v>
      </c>
      <c r="N568" s="36" t="s">
        <v>5269</v>
      </c>
      <c r="O568" s="35" t="s">
        <v>5608</v>
      </c>
      <c r="P568" s="35" t="s">
        <v>5609</v>
      </c>
    </row>
    <row r="569" spans="1:16">
      <c r="A569" s="35">
        <v>2041</v>
      </c>
      <c r="B569" s="36" t="s">
        <v>1680</v>
      </c>
      <c r="C569">
        <f>VLOOKUP(A569,'TABELA SPOLINE'!A:J,10,FALSE)</f>
        <v>363.95100000000002</v>
      </c>
      <c r="D569">
        <f t="shared" si="209"/>
        <v>400.34610000000004</v>
      </c>
      <c r="E569">
        <f t="shared" si="210"/>
        <v>400.34999999999997</v>
      </c>
      <c r="F569">
        <f t="shared" si="211"/>
        <v>439.38412499999998</v>
      </c>
      <c r="G569">
        <f t="shared" si="212"/>
        <v>439.39</v>
      </c>
      <c r="H569">
        <v>812</v>
      </c>
      <c r="I569">
        <v>120</v>
      </c>
      <c r="J569" s="35" t="s">
        <v>3068</v>
      </c>
      <c r="K569" t="str">
        <f t="shared" si="192"/>
        <v>2041</v>
      </c>
      <c r="L569" s="36" t="s">
        <v>4630</v>
      </c>
      <c r="M569" s="35">
        <v>7629</v>
      </c>
      <c r="N569" s="36" t="s">
        <v>5269</v>
      </c>
      <c r="O569" s="35" t="s">
        <v>5608</v>
      </c>
      <c r="P569" s="35" t="s">
        <v>5609</v>
      </c>
    </row>
    <row r="570" spans="1:16">
      <c r="A570" s="35">
        <v>2050</v>
      </c>
      <c r="B570" s="36" t="s">
        <v>1771</v>
      </c>
      <c r="C570">
        <f>VLOOKUP(A570,'TABELA SPOLINE'!A:J,10,FALSE)</f>
        <v>76.797000000000011</v>
      </c>
      <c r="D570">
        <f t="shared" si="209"/>
        <v>84.476700000000008</v>
      </c>
      <c r="E570">
        <f t="shared" si="210"/>
        <v>84.48</v>
      </c>
      <c r="F570">
        <f t="shared" si="211"/>
        <v>92.716800000000006</v>
      </c>
      <c r="G570">
        <f t="shared" si="212"/>
        <v>92.72</v>
      </c>
      <c r="H570">
        <v>634</v>
      </c>
      <c r="I570">
        <v>1</v>
      </c>
      <c r="J570" s="35" t="s">
        <v>3158</v>
      </c>
      <c r="K570" t="str">
        <f t="shared" si="192"/>
        <v>2050</v>
      </c>
      <c r="L570" s="36" t="s">
        <v>4631</v>
      </c>
      <c r="M570" s="35">
        <v>7629</v>
      </c>
      <c r="N570" s="36" t="s">
        <v>5269</v>
      </c>
      <c r="O570" s="35" t="s">
        <v>5610</v>
      </c>
      <c r="P570" s="35" t="s">
        <v>5611</v>
      </c>
    </row>
    <row r="571" spans="1:16" hidden="1">
      <c r="A571" s="35">
        <v>2053</v>
      </c>
      <c r="B571" s="36" t="s">
        <v>2138</v>
      </c>
      <c r="C571" t="e">
        <f>VLOOKUP(A571,'TABELA SPOLINE'!A:J,10,FALSE)</f>
        <v>#N/A</v>
      </c>
      <c r="H571">
        <v>788</v>
      </c>
      <c r="I571">
        <v>3</v>
      </c>
      <c r="J571" s="35" t="s">
        <v>3523</v>
      </c>
      <c r="K571" t="str">
        <f t="shared" si="192"/>
        <v>2053</v>
      </c>
      <c r="L571" s="36" t="s">
        <v>4632</v>
      </c>
      <c r="M571" s="35">
        <v>7629</v>
      </c>
      <c r="N571" s="36" t="s">
        <v>5269</v>
      </c>
      <c r="O571" s="35" t="s">
        <v>5612</v>
      </c>
      <c r="P571" s="35" t="s">
        <v>5613</v>
      </c>
    </row>
    <row r="572" spans="1:16" hidden="1">
      <c r="A572" s="35">
        <v>2058</v>
      </c>
      <c r="B572" s="36" t="s">
        <v>2901</v>
      </c>
      <c r="C572" t="e">
        <f>VLOOKUP(A572,'TABELA SPOLINE'!A:J,10,FALSE)</f>
        <v>#N/A</v>
      </c>
      <c r="J572" s="35" t="s">
        <v>2900</v>
      </c>
      <c r="K572" t="str">
        <f t="shared" si="192"/>
        <v>2058</v>
      </c>
      <c r="L572" s="36" t="s">
        <v>4633</v>
      </c>
      <c r="M572" s="35">
        <v>7629</v>
      </c>
      <c r="N572" s="36" t="s">
        <v>5269</v>
      </c>
      <c r="O572" s="35" t="s">
        <v>5614</v>
      </c>
      <c r="P572" s="35" t="s">
        <v>5615</v>
      </c>
    </row>
    <row r="573" spans="1:16" hidden="1">
      <c r="A573" s="35">
        <v>2062</v>
      </c>
      <c r="B573" s="36" t="s">
        <v>2245</v>
      </c>
      <c r="C573" t="e">
        <f>VLOOKUP(A573,'TABELA SPOLINE'!A:J,10,FALSE)</f>
        <v>#N/A</v>
      </c>
      <c r="H573">
        <v>823</v>
      </c>
      <c r="I573">
        <v>60</v>
      </c>
      <c r="J573" s="35" t="s">
        <v>3630</v>
      </c>
      <c r="K573" t="str">
        <f t="shared" si="192"/>
        <v>2062</v>
      </c>
      <c r="L573" s="36" t="s">
        <v>4634</v>
      </c>
      <c r="M573" s="35">
        <v>7629</v>
      </c>
      <c r="N573" s="36" t="s">
        <v>5269</v>
      </c>
      <c r="O573" s="35" t="s">
        <v>5612</v>
      </c>
      <c r="P573" s="35" t="s">
        <v>5613</v>
      </c>
    </row>
    <row r="574" spans="1:16" hidden="1">
      <c r="A574" s="35">
        <v>2063</v>
      </c>
      <c r="B574" s="36" t="s">
        <v>2256</v>
      </c>
      <c r="C574" t="e">
        <f>VLOOKUP(A574,'TABELA SPOLINE'!A:J,10,FALSE)</f>
        <v>#N/A</v>
      </c>
      <c r="H574">
        <v>835</v>
      </c>
      <c r="I574">
        <v>1</v>
      </c>
      <c r="J574" s="35" t="s">
        <v>3641</v>
      </c>
      <c r="K574" t="str">
        <f t="shared" si="192"/>
        <v>2063</v>
      </c>
      <c r="L574" s="36" t="s">
        <v>4635</v>
      </c>
      <c r="M574" s="35">
        <v>7629</v>
      </c>
      <c r="N574" s="36" t="s">
        <v>5269</v>
      </c>
      <c r="O574" s="35" t="s">
        <v>5614</v>
      </c>
      <c r="P574" s="35" t="s">
        <v>5615</v>
      </c>
    </row>
    <row r="575" spans="1:16">
      <c r="A575" s="35">
        <v>2064</v>
      </c>
      <c r="B575" s="36" t="s">
        <v>2257</v>
      </c>
      <c r="C575">
        <f>VLOOKUP(A575,'TABELA SPOLINE'!A:J,10,FALSE)</f>
        <v>240.40800000000002</v>
      </c>
      <c r="D575">
        <f t="shared" ref="D575:D577" si="213">C575*0.1+C575</f>
        <v>264.44880000000001</v>
      </c>
      <c r="E575">
        <f t="shared" ref="E575:E577" si="214">ROUNDUP(D575,2)</f>
        <v>264.45</v>
      </c>
      <c r="F575">
        <f t="shared" ref="F575:F577" si="215">E575*0.0975+E575</f>
        <v>290.23387500000001</v>
      </c>
      <c r="G575">
        <f t="shared" ref="G575:G577" si="216">ROUNDUP(F575,2)</f>
        <v>290.24</v>
      </c>
      <c r="H575">
        <v>835</v>
      </c>
      <c r="I575">
        <v>1</v>
      </c>
      <c r="J575" s="35" t="s">
        <v>3642</v>
      </c>
      <c r="K575" t="str">
        <f t="shared" si="192"/>
        <v>2064</v>
      </c>
      <c r="L575" s="36" t="s">
        <v>4636</v>
      </c>
      <c r="M575" s="35">
        <v>7629</v>
      </c>
      <c r="N575" s="36" t="s">
        <v>5269</v>
      </c>
      <c r="O575" s="35" t="s">
        <v>5608</v>
      </c>
      <c r="P575" s="35" t="s">
        <v>5609</v>
      </c>
    </row>
    <row r="576" spans="1:16">
      <c r="A576" s="35">
        <v>2064</v>
      </c>
      <c r="B576" s="36" t="s">
        <v>2951</v>
      </c>
      <c r="C576">
        <f>VLOOKUP(A576,'TABELA SPOLINE'!A:J,10,FALSE)</f>
        <v>240.40800000000002</v>
      </c>
      <c r="D576">
        <f t="shared" si="213"/>
        <v>264.44880000000001</v>
      </c>
      <c r="E576">
        <f t="shared" si="214"/>
        <v>264.45</v>
      </c>
      <c r="F576">
        <f t="shared" si="215"/>
        <v>290.23387500000001</v>
      </c>
      <c r="G576">
        <f t="shared" si="216"/>
        <v>290.24</v>
      </c>
      <c r="J576" s="35" t="s">
        <v>2950</v>
      </c>
      <c r="K576" t="str">
        <f t="shared" si="192"/>
        <v>2064</v>
      </c>
      <c r="L576" s="36" t="s">
        <v>4637</v>
      </c>
      <c r="M576" s="35">
        <v>7629</v>
      </c>
      <c r="N576" s="36" t="s">
        <v>5269</v>
      </c>
      <c r="O576" s="35" t="s">
        <v>5616</v>
      </c>
      <c r="P576" s="35" t="s">
        <v>5617</v>
      </c>
    </row>
    <row r="577" spans="1:16">
      <c r="A577" s="35">
        <v>2064</v>
      </c>
      <c r="B577" s="36" t="s">
        <v>2954</v>
      </c>
      <c r="C577">
        <f>VLOOKUP(A577,'TABELA SPOLINE'!A:J,10,FALSE)</f>
        <v>240.40800000000002</v>
      </c>
      <c r="D577">
        <f t="shared" si="213"/>
        <v>264.44880000000001</v>
      </c>
      <c r="E577">
        <f t="shared" si="214"/>
        <v>264.45</v>
      </c>
      <c r="F577">
        <f t="shared" si="215"/>
        <v>290.23387500000001</v>
      </c>
      <c r="G577">
        <f t="shared" si="216"/>
        <v>290.24</v>
      </c>
      <c r="J577" s="35" t="s">
        <v>2950</v>
      </c>
      <c r="K577" t="str">
        <f t="shared" si="192"/>
        <v>2064</v>
      </c>
      <c r="L577" s="36" t="s">
        <v>4638</v>
      </c>
      <c r="M577" s="35">
        <v>7629</v>
      </c>
      <c r="N577" s="36" t="s">
        <v>5269</v>
      </c>
      <c r="O577" s="35" t="s">
        <v>5616</v>
      </c>
      <c r="P577" s="35" t="s">
        <v>5617</v>
      </c>
    </row>
    <row r="578" spans="1:16" hidden="1">
      <c r="A578" s="35">
        <v>2072</v>
      </c>
      <c r="B578" s="36" t="s">
        <v>2139</v>
      </c>
      <c r="C578" t="e">
        <f>VLOOKUP(A578,'TABELA SPOLINE'!A:J,10,FALSE)</f>
        <v>#N/A</v>
      </c>
      <c r="H578">
        <v>788</v>
      </c>
      <c r="I578">
        <v>3</v>
      </c>
      <c r="J578" s="35" t="s">
        <v>3524</v>
      </c>
      <c r="K578" t="str">
        <f t="shared" si="192"/>
        <v>2072</v>
      </c>
      <c r="L578" s="36" t="s">
        <v>4639</v>
      </c>
      <c r="M578" s="35">
        <v>7629</v>
      </c>
      <c r="N578" s="36" t="s">
        <v>5269</v>
      </c>
      <c r="O578" s="35" t="s">
        <v>5618</v>
      </c>
      <c r="P578" s="35" t="s">
        <v>5619</v>
      </c>
    </row>
    <row r="579" spans="1:16" hidden="1">
      <c r="A579" s="35">
        <v>2072</v>
      </c>
      <c r="B579" s="36" t="s">
        <v>2895</v>
      </c>
      <c r="C579" t="e">
        <f>VLOOKUP(A579,'TABELA SPOLINE'!A:J,10,FALSE)</f>
        <v>#N/A</v>
      </c>
      <c r="J579" s="35" t="s">
        <v>2894</v>
      </c>
      <c r="K579" t="str">
        <f t="shared" ref="K579:K642" si="217">TRIM(A579)</f>
        <v>2072</v>
      </c>
      <c r="L579" s="36" t="s">
        <v>4640</v>
      </c>
      <c r="M579" s="35">
        <v>7629</v>
      </c>
      <c r="N579" s="36" t="s">
        <v>5269</v>
      </c>
      <c r="O579" s="35" t="s">
        <v>5616</v>
      </c>
      <c r="P579" s="35" t="s">
        <v>5617</v>
      </c>
    </row>
    <row r="580" spans="1:16" hidden="1">
      <c r="A580" s="35">
        <v>2073</v>
      </c>
      <c r="B580" s="36" t="s">
        <v>2329</v>
      </c>
      <c r="C580" t="e">
        <f>VLOOKUP(A580,'TABELA SPOLINE'!A:J,10,FALSE)</f>
        <v>#N/A</v>
      </c>
      <c r="H580">
        <v>837</v>
      </c>
      <c r="I580">
        <v>1</v>
      </c>
      <c r="J580" s="35" t="s">
        <v>3714</v>
      </c>
      <c r="K580" t="str">
        <f t="shared" si="217"/>
        <v>2073</v>
      </c>
      <c r="L580" s="36" t="s">
        <v>4641</v>
      </c>
      <c r="M580" s="35">
        <v>7629</v>
      </c>
      <c r="N580" s="36" t="s">
        <v>5269</v>
      </c>
      <c r="O580" s="35" t="s">
        <v>5618</v>
      </c>
      <c r="P580" s="35" t="s">
        <v>5619</v>
      </c>
    </row>
    <row r="581" spans="1:16" hidden="1">
      <c r="A581" s="35">
        <v>2075</v>
      </c>
      <c r="B581" s="36" t="s">
        <v>2897</v>
      </c>
      <c r="C581" t="e">
        <f>VLOOKUP(A581,'TABELA SPOLINE'!A:J,10,FALSE)</f>
        <v>#N/A</v>
      </c>
      <c r="J581" s="35" t="s">
        <v>2896</v>
      </c>
      <c r="K581" t="str">
        <f t="shared" si="217"/>
        <v>2075</v>
      </c>
      <c r="L581" s="36" t="s">
        <v>4642</v>
      </c>
      <c r="M581" s="35">
        <v>7629</v>
      </c>
      <c r="N581" s="36" t="s">
        <v>5269</v>
      </c>
      <c r="O581" s="35" t="s">
        <v>5616</v>
      </c>
      <c r="P581" s="35" t="s">
        <v>5617</v>
      </c>
    </row>
    <row r="582" spans="1:16" hidden="1">
      <c r="A582" s="35">
        <v>2076</v>
      </c>
      <c r="B582" s="36" t="s">
        <v>2128</v>
      </c>
      <c r="C582" t="e">
        <f>VLOOKUP(A582,'TABELA SPOLINE'!A:J,10,FALSE)</f>
        <v>#N/A</v>
      </c>
      <c r="H582">
        <v>787</v>
      </c>
      <c r="I582">
        <v>2</v>
      </c>
      <c r="J582" s="35" t="s">
        <v>3513</v>
      </c>
      <c r="K582" t="str">
        <f t="shared" si="217"/>
        <v>2076</v>
      </c>
      <c r="L582" s="36" t="s">
        <v>4643</v>
      </c>
      <c r="M582" s="35">
        <v>7629</v>
      </c>
      <c r="N582" s="36" t="s">
        <v>5269</v>
      </c>
      <c r="O582" s="35" t="s">
        <v>5618</v>
      </c>
      <c r="P582" s="35" t="s">
        <v>5619</v>
      </c>
    </row>
    <row r="583" spans="1:16" hidden="1">
      <c r="A583" s="35">
        <v>2076</v>
      </c>
      <c r="B583" s="36" t="s">
        <v>2899</v>
      </c>
      <c r="C583" t="e">
        <f>VLOOKUP(A583,'TABELA SPOLINE'!A:J,10,FALSE)</f>
        <v>#N/A</v>
      </c>
      <c r="J583" s="35" t="s">
        <v>2898</v>
      </c>
      <c r="K583" t="str">
        <f t="shared" si="217"/>
        <v>2076</v>
      </c>
      <c r="L583" s="36" t="s">
        <v>4644</v>
      </c>
      <c r="M583" s="35">
        <v>7629</v>
      </c>
      <c r="N583" s="36" t="s">
        <v>5269</v>
      </c>
      <c r="O583" s="35" t="s">
        <v>5618</v>
      </c>
      <c r="P583" s="35" t="s">
        <v>5619</v>
      </c>
    </row>
    <row r="584" spans="1:16">
      <c r="A584" s="35">
        <v>2079</v>
      </c>
      <c r="B584" s="36" t="s">
        <v>2305</v>
      </c>
      <c r="C584">
        <f>VLOOKUP(A584,'TABELA SPOLINE'!A:J,10,FALSE)</f>
        <v>195.88800000000003</v>
      </c>
      <c r="D584">
        <f>C584*0.1+C584</f>
        <v>215.47680000000003</v>
      </c>
      <c r="E584">
        <f>ROUNDUP(D584,2)</f>
        <v>215.48</v>
      </c>
      <c r="F584">
        <f>E584*0.0975+E584</f>
        <v>236.48929999999999</v>
      </c>
      <c r="G584">
        <f>ROUNDUP(F584,2)</f>
        <v>236.48999999999998</v>
      </c>
      <c r="H584">
        <v>646</v>
      </c>
      <c r="I584">
        <v>1</v>
      </c>
      <c r="J584" s="35" t="s">
        <v>3690</v>
      </c>
      <c r="K584" t="str">
        <f t="shared" si="217"/>
        <v>2079</v>
      </c>
      <c r="L584" s="36" t="s">
        <v>4645</v>
      </c>
      <c r="M584" s="35">
        <v>7629</v>
      </c>
      <c r="N584" s="36" t="s">
        <v>5269</v>
      </c>
      <c r="O584" s="35" t="s">
        <v>5618</v>
      </c>
      <c r="P584" s="35" t="s">
        <v>5619</v>
      </c>
    </row>
    <row r="585" spans="1:16" hidden="1">
      <c r="A585" s="35">
        <v>2082</v>
      </c>
      <c r="B585" s="36" t="s">
        <v>1756</v>
      </c>
      <c r="C585" t="e">
        <f>VLOOKUP(A585,'TABELA SPOLINE'!A:J,10,FALSE)</f>
        <v>#N/A</v>
      </c>
      <c r="H585">
        <v>633</v>
      </c>
      <c r="I585">
        <v>1</v>
      </c>
      <c r="J585" s="35" t="s">
        <v>3143</v>
      </c>
      <c r="K585" t="str">
        <f t="shared" si="217"/>
        <v>2082</v>
      </c>
      <c r="L585" s="36" t="s">
        <v>4646</v>
      </c>
      <c r="M585" s="35">
        <v>7629</v>
      </c>
      <c r="N585" s="36" t="s">
        <v>5269</v>
      </c>
      <c r="O585" s="35" t="s">
        <v>5620</v>
      </c>
      <c r="P585" s="35" t="s">
        <v>5621</v>
      </c>
    </row>
    <row r="586" spans="1:16" hidden="1">
      <c r="A586" s="35">
        <v>2088</v>
      </c>
      <c r="B586" s="36" t="s">
        <v>2113</v>
      </c>
      <c r="C586" t="e">
        <f>VLOOKUP(A586,'TABELA SPOLINE'!A:J,10,FALSE)</f>
        <v>#N/A</v>
      </c>
      <c r="H586">
        <v>761</v>
      </c>
      <c r="I586">
        <v>1</v>
      </c>
      <c r="J586" s="35" t="s">
        <v>3498</v>
      </c>
      <c r="K586" t="str">
        <f t="shared" si="217"/>
        <v>2088</v>
      </c>
      <c r="L586" s="36" t="s">
        <v>4647</v>
      </c>
      <c r="M586" s="35">
        <v>7629</v>
      </c>
      <c r="N586" s="36" t="s">
        <v>5269</v>
      </c>
      <c r="O586" s="35" t="s">
        <v>5622</v>
      </c>
      <c r="P586" s="35" t="s">
        <v>5623</v>
      </c>
    </row>
    <row r="587" spans="1:16" hidden="1">
      <c r="A587" s="35">
        <v>2091</v>
      </c>
      <c r="B587" s="36" t="s">
        <v>2258</v>
      </c>
      <c r="C587" t="e">
        <f>VLOOKUP(A587,'TABELA SPOLINE'!A:J,10,FALSE)</f>
        <v>#N/A</v>
      </c>
      <c r="H587">
        <v>835</v>
      </c>
      <c r="I587">
        <v>1</v>
      </c>
      <c r="J587" s="35" t="s">
        <v>3643</v>
      </c>
      <c r="K587" t="str">
        <f t="shared" si="217"/>
        <v>2091</v>
      </c>
      <c r="L587" s="36" t="s">
        <v>4648</v>
      </c>
      <c r="M587" s="35">
        <v>7629</v>
      </c>
      <c r="N587" s="36" t="s">
        <v>5269</v>
      </c>
      <c r="O587" s="35" t="s">
        <v>5624</v>
      </c>
      <c r="P587" s="35" t="s">
        <v>5625</v>
      </c>
    </row>
    <row r="588" spans="1:16" hidden="1">
      <c r="A588" s="35">
        <v>2109</v>
      </c>
      <c r="B588" s="36" t="s">
        <v>2259</v>
      </c>
      <c r="C588" t="e">
        <f>VLOOKUP(A588,'TABELA SPOLINE'!A:J,10,FALSE)</f>
        <v>#N/A</v>
      </c>
      <c r="H588">
        <v>835</v>
      </c>
      <c r="I588">
        <v>1</v>
      </c>
      <c r="J588" s="35" t="s">
        <v>3644</v>
      </c>
      <c r="K588" t="str">
        <f t="shared" si="217"/>
        <v>2109</v>
      </c>
      <c r="L588" s="36" t="s">
        <v>4649</v>
      </c>
      <c r="M588" s="35">
        <v>7629</v>
      </c>
      <c r="N588" s="36" t="s">
        <v>5269</v>
      </c>
      <c r="O588" s="35" t="s">
        <v>5620</v>
      </c>
      <c r="P588" s="35" t="s">
        <v>5621</v>
      </c>
    </row>
    <row r="589" spans="1:16">
      <c r="A589" s="35">
        <v>2111</v>
      </c>
      <c r="B589" s="36" t="s">
        <v>1684</v>
      </c>
      <c r="C589">
        <f>VLOOKUP(A589,'TABELA SPOLINE'!A:J,10,FALSE)</f>
        <v>363.95100000000002</v>
      </c>
      <c r="D589">
        <f>C589*0.1+C589</f>
        <v>400.34610000000004</v>
      </c>
      <c r="E589">
        <f>ROUNDUP(D589,2)</f>
        <v>400.34999999999997</v>
      </c>
      <c r="F589">
        <f>E589*0.0975+E589</f>
        <v>439.38412499999998</v>
      </c>
      <c r="G589">
        <f>ROUNDUP(F589,2)</f>
        <v>439.39</v>
      </c>
      <c r="H589">
        <v>812</v>
      </c>
      <c r="I589">
        <v>120</v>
      </c>
      <c r="J589" s="35" t="s">
        <v>3072</v>
      </c>
      <c r="K589" t="str">
        <f t="shared" si="217"/>
        <v>2111</v>
      </c>
      <c r="L589" s="36" t="s">
        <v>4650</v>
      </c>
      <c r="M589" s="35">
        <v>7629</v>
      </c>
      <c r="N589" s="36" t="s">
        <v>5269</v>
      </c>
      <c r="O589" s="35" t="s">
        <v>5626</v>
      </c>
      <c r="P589" s="35" t="s">
        <v>5627</v>
      </c>
    </row>
    <row r="590" spans="1:16" hidden="1">
      <c r="A590" s="35">
        <v>2115</v>
      </c>
      <c r="B590" s="36" t="s">
        <v>2180</v>
      </c>
      <c r="C590" t="e">
        <f>VLOOKUP(A590,'TABELA SPOLINE'!A:J,10,FALSE)</f>
        <v>#N/A</v>
      </c>
      <c r="H590">
        <v>794</v>
      </c>
      <c r="I590">
        <v>1</v>
      </c>
      <c r="J590" s="35" t="s">
        <v>3565</v>
      </c>
      <c r="K590" t="str">
        <f t="shared" si="217"/>
        <v>2115</v>
      </c>
      <c r="L590" s="36" t="s">
        <v>4651</v>
      </c>
      <c r="M590" s="35">
        <v>7629</v>
      </c>
      <c r="N590" s="36" t="s">
        <v>5269</v>
      </c>
      <c r="O590" s="35" t="s">
        <v>5620</v>
      </c>
      <c r="P590" s="35" t="s">
        <v>5621</v>
      </c>
    </row>
    <row r="591" spans="1:16" hidden="1">
      <c r="A591" s="35">
        <v>2120</v>
      </c>
      <c r="B591" s="36" t="s">
        <v>2151</v>
      </c>
      <c r="C591" t="e">
        <f>VLOOKUP(A591,'TABELA SPOLINE'!A:J,10,FALSE)</f>
        <v>#N/A</v>
      </c>
      <c r="H591">
        <v>790</v>
      </c>
      <c r="I591">
        <v>1</v>
      </c>
      <c r="J591" s="35" t="s">
        <v>3536</v>
      </c>
      <c r="K591" t="str">
        <f t="shared" si="217"/>
        <v>2120</v>
      </c>
      <c r="L591" s="36" t="s">
        <v>4652</v>
      </c>
      <c r="M591" s="35">
        <v>7629</v>
      </c>
      <c r="N591" s="36" t="s">
        <v>5269</v>
      </c>
      <c r="O591" s="35" t="s">
        <v>5622</v>
      </c>
      <c r="P591" s="35" t="s">
        <v>5623</v>
      </c>
    </row>
    <row r="592" spans="1:16" hidden="1">
      <c r="A592" s="35">
        <v>2121</v>
      </c>
      <c r="B592" s="36" t="s">
        <v>2152</v>
      </c>
      <c r="C592" t="e">
        <f>VLOOKUP(A592,'TABELA SPOLINE'!A:J,10,FALSE)</f>
        <v>#N/A</v>
      </c>
      <c r="H592">
        <v>790</v>
      </c>
      <c r="I592">
        <v>1</v>
      </c>
      <c r="J592" s="35" t="s">
        <v>3537</v>
      </c>
      <c r="K592" t="str">
        <f t="shared" si="217"/>
        <v>2121</v>
      </c>
      <c r="L592" s="36" t="s">
        <v>4652</v>
      </c>
      <c r="M592" s="35">
        <v>7629</v>
      </c>
      <c r="N592" s="36" t="s">
        <v>5269</v>
      </c>
      <c r="O592" s="35" t="s">
        <v>5620</v>
      </c>
      <c r="P592" s="35" t="s">
        <v>5621</v>
      </c>
    </row>
    <row r="593" spans="1:16">
      <c r="A593" s="35">
        <v>2124</v>
      </c>
      <c r="B593" s="36" t="s">
        <v>2047</v>
      </c>
      <c r="C593">
        <f>VLOOKUP(A593,'TABELA SPOLINE'!A:J,10,FALSE)</f>
        <v>495.28500000000003</v>
      </c>
      <c r="D593">
        <f t="shared" ref="D593:D597" si="218">C593*0.1+C593</f>
        <v>544.81349999999998</v>
      </c>
      <c r="E593">
        <f t="shared" ref="E593:E597" si="219">ROUNDUP(D593,2)</f>
        <v>544.81999999999994</v>
      </c>
      <c r="F593">
        <f t="shared" ref="F593:F597" si="220">E593*0.0975+E593</f>
        <v>597.93994999999995</v>
      </c>
      <c r="G593">
        <f t="shared" ref="G593:G597" si="221">ROUNDUP(F593,2)</f>
        <v>597.93999999999994</v>
      </c>
      <c r="H593">
        <v>830</v>
      </c>
      <c r="I593">
        <v>1</v>
      </c>
      <c r="J593" s="35" t="s">
        <v>3432</v>
      </c>
      <c r="K593" t="str">
        <f t="shared" si="217"/>
        <v>2124</v>
      </c>
      <c r="L593" s="36" t="s">
        <v>4652</v>
      </c>
      <c r="M593" s="35">
        <v>7629</v>
      </c>
      <c r="N593" s="36" t="s">
        <v>5269</v>
      </c>
      <c r="O593" s="35" t="s">
        <v>5622</v>
      </c>
      <c r="P593" s="35" t="s">
        <v>5623</v>
      </c>
    </row>
    <row r="594" spans="1:16">
      <c r="A594" s="35">
        <v>2125</v>
      </c>
      <c r="B594" s="36" t="s">
        <v>2051</v>
      </c>
      <c r="C594">
        <f>VLOOKUP(A594,'TABELA SPOLINE'!A:J,10,FALSE)</f>
        <v>495.28500000000003</v>
      </c>
      <c r="D594">
        <f t="shared" si="218"/>
        <v>544.81349999999998</v>
      </c>
      <c r="E594">
        <f t="shared" si="219"/>
        <v>544.81999999999994</v>
      </c>
      <c r="F594">
        <f t="shared" si="220"/>
        <v>597.93994999999995</v>
      </c>
      <c r="G594">
        <f t="shared" si="221"/>
        <v>597.93999999999994</v>
      </c>
      <c r="H594">
        <v>830</v>
      </c>
      <c r="I594">
        <v>1</v>
      </c>
      <c r="J594" s="35" t="s">
        <v>3436</v>
      </c>
      <c r="K594" t="str">
        <f t="shared" si="217"/>
        <v>2125</v>
      </c>
      <c r="L594" s="36" t="s">
        <v>4652</v>
      </c>
      <c r="M594" s="35">
        <v>7629</v>
      </c>
      <c r="N594" s="36" t="s">
        <v>5269</v>
      </c>
      <c r="O594" s="35" t="s">
        <v>5620</v>
      </c>
      <c r="P594" s="35" t="s">
        <v>5621</v>
      </c>
    </row>
    <row r="595" spans="1:16">
      <c r="A595" s="35">
        <v>2130</v>
      </c>
      <c r="B595" s="36" t="s">
        <v>2206</v>
      </c>
      <c r="C595">
        <f>VLOOKUP(A595,'TABELA SPOLINE'!A:J,10,FALSE)</f>
        <v>129.5532</v>
      </c>
      <c r="D595">
        <f t="shared" si="218"/>
        <v>142.50852</v>
      </c>
      <c r="E595">
        <f t="shared" si="219"/>
        <v>142.51</v>
      </c>
      <c r="F595">
        <f t="shared" si="220"/>
        <v>156.40472499999998</v>
      </c>
      <c r="G595">
        <f t="shared" si="221"/>
        <v>156.41</v>
      </c>
      <c r="H595">
        <v>817</v>
      </c>
      <c r="I595">
        <v>1</v>
      </c>
      <c r="J595" s="35" t="s">
        <v>3591</v>
      </c>
      <c r="K595" t="str">
        <f t="shared" si="217"/>
        <v>2130</v>
      </c>
      <c r="L595" s="36" t="s">
        <v>4652</v>
      </c>
      <c r="M595" s="35">
        <v>7629</v>
      </c>
      <c r="N595" s="36" t="s">
        <v>5269</v>
      </c>
      <c r="O595" s="35" t="s">
        <v>5622</v>
      </c>
      <c r="P595" s="35" t="s">
        <v>5623</v>
      </c>
    </row>
    <row r="596" spans="1:16">
      <c r="A596" s="35">
        <v>2138</v>
      </c>
      <c r="B596" s="36" t="s">
        <v>2004</v>
      </c>
      <c r="C596">
        <f>VLOOKUP(A596,'TABELA SPOLINE'!A:J,10,FALSE)</f>
        <v>263.78100000000001</v>
      </c>
      <c r="D596">
        <f t="shared" si="218"/>
        <v>290.15910000000002</v>
      </c>
      <c r="E596">
        <f t="shared" si="219"/>
        <v>290.15999999999997</v>
      </c>
      <c r="F596">
        <f t="shared" si="220"/>
        <v>318.45059999999995</v>
      </c>
      <c r="G596">
        <f t="shared" si="221"/>
        <v>318.45999999999998</v>
      </c>
      <c r="H596">
        <v>811</v>
      </c>
      <c r="I596">
        <v>120</v>
      </c>
      <c r="J596" s="35" t="s">
        <v>3389</v>
      </c>
      <c r="K596" t="str">
        <f t="shared" si="217"/>
        <v>2138</v>
      </c>
      <c r="L596" s="36" t="s">
        <v>4653</v>
      </c>
      <c r="M596" s="35">
        <v>7629</v>
      </c>
      <c r="N596" s="36" t="s">
        <v>5269</v>
      </c>
      <c r="O596" s="35" t="s">
        <v>5622</v>
      </c>
      <c r="P596" s="35" t="s">
        <v>5623</v>
      </c>
    </row>
    <row r="597" spans="1:16">
      <c r="A597" s="35">
        <v>2140</v>
      </c>
      <c r="B597" s="36" t="s">
        <v>2052</v>
      </c>
      <c r="C597">
        <f>VLOOKUP(A597,'TABELA SPOLINE'!A:J,10,FALSE)</f>
        <v>495.28500000000003</v>
      </c>
      <c r="D597">
        <f t="shared" si="218"/>
        <v>544.81349999999998</v>
      </c>
      <c r="E597">
        <f t="shared" si="219"/>
        <v>544.81999999999994</v>
      </c>
      <c r="F597">
        <f t="shared" si="220"/>
        <v>597.93994999999995</v>
      </c>
      <c r="G597">
        <f t="shared" si="221"/>
        <v>597.93999999999994</v>
      </c>
      <c r="H597">
        <v>830</v>
      </c>
      <c r="I597">
        <v>1</v>
      </c>
      <c r="J597" s="35" t="s">
        <v>3437</v>
      </c>
      <c r="K597" t="str">
        <f t="shared" si="217"/>
        <v>2140</v>
      </c>
      <c r="L597" s="36" t="s">
        <v>4654</v>
      </c>
      <c r="M597" s="35">
        <v>7629</v>
      </c>
      <c r="N597" s="36" t="s">
        <v>5269</v>
      </c>
      <c r="O597" s="35" t="s">
        <v>5624</v>
      </c>
      <c r="P597" s="35" t="s">
        <v>5625</v>
      </c>
    </row>
    <row r="598" spans="1:16" hidden="1">
      <c r="A598" s="35">
        <v>2145</v>
      </c>
      <c r="B598" s="36" t="s">
        <v>2290</v>
      </c>
      <c r="C598" t="e">
        <f>VLOOKUP(A598,'TABELA SPOLINE'!A:J,10,FALSE)</f>
        <v>#N/A</v>
      </c>
      <c r="H598">
        <v>836</v>
      </c>
      <c r="I598">
        <v>1</v>
      </c>
      <c r="J598" s="35" t="s">
        <v>3675</v>
      </c>
      <c r="K598" t="str">
        <f t="shared" si="217"/>
        <v>2145</v>
      </c>
      <c r="L598" s="36" t="s">
        <v>4655</v>
      </c>
      <c r="M598" s="35">
        <v>7629</v>
      </c>
      <c r="N598" s="36" t="s">
        <v>5269</v>
      </c>
      <c r="O598" s="35" t="s">
        <v>5620</v>
      </c>
      <c r="P598" s="35" t="s">
        <v>5621</v>
      </c>
    </row>
    <row r="599" spans="1:16" hidden="1">
      <c r="A599" s="35">
        <v>2150</v>
      </c>
      <c r="B599" s="36" t="s">
        <v>2181</v>
      </c>
      <c r="C599" t="e">
        <f>VLOOKUP(A599,'TABELA SPOLINE'!A:J,10,FALSE)</f>
        <v>#N/A</v>
      </c>
      <c r="H599">
        <v>794</v>
      </c>
      <c r="I599">
        <v>1</v>
      </c>
      <c r="J599" s="35" t="s">
        <v>3566</v>
      </c>
      <c r="K599" t="str">
        <f t="shared" si="217"/>
        <v>2150</v>
      </c>
      <c r="L599" s="36" t="s">
        <v>4656</v>
      </c>
      <c r="M599" s="35">
        <v>7629</v>
      </c>
      <c r="N599" s="36" t="s">
        <v>5269</v>
      </c>
      <c r="O599" s="35" t="s">
        <v>5628</v>
      </c>
      <c r="P599" s="35" t="s">
        <v>5629</v>
      </c>
    </row>
    <row r="600" spans="1:16">
      <c r="A600" s="35">
        <v>2155</v>
      </c>
      <c r="B600" s="36" t="s">
        <v>1897</v>
      </c>
      <c r="C600">
        <f>VLOOKUP(A600,'TABELA SPOLINE'!A:J,10,FALSE)</f>
        <v>160.27199999999999</v>
      </c>
      <c r="D600">
        <f t="shared" ref="D600:D601" si="222">C600*0.1+C600</f>
        <v>176.29919999999998</v>
      </c>
      <c r="E600">
        <f t="shared" ref="E600:E601" si="223">ROUNDUP(D600,2)</f>
        <v>176.29999999999998</v>
      </c>
      <c r="F600">
        <f t="shared" ref="F600:F601" si="224">E600*0.0975+E600</f>
        <v>193.48924999999997</v>
      </c>
      <c r="G600">
        <f t="shared" ref="G600:G601" si="225">ROUNDUP(F600,2)</f>
        <v>193.48999999999998</v>
      </c>
      <c r="H600">
        <v>786</v>
      </c>
      <c r="I600">
        <v>1</v>
      </c>
      <c r="J600" s="35" t="s">
        <v>3282</v>
      </c>
      <c r="K600" t="str">
        <f t="shared" si="217"/>
        <v>2155</v>
      </c>
      <c r="L600" s="36" t="s">
        <v>4657</v>
      </c>
      <c r="M600" s="35">
        <v>7629</v>
      </c>
      <c r="N600" s="36" t="s">
        <v>5269</v>
      </c>
      <c r="O600" s="35" t="s">
        <v>5628</v>
      </c>
      <c r="P600" s="35" t="s">
        <v>5629</v>
      </c>
    </row>
    <row r="601" spans="1:16">
      <c r="A601" s="35">
        <v>2158</v>
      </c>
      <c r="B601" s="36" t="s">
        <v>1898</v>
      </c>
      <c r="C601">
        <f>VLOOKUP(A601,'TABELA SPOLINE'!A:J,10,FALSE)</f>
        <v>160.27199999999999</v>
      </c>
      <c r="D601">
        <f t="shared" si="222"/>
        <v>176.29919999999998</v>
      </c>
      <c r="E601">
        <f t="shared" si="223"/>
        <v>176.29999999999998</v>
      </c>
      <c r="F601">
        <f t="shared" si="224"/>
        <v>193.48924999999997</v>
      </c>
      <c r="G601">
        <f t="shared" si="225"/>
        <v>193.48999999999998</v>
      </c>
      <c r="H601">
        <v>786</v>
      </c>
      <c r="I601">
        <v>1</v>
      </c>
      <c r="J601" s="35" t="s">
        <v>3283</v>
      </c>
      <c r="K601" t="str">
        <f t="shared" si="217"/>
        <v>2158</v>
      </c>
      <c r="L601" s="36" t="s">
        <v>4658</v>
      </c>
      <c r="M601" s="35">
        <v>7629</v>
      </c>
      <c r="N601" s="36" t="s">
        <v>5269</v>
      </c>
      <c r="O601" s="35" t="s">
        <v>5630</v>
      </c>
      <c r="P601" s="35" t="s">
        <v>5631</v>
      </c>
    </row>
    <row r="602" spans="1:16" hidden="1">
      <c r="A602" s="35">
        <v>2159</v>
      </c>
      <c r="B602" s="36" t="s">
        <v>1900</v>
      </c>
      <c r="C602" t="e">
        <f>VLOOKUP(A602,'TABELA SPOLINE'!A:J,10,FALSE)</f>
        <v>#N/A</v>
      </c>
      <c r="H602">
        <v>786</v>
      </c>
      <c r="I602">
        <v>1</v>
      </c>
      <c r="J602" s="35" t="s">
        <v>3285</v>
      </c>
      <c r="K602" t="str">
        <f t="shared" si="217"/>
        <v>2159</v>
      </c>
      <c r="L602" s="36" t="s">
        <v>4659</v>
      </c>
      <c r="M602" s="35">
        <v>7629</v>
      </c>
      <c r="N602" s="36" t="s">
        <v>5269</v>
      </c>
      <c r="O602" s="35" t="s">
        <v>5630</v>
      </c>
      <c r="P602" s="35" t="s">
        <v>5631</v>
      </c>
    </row>
    <row r="603" spans="1:16">
      <c r="A603" s="35">
        <v>2164</v>
      </c>
      <c r="B603" s="36" t="s">
        <v>2048</v>
      </c>
      <c r="C603">
        <f>VLOOKUP(A603,'TABELA SPOLINE'!A:J,10,FALSE)</f>
        <v>495.28500000000003</v>
      </c>
      <c r="D603">
        <f>C603*0.1+C603</f>
        <v>544.81349999999998</v>
      </c>
      <c r="E603">
        <f>ROUNDUP(D603,2)</f>
        <v>544.81999999999994</v>
      </c>
      <c r="F603">
        <f>E603*0.0975+E603</f>
        <v>597.93994999999995</v>
      </c>
      <c r="G603">
        <f>ROUNDUP(F603,2)</f>
        <v>597.93999999999994</v>
      </c>
      <c r="H603">
        <v>830</v>
      </c>
      <c r="I603">
        <v>1</v>
      </c>
      <c r="J603" s="35" t="s">
        <v>3433</v>
      </c>
      <c r="K603" t="str">
        <f t="shared" si="217"/>
        <v>2164</v>
      </c>
      <c r="L603" s="36" t="s">
        <v>4659</v>
      </c>
      <c r="M603" s="35">
        <v>7629</v>
      </c>
      <c r="N603" s="36" t="s">
        <v>5269</v>
      </c>
      <c r="O603" s="35" t="s">
        <v>5630</v>
      </c>
      <c r="P603" s="35" t="s">
        <v>5631</v>
      </c>
    </row>
    <row r="604" spans="1:16" hidden="1">
      <c r="A604" s="35">
        <v>2165</v>
      </c>
      <c r="B604" s="36" t="s">
        <v>2195</v>
      </c>
      <c r="C604" t="e">
        <f>VLOOKUP(A604,'TABELA SPOLINE'!A:J,10,FALSE)</f>
        <v>#N/A</v>
      </c>
      <c r="H604">
        <v>803</v>
      </c>
      <c r="I604">
        <v>1</v>
      </c>
      <c r="J604" s="35" t="s">
        <v>3580</v>
      </c>
      <c r="K604" t="str">
        <f t="shared" si="217"/>
        <v>2165</v>
      </c>
      <c r="L604" s="36" t="s">
        <v>4659</v>
      </c>
      <c r="M604" s="35">
        <v>7629</v>
      </c>
      <c r="N604" s="36" t="s">
        <v>5269</v>
      </c>
      <c r="O604" s="35" t="s">
        <v>5630</v>
      </c>
      <c r="P604" s="35" t="s">
        <v>5631</v>
      </c>
    </row>
    <row r="605" spans="1:16" hidden="1">
      <c r="A605" s="35">
        <v>2174</v>
      </c>
      <c r="B605" s="36" t="s">
        <v>2260</v>
      </c>
      <c r="C605" t="e">
        <f>VLOOKUP(A605,'TABELA SPOLINE'!A:J,10,FALSE)</f>
        <v>#N/A</v>
      </c>
      <c r="H605">
        <v>835</v>
      </c>
      <c r="I605">
        <v>1</v>
      </c>
      <c r="J605" s="35" t="s">
        <v>3645</v>
      </c>
      <c r="K605" t="str">
        <f t="shared" si="217"/>
        <v>2174</v>
      </c>
      <c r="L605" s="36" t="s">
        <v>4660</v>
      </c>
      <c r="M605" s="35">
        <v>7629</v>
      </c>
      <c r="N605" s="36" t="s">
        <v>5269</v>
      </c>
      <c r="O605" s="35" t="s">
        <v>5630</v>
      </c>
      <c r="P605" s="35" t="s">
        <v>5631</v>
      </c>
    </row>
    <row r="606" spans="1:16">
      <c r="A606" s="35">
        <v>2182</v>
      </c>
      <c r="B606" s="36" t="s">
        <v>2207</v>
      </c>
      <c r="C606">
        <f>VLOOKUP(A606,'TABELA SPOLINE'!A:J,10,FALSE)</f>
        <v>110.18700000000001</v>
      </c>
      <c r="D606">
        <f t="shared" ref="D606:D607" si="226">C606*0.1+C606</f>
        <v>121.20570000000001</v>
      </c>
      <c r="E606">
        <f t="shared" ref="E606:E607" si="227">ROUNDUP(D606,2)</f>
        <v>121.21000000000001</v>
      </c>
      <c r="F606">
        <f t="shared" ref="F606:F607" si="228">E606*0.0975+E606</f>
        <v>133.027975</v>
      </c>
      <c r="G606">
        <f t="shared" ref="G606:G607" si="229">ROUNDUP(F606,2)</f>
        <v>133.03</v>
      </c>
      <c r="H606">
        <v>817</v>
      </c>
      <c r="I606">
        <v>1</v>
      </c>
      <c r="J606" s="35" t="s">
        <v>3592</v>
      </c>
      <c r="K606" t="str">
        <f t="shared" si="217"/>
        <v>2182</v>
      </c>
      <c r="L606" s="36" t="s">
        <v>4661</v>
      </c>
      <c r="M606" s="35">
        <v>7629</v>
      </c>
      <c r="N606" s="36" t="s">
        <v>5269</v>
      </c>
      <c r="O606" s="35" t="s">
        <v>5580</v>
      </c>
      <c r="P606" s="35" t="s">
        <v>5581</v>
      </c>
    </row>
    <row r="607" spans="1:16">
      <c r="A607" s="35">
        <v>2184</v>
      </c>
      <c r="B607" s="36" t="s">
        <v>2015</v>
      </c>
      <c r="C607">
        <f>VLOOKUP(A607,'TABELA SPOLINE'!A:J,10,FALSE)</f>
        <v>263.78100000000001</v>
      </c>
      <c r="D607">
        <f t="shared" si="226"/>
        <v>290.15910000000002</v>
      </c>
      <c r="E607">
        <f t="shared" si="227"/>
        <v>290.15999999999997</v>
      </c>
      <c r="F607">
        <f t="shared" si="228"/>
        <v>318.45059999999995</v>
      </c>
      <c r="G607">
        <f t="shared" si="229"/>
        <v>318.45999999999998</v>
      </c>
      <c r="H607">
        <v>811</v>
      </c>
      <c r="I607">
        <v>120</v>
      </c>
      <c r="J607" s="35" t="s">
        <v>3400</v>
      </c>
      <c r="K607" t="str">
        <f t="shared" si="217"/>
        <v>2184</v>
      </c>
      <c r="L607" s="36" t="s">
        <v>4662</v>
      </c>
      <c r="M607" s="35">
        <v>7629</v>
      </c>
      <c r="N607" s="36" t="s">
        <v>5269</v>
      </c>
      <c r="O607" s="35" t="s">
        <v>5630</v>
      </c>
      <c r="P607" s="35" t="s">
        <v>5631</v>
      </c>
    </row>
    <row r="608" spans="1:16" hidden="1">
      <c r="A608" s="35">
        <v>2186</v>
      </c>
      <c r="B608" s="36" t="s">
        <v>2196</v>
      </c>
      <c r="C608" t="e">
        <f>VLOOKUP(A608,'TABELA SPOLINE'!A:J,10,FALSE)</f>
        <v>#N/A</v>
      </c>
      <c r="H608">
        <v>803</v>
      </c>
      <c r="I608">
        <v>1</v>
      </c>
      <c r="J608" s="35" t="s">
        <v>3581</v>
      </c>
      <c r="K608" t="str">
        <f t="shared" si="217"/>
        <v>2186</v>
      </c>
      <c r="L608" s="36" t="s">
        <v>4659</v>
      </c>
      <c r="M608" s="35">
        <v>7629</v>
      </c>
      <c r="N608" s="36" t="s">
        <v>5269</v>
      </c>
      <c r="O608" s="35" t="s">
        <v>5632</v>
      </c>
      <c r="P608" s="35" t="s">
        <v>5633</v>
      </c>
    </row>
    <row r="609" spans="1:16" hidden="1">
      <c r="A609" s="35">
        <v>2195</v>
      </c>
      <c r="B609" s="36" t="s">
        <v>2287</v>
      </c>
      <c r="C609" t="e">
        <f>VLOOKUP(A609,'TABELA SPOLINE'!A:J,10,FALSE)</f>
        <v>#N/A</v>
      </c>
      <c r="H609">
        <v>836</v>
      </c>
      <c r="I609">
        <v>1</v>
      </c>
      <c r="J609" s="35" t="s">
        <v>3672</v>
      </c>
      <c r="K609" t="str">
        <f t="shared" si="217"/>
        <v>2195</v>
      </c>
      <c r="L609" s="36" t="s">
        <v>4663</v>
      </c>
      <c r="M609" s="35">
        <v>7629</v>
      </c>
      <c r="N609" s="36" t="s">
        <v>5269</v>
      </c>
      <c r="O609" s="35" t="s">
        <v>5578</v>
      </c>
      <c r="P609" s="35" t="s">
        <v>5579</v>
      </c>
    </row>
    <row r="610" spans="1:16" hidden="1">
      <c r="A610" s="35">
        <v>2196</v>
      </c>
      <c r="B610" s="36" t="s">
        <v>1884</v>
      </c>
      <c r="C610" t="e">
        <f>VLOOKUP(A610,'TABELA SPOLINE'!A:J,10,FALSE)</f>
        <v>#N/A</v>
      </c>
      <c r="H610">
        <v>782</v>
      </c>
      <c r="I610">
        <v>25</v>
      </c>
      <c r="J610" s="35" t="s">
        <v>3269</v>
      </c>
      <c r="K610" t="str">
        <f t="shared" si="217"/>
        <v>2196</v>
      </c>
      <c r="L610" s="36" t="s">
        <v>4659</v>
      </c>
      <c r="M610" s="35">
        <v>7629</v>
      </c>
      <c r="N610" s="36" t="s">
        <v>5269</v>
      </c>
      <c r="O610" s="35" t="s">
        <v>5632</v>
      </c>
      <c r="P610" s="35" t="s">
        <v>5633</v>
      </c>
    </row>
    <row r="611" spans="1:16" hidden="1">
      <c r="A611" s="35">
        <v>2200</v>
      </c>
      <c r="B611" s="36" t="s">
        <v>2096</v>
      </c>
      <c r="C611" t="e">
        <f>VLOOKUP(A611,'TABELA SPOLINE'!A:J,10,FALSE)</f>
        <v>#N/A</v>
      </c>
      <c r="H611">
        <v>727</v>
      </c>
      <c r="I611">
        <v>1</v>
      </c>
      <c r="J611" s="35" t="s">
        <v>3481</v>
      </c>
      <c r="K611" t="str">
        <f t="shared" si="217"/>
        <v>2200</v>
      </c>
      <c r="L611" s="36" t="s">
        <v>4664</v>
      </c>
      <c r="M611" s="35">
        <v>7629</v>
      </c>
      <c r="N611" s="36" t="s">
        <v>5269</v>
      </c>
      <c r="O611" s="35" t="s">
        <v>5634</v>
      </c>
      <c r="P611" s="35" t="s">
        <v>5635</v>
      </c>
    </row>
    <row r="612" spans="1:16">
      <c r="A612" s="35">
        <v>2201</v>
      </c>
      <c r="B612" s="36" t="s">
        <v>2034</v>
      </c>
      <c r="C612">
        <f>VLOOKUP(A612,'TABELA SPOLINE'!A:J,10,FALSE)</f>
        <v>338.35200000000003</v>
      </c>
      <c r="D612">
        <f t="shared" ref="D612:D613" si="230">C612*0.1+C612</f>
        <v>372.18720000000002</v>
      </c>
      <c r="E612">
        <f t="shared" ref="E612:E613" si="231">ROUNDUP(D612,2)</f>
        <v>372.19</v>
      </c>
      <c r="F612">
        <f t="shared" ref="F612:F613" si="232">E612*0.0975+E612</f>
        <v>408.47852499999999</v>
      </c>
      <c r="G612">
        <f t="shared" ref="G612:G613" si="233">ROUNDUP(F612,2)</f>
        <v>408.48</v>
      </c>
      <c r="H612">
        <v>827</v>
      </c>
      <c r="I612">
        <v>30</v>
      </c>
      <c r="J612" s="35" t="s">
        <v>3419</v>
      </c>
      <c r="K612" t="str">
        <f t="shared" si="217"/>
        <v>2201</v>
      </c>
      <c r="L612" s="36" t="s">
        <v>4665</v>
      </c>
      <c r="M612" s="35">
        <v>7629</v>
      </c>
      <c r="N612" s="36" t="s">
        <v>5269</v>
      </c>
      <c r="O612" s="35" t="s">
        <v>5634</v>
      </c>
      <c r="P612" s="35" t="s">
        <v>5635</v>
      </c>
    </row>
    <row r="613" spans="1:16">
      <c r="A613" s="35">
        <v>2203</v>
      </c>
      <c r="B613" s="36" t="s">
        <v>2053</v>
      </c>
      <c r="C613">
        <f>VLOOKUP(A613,'TABELA SPOLINE'!A:J,10,FALSE)</f>
        <v>495.28500000000003</v>
      </c>
      <c r="D613">
        <f t="shared" si="230"/>
        <v>544.81349999999998</v>
      </c>
      <c r="E613">
        <f t="shared" si="231"/>
        <v>544.81999999999994</v>
      </c>
      <c r="F613">
        <f t="shared" si="232"/>
        <v>597.93994999999995</v>
      </c>
      <c r="G613">
        <f t="shared" si="233"/>
        <v>597.93999999999994</v>
      </c>
      <c r="H613">
        <v>830</v>
      </c>
      <c r="I613">
        <v>1</v>
      </c>
      <c r="J613" s="35" t="s">
        <v>3438</v>
      </c>
      <c r="K613" t="str">
        <f t="shared" si="217"/>
        <v>2203</v>
      </c>
      <c r="L613" s="36" t="s">
        <v>4666</v>
      </c>
      <c r="M613" s="35">
        <v>7629</v>
      </c>
      <c r="N613" s="36" t="s">
        <v>5269</v>
      </c>
      <c r="O613" s="35" t="s">
        <v>5636</v>
      </c>
      <c r="P613" s="35" t="s">
        <v>5637</v>
      </c>
    </row>
    <row r="614" spans="1:16" hidden="1">
      <c r="A614" s="35">
        <v>2204</v>
      </c>
      <c r="B614" s="36" t="s">
        <v>2054</v>
      </c>
      <c r="C614" t="e">
        <f>VLOOKUP(A614,'TABELA SPOLINE'!A:J,10,FALSE)</f>
        <v>#N/A</v>
      </c>
      <c r="H614">
        <v>830</v>
      </c>
      <c r="I614">
        <v>1</v>
      </c>
      <c r="J614" s="35" t="s">
        <v>3439</v>
      </c>
      <c r="K614" t="str">
        <f t="shared" si="217"/>
        <v>2204</v>
      </c>
      <c r="L614" s="36" t="s">
        <v>4667</v>
      </c>
      <c r="M614" s="35">
        <v>7629</v>
      </c>
      <c r="N614" s="36" t="s">
        <v>5269</v>
      </c>
      <c r="O614" s="35" t="s">
        <v>5634</v>
      </c>
      <c r="P614" s="35" t="s">
        <v>5635</v>
      </c>
    </row>
    <row r="615" spans="1:16" hidden="1">
      <c r="A615" s="35">
        <v>2205</v>
      </c>
      <c r="B615" s="36" t="s">
        <v>1639</v>
      </c>
      <c r="C615" t="e">
        <f>VLOOKUP(A615,'TABELA SPOLINE'!A:J,10,FALSE)</f>
        <v>#N/A</v>
      </c>
      <c r="H615">
        <v>385</v>
      </c>
      <c r="I615">
        <v>5</v>
      </c>
      <c r="J615" s="35" t="s">
        <v>3027</v>
      </c>
      <c r="K615" t="str">
        <f t="shared" si="217"/>
        <v>2205</v>
      </c>
      <c r="L615" s="36" t="s">
        <v>4668</v>
      </c>
      <c r="M615" s="35">
        <v>7629</v>
      </c>
      <c r="N615" s="36" t="s">
        <v>5269</v>
      </c>
      <c r="O615" s="35" t="s">
        <v>5636</v>
      </c>
      <c r="P615" s="35" t="s">
        <v>5637</v>
      </c>
    </row>
    <row r="616" spans="1:16">
      <c r="A616" s="35">
        <v>2206</v>
      </c>
      <c r="B616" s="36" t="s">
        <v>1693</v>
      </c>
      <c r="C616">
        <f>VLOOKUP(A616,'TABELA SPOLINE'!A:J,10,FALSE)</f>
        <v>400.68</v>
      </c>
      <c r="D616">
        <f t="shared" ref="D616:D618" si="234">C616*0.1+C616</f>
        <v>440.74799999999999</v>
      </c>
      <c r="E616">
        <f t="shared" ref="E616:E618" si="235">ROUNDUP(D616,2)</f>
        <v>440.75</v>
      </c>
      <c r="F616">
        <f t="shared" ref="F616:F618" si="236">E616*0.0975+E616</f>
        <v>483.72312499999998</v>
      </c>
      <c r="G616">
        <f t="shared" ref="G616:G618" si="237">ROUNDUP(F616,2)</f>
        <v>483.73</v>
      </c>
      <c r="H616">
        <v>824</v>
      </c>
      <c r="I616">
        <v>30</v>
      </c>
      <c r="J616" s="35" t="s">
        <v>3081</v>
      </c>
      <c r="K616" t="str">
        <f t="shared" si="217"/>
        <v>2206</v>
      </c>
      <c r="L616" s="36" t="s">
        <v>4669</v>
      </c>
      <c r="M616" s="35">
        <v>7629</v>
      </c>
      <c r="N616" s="36" t="s">
        <v>5269</v>
      </c>
      <c r="O616" s="35" t="s">
        <v>5638</v>
      </c>
      <c r="P616" s="35" t="s">
        <v>5639</v>
      </c>
    </row>
    <row r="617" spans="1:16">
      <c r="A617" s="35">
        <v>2207</v>
      </c>
      <c r="B617" s="36" t="s">
        <v>1675</v>
      </c>
      <c r="C617">
        <f>VLOOKUP(A617,'TABELA SPOLINE'!A:J,10,FALSE)</f>
        <v>230.39100000000002</v>
      </c>
      <c r="D617">
        <f t="shared" si="234"/>
        <v>253.43010000000004</v>
      </c>
      <c r="E617">
        <f t="shared" si="235"/>
        <v>253.44</v>
      </c>
      <c r="F617">
        <f t="shared" si="236"/>
        <v>278.15039999999999</v>
      </c>
      <c r="G617">
        <f t="shared" si="237"/>
        <v>278.15999999999997</v>
      </c>
      <c r="H617">
        <v>812</v>
      </c>
      <c r="I617">
        <v>60</v>
      </c>
      <c r="J617" s="35" t="s">
        <v>3063</v>
      </c>
      <c r="K617" t="str">
        <f t="shared" si="217"/>
        <v>2207</v>
      </c>
      <c r="L617" s="36" t="s">
        <v>4670</v>
      </c>
      <c r="M617" s="35">
        <v>7629</v>
      </c>
      <c r="N617" s="36" t="s">
        <v>5269</v>
      </c>
      <c r="O617" s="35" t="s">
        <v>5634</v>
      </c>
      <c r="P617" s="35" t="s">
        <v>5635</v>
      </c>
    </row>
    <row r="618" spans="1:16">
      <c r="A618" s="35">
        <v>2208</v>
      </c>
      <c r="B618" s="36" t="s">
        <v>2038</v>
      </c>
      <c r="C618">
        <f>VLOOKUP(A618,'TABELA SPOLINE'!A:J,10,FALSE)</f>
        <v>608.81100000000004</v>
      </c>
      <c r="D618">
        <f t="shared" si="234"/>
        <v>669.69209999999998</v>
      </c>
      <c r="E618">
        <f t="shared" si="235"/>
        <v>669.7</v>
      </c>
      <c r="F618">
        <f t="shared" si="236"/>
        <v>734.99575000000004</v>
      </c>
      <c r="G618">
        <f t="shared" si="237"/>
        <v>735</v>
      </c>
      <c r="H618">
        <v>829</v>
      </c>
      <c r="I618">
        <v>3</v>
      </c>
      <c r="J618" s="35" t="s">
        <v>3423</v>
      </c>
      <c r="K618" t="str">
        <f t="shared" si="217"/>
        <v>2208</v>
      </c>
      <c r="L618" s="36" t="s">
        <v>4671</v>
      </c>
      <c r="M618" s="35">
        <v>7629</v>
      </c>
      <c r="N618" s="36" t="s">
        <v>5269</v>
      </c>
      <c r="O618" s="35" t="s">
        <v>5618</v>
      </c>
      <c r="P618" s="35" t="s">
        <v>5619</v>
      </c>
    </row>
    <row r="619" spans="1:16" hidden="1">
      <c r="A619" s="35">
        <v>2213</v>
      </c>
      <c r="B619" s="36" t="s">
        <v>2236</v>
      </c>
      <c r="C619" t="e">
        <f>VLOOKUP(A619,'TABELA SPOLINE'!A:J,10,FALSE)</f>
        <v>#N/A</v>
      </c>
      <c r="H619">
        <v>822</v>
      </c>
      <c r="I619">
        <v>2</v>
      </c>
      <c r="J619" s="35" t="s">
        <v>3621</v>
      </c>
      <c r="K619" t="str">
        <f t="shared" si="217"/>
        <v>2213</v>
      </c>
      <c r="L619" s="36" t="s">
        <v>4672</v>
      </c>
      <c r="M619" s="35">
        <v>7629</v>
      </c>
      <c r="N619" s="36" t="s">
        <v>5269</v>
      </c>
      <c r="O619" s="35" t="s">
        <v>5618</v>
      </c>
      <c r="P619" s="35" t="s">
        <v>5619</v>
      </c>
    </row>
    <row r="620" spans="1:16" hidden="1">
      <c r="A620" s="35">
        <v>2218</v>
      </c>
      <c r="B620" s="36" t="s">
        <v>2340</v>
      </c>
      <c r="C620" t="e">
        <f>VLOOKUP(A620,'TABELA SPOLINE'!A:J,10,FALSE)</f>
        <v>#N/A</v>
      </c>
      <c r="H620">
        <v>831</v>
      </c>
      <c r="I620">
        <v>60</v>
      </c>
      <c r="J620" s="35" t="s">
        <v>3725</v>
      </c>
      <c r="K620" t="str">
        <f t="shared" si="217"/>
        <v>2218</v>
      </c>
      <c r="L620" s="36" t="s">
        <v>4673</v>
      </c>
      <c r="M620" s="35">
        <v>7629</v>
      </c>
      <c r="N620" s="36" t="s">
        <v>5269</v>
      </c>
      <c r="O620" s="35" t="s">
        <v>5640</v>
      </c>
      <c r="P620" s="35" t="s">
        <v>5641</v>
      </c>
    </row>
    <row r="621" spans="1:16" hidden="1">
      <c r="A621" s="35">
        <v>2233</v>
      </c>
      <c r="B621" s="36" t="s">
        <v>1923</v>
      </c>
      <c r="C621" t="e">
        <f>VLOOKUP(A621,'TABELA SPOLINE'!A:J,10,FALSE)</f>
        <v>#N/A</v>
      </c>
      <c r="H621">
        <v>799</v>
      </c>
      <c r="I621">
        <v>1</v>
      </c>
      <c r="J621" s="35" t="s">
        <v>3308</v>
      </c>
      <c r="K621" t="str">
        <f t="shared" si="217"/>
        <v>2233</v>
      </c>
      <c r="L621" s="36" t="s">
        <v>4674</v>
      </c>
      <c r="M621" s="35">
        <v>7629</v>
      </c>
      <c r="N621" s="36" t="s">
        <v>5269</v>
      </c>
      <c r="O621" s="35" t="s">
        <v>5640</v>
      </c>
      <c r="P621" s="35" t="s">
        <v>5641</v>
      </c>
    </row>
    <row r="622" spans="1:16" hidden="1">
      <c r="A622" s="35">
        <v>2234</v>
      </c>
      <c r="B622" s="36" t="s">
        <v>2261</v>
      </c>
      <c r="C622" t="e">
        <f>VLOOKUP(A622,'TABELA SPOLINE'!A:J,10,FALSE)</f>
        <v>#N/A</v>
      </c>
      <c r="H622">
        <v>835</v>
      </c>
      <c r="I622">
        <v>1</v>
      </c>
      <c r="J622" s="35" t="s">
        <v>3646</v>
      </c>
      <c r="K622" t="str">
        <f t="shared" si="217"/>
        <v>2234</v>
      </c>
      <c r="L622" s="36" t="s">
        <v>4674</v>
      </c>
      <c r="M622" s="35">
        <v>7629</v>
      </c>
      <c r="N622" s="36" t="s">
        <v>5269</v>
      </c>
      <c r="O622" s="35" t="s">
        <v>5640</v>
      </c>
      <c r="P622" s="35" t="s">
        <v>5641</v>
      </c>
    </row>
    <row r="623" spans="1:16" hidden="1">
      <c r="A623" s="35">
        <v>2238</v>
      </c>
      <c r="B623" s="36" t="s">
        <v>1757</v>
      </c>
      <c r="C623" t="e">
        <f>VLOOKUP(A623,'TABELA SPOLINE'!A:J,10,FALSE)</f>
        <v>#N/A</v>
      </c>
      <c r="H623">
        <v>633</v>
      </c>
      <c r="I623">
        <v>1</v>
      </c>
      <c r="J623" s="35" t="s">
        <v>3144</v>
      </c>
      <c r="K623" t="str">
        <f t="shared" si="217"/>
        <v>2238</v>
      </c>
      <c r="L623" s="36" t="s">
        <v>4675</v>
      </c>
      <c r="M623" s="35">
        <v>7629</v>
      </c>
      <c r="N623" s="36" t="s">
        <v>5269</v>
      </c>
      <c r="O623" s="35" t="s">
        <v>5640</v>
      </c>
      <c r="P623" s="35" t="s">
        <v>5641</v>
      </c>
    </row>
    <row r="624" spans="1:16" hidden="1">
      <c r="A624" s="35">
        <v>2240</v>
      </c>
      <c r="B624" s="36" t="s">
        <v>1741</v>
      </c>
      <c r="C624" t="e">
        <f>VLOOKUP(A624,'TABELA SPOLINE'!A:J,10,FALSE)</f>
        <v>#N/A</v>
      </c>
      <c r="H624">
        <v>432</v>
      </c>
      <c r="I624">
        <v>4</v>
      </c>
      <c r="J624" s="35" t="s">
        <v>3128</v>
      </c>
      <c r="K624" t="str">
        <f t="shared" si="217"/>
        <v>2240</v>
      </c>
      <c r="L624" s="36" t="s">
        <v>4676</v>
      </c>
      <c r="M624" s="35">
        <v>7629</v>
      </c>
      <c r="N624" s="36" t="s">
        <v>5269</v>
      </c>
      <c r="O624" s="35" t="s">
        <v>5616</v>
      </c>
      <c r="P624" s="35" t="s">
        <v>5617</v>
      </c>
    </row>
    <row r="625" spans="1:16">
      <c r="A625" s="35">
        <v>2252</v>
      </c>
      <c r="B625" s="36" t="s">
        <v>1689</v>
      </c>
      <c r="C625">
        <f>VLOOKUP(A625,'TABELA SPOLINE'!A:J,10,FALSE)</f>
        <v>238.18199999999999</v>
      </c>
      <c r="D625">
        <f>C625*0.1+C625</f>
        <v>262.00020000000001</v>
      </c>
      <c r="E625">
        <f>ROUNDUP(D625,2)</f>
        <v>262.01</v>
      </c>
      <c r="F625">
        <f>E625*0.0975+E625</f>
        <v>287.55597499999999</v>
      </c>
      <c r="G625">
        <f>ROUNDUP(F625,2)</f>
        <v>287.56</v>
      </c>
      <c r="H625">
        <v>824</v>
      </c>
      <c r="I625">
        <v>30</v>
      </c>
      <c r="J625" s="35" t="s">
        <v>3077</v>
      </c>
      <c r="K625" t="str">
        <f t="shared" si="217"/>
        <v>2252</v>
      </c>
      <c r="L625" s="36" t="s">
        <v>4674</v>
      </c>
      <c r="M625" s="35">
        <v>7629</v>
      </c>
      <c r="N625" s="36" t="s">
        <v>5269</v>
      </c>
      <c r="O625" s="35" t="s">
        <v>5640</v>
      </c>
      <c r="P625" s="35" t="s">
        <v>5641</v>
      </c>
    </row>
    <row r="626" spans="1:16" hidden="1">
      <c r="A626" s="35">
        <v>2253</v>
      </c>
      <c r="B626" s="36" t="s">
        <v>2021</v>
      </c>
      <c r="C626" t="e">
        <f>VLOOKUP(A626,'TABELA SPOLINE'!A:J,10,FALSE)</f>
        <v>#N/A</v>
      </c>
      <c r="H626">
        <v>828</v>
      </c>
      <c r="I626">
        <v>2</v>
      </c>
      <c r="J626" s="35" t="s">
        <v>3406</v>
      </c>
      <c r="K626" t="str">
        <f t="shared" si="217"/>
        <v>2253</v>
      </c>
      <c r="L626" s="36" t="s">
        <v>4677</v>
      </c>
      <c r="M626" s="35">
        <v>7629</v>
      </c>
      <c r="N626" s="36" t="s">
        <v>5269</v>
      </c>
      <c r="O626" s="35" t="s">
        <v>5616</v>
      </c>
      <c r="P626" s="35" t="s">
        <v>5617</v>
      </c>
    </row>
    <row r="627" spans="1:16" hidden="1">
      <c r="A627" s="35">
        <v>2254</v>
      </c>
      <c r="B627" s="36" t="s">
        <v>2262</v>
      </c>
      <c r="C627" t="e">
        <f>VLOOKUP(A627,'TABELA SPOLINE'!A:J,10,FALSE)</f>
        <v>#N/A</v>
      </c>
      <c r="H627">
        <v>835</v>
      </c>
      <c r="I627">
        <v>1</v>
      </c>
      <c r="J627" s="35" t="s">
        <v>3647</v>
      </c>
      <c r="K627" t="str">
        <f t="shared" si="217"/>
        <v>2254</v>
      </c>
      <c r="L627" s="36" t="s">
        <v>4678</v>
      </c>
      <c r="M627" s="35">
        <v>7629</v>
      </c>
      <c r="N627" s="36" t="s">
        <v>5269</v>
      </c>
      <c r="O627" s="35" t="s">
        <v>5642</v>
      </c>
      <c r="P627" s="35" t="s">
        <v>5643</v>
      </c>
    </row>
    <row r="628" spans="1:16">
      <c r="A628" s="35">
        <v>2255</v>
      </c>
      <c r="B628" s="36" t="s">
        <v>1761</v>
      </c>
      <c r="C628">
        <f>VLOOKUP(A628,'TABELA SPOLINE'!A:J,10,FALSE)</f>
        <v>379.53300000000002</v>
      </c>
      <c r="D628">
        <f>C628*0.1+C628</f>
        <v>417.48630000000003</v>
      </c>
      <c r="E628">
        <f>ROUNDUP(D628,2)</f>
        <v>417.49</v>
      </c>
      <c r="F628">
        <f>E628*0.0975+E628</f>
        <v>458.19527500000004</v>
      </c>
      <c r="G628">
        <f>ROUNDUP(F628,2)</f>
        <v>458.2</v>
      </c>
      <c r="H628">
        <v>633</v>
      </c>
      <c r="I628">
        <v>3</v>
      </c>
      <c r="J628" s="35" t="s">
        <v>3148</v>
      </c>
      <c r="K628" t="str">
        <f t="shared" si="217"/>
        <v>2255</v>
      </c>
      <c r="L628" s="36" t="s">
        <v>4679</v>
      </c>
      <c r="M628" s="35">
        <v>7629</v>
      </c>
      <c r="N628" s="36" t="s">
        <v>5269</v>
      </c>
      <c r="O628" s="35" t="s">
        <v>5616</v>
      </c>
      <c r="P628" s="35" t="s">
        <v>5617</v>
      </c>
    </row>
    <row r="629" spans="1:16" hidden="1">
      <c r="A629" s="35">
        <v>2256</v>
      </c>
      <c r="B629" s="36" t="s">
        <v>2140</v>
      </c>
      <c r="C629" t="e">
        <f>VLOOKUP(A629,'TABELA SPOLINE'!A:J,10,FALSE)</f>
        <v>#N/A</v>
      </c>
      <c r="H629">
        <v>788</v>
      </c>
      <c r="I629">
        <v>3</v>
      </c>
      <c r="J629" s="35" t="s">
        <v>3525</v>
      </c>
      <c r="K629" t="str">
        <f t="shared" si="217"/>
        <v>2256</v>
      </c>
      <c r="L629" s="36" t="s">
        <v>4679</v>
      </c>
      <c r="M629" s="35">
        <v>7629</v>
      </c>
      <c r="N629" s="36" t="s">
        <v>5269</v>
      </c>
      <c r="O629" s="35" t="s">
        <v>5616</v>
      </c>
      <c r="P629" s="35" t="s">
        <v>5617</v>
      </c>
    </row>
    <row r="630" spans="1:16" hidden="1">
      <c r="A630" s="35">
        <v>2261</v>
      </c>
      <c r="B630" s="36" t="s">
        <v>1776</v>
      </c>
      <c r="C630" t="e">
        <f>VLOOKUP(A630,'TABELA SPOLINE'!A:J,10,FALSE)</f>
        <v>#N/A</v>
      </c>
      <c r="H630">
        <v>636</v>
      </c>
      <c r="I630">
        <v>1</v>
      </c>
      <c r="J630" s="35" t="s">
        <v>3161</v>
      </c>
      <c r="K630" t="str">
        <f t="shared" si="217"/>
        <v>2261</v>
      </c>
      <c r="L630" s="36" t="s">
        <v>4679</v>
      </c>
      <c r="M630" s="35">
        <v>7629</v>
      </c>
      <c r="N630" s="36" t="s">
        <v>5269</v>
      </c>
      <c r="O630" s="35" t="s">
        <v>5616</v>
      </c>
      <c r="P630" s="35" t="s">
        <v>5617</v>
      </c>
    </row>
    <row r="631" spans="1:16" hidden="1">
      <c r="A631" s="35">
        <v>2264</v>
      </c>
      <c r="B631" s="36" t="s">
        <v>2005</v>
      </c>
      <c r="C631" t="e">
        <f>VLOOKUP(A631,'TABELA SPOLINE'!A:J,10,FALSE)</f>
        <v>#N/A</v>
      </c>
      <c r="H631">
        <v>811</v>
      </c>
      <c r="I631">
        <v>120</v>
      </c>
      <c r="J631" s="35" t="s">
        <v>3390</v>
      </c>
      <c r="K631" t="str">
        <f t="shared" si="217"/>
        <v>2264</v>
      </c>
      <c r="L631" s="36" t="s">
        <v>4680</v>
      </c>
      <c r="M631" s="35">
        <v>7629</v>
      </c>
      <c r="N631" s="36" t="s">
        <v>5269</v>
      </c>
      <c r="O631" s="35" t="s">
        <v>5484</v>
      </c>
      <c r="P631" s="35" t="s">
        <v>5485</v>
      </c>
    </row>
    <row r="632" spans="1:16" hidden="1">
      <c r="A632" s="35">
        <v>2265</v>
      </c>
      <c r="B632" s="36" t="s">
        <v>2006</v>
      </c>
      <c r="C632" t="e">
        <f>VLOOKUP(A632,'TABELA SPOLINE'!A:J,10,FALSE)</f>
        <v>#N/A</v>
      </c>
      <c r="H632">
        <v>811</v>
      </c>
      <c r="I632">
        <v>120</v>
      </c>
      <c r="J632" s="35" t="s">
        <v>3391</v>
      </c>
      <c r="K632" t="str">
        <f t="shared" si="217"/>
        <v>2265</v>
      </c>
      <c r="L632" s="36" t="s">
        <v>4681</v>
      </c>
      <c r="M632" s="35">
        <v>7629</v>
      </c>
      <c r="N632" s="36" t="s">
        <v>5269</v>
      </c>
      <c r="O632" s="35" t="s">
        <v>5484</v>
      </c>
      <c r="P632" s="35" t="s">
        <v>5485</v>
      </c>
    </row>
    <row r="633" spans="1:16" hidden="1">
      <c r="A633" s="35">
        <v>2316</v>
      </c>
      <c r="B633" s="36" t="s">
        <v>2129</v>
      </c>
      <c r="C633" t="e">
        <f>VLOOKUP(A633,'TABELA SPOLINE'!A:J,10,FALSE)</f>
        <v>#N/A</v>
      </c>
      <c r="H633">
        <v>787</v>
      </c>
      <c r="I633">
        <v>2</v>
      </c>
      <c r="J633" s="35" t="s">
        <v>3514</v>
      </c>
      <c r="K633" t="str">
        <f t="shared" si="217"/>
        <v>2316</v>
      </c>
      <c r="L633" s="36" t="s">
        <v>4682</v>
      </c>
      <c r="M633" s="35">
        <v>7629</v>
      </c>
      <c r="N633" s="36" t="s">
        <v>5269</v>
      </c>
      <c r="O633" s="35" t="s">
        <v>5484</v>
      </c>
      <c r="P633" s="35" t="s">
        <v>5485</v>
      </c>
    </row>
    <row r="634" spans="1:16" hidden="1">
      <c r="A634" s="35">
        <v>2317</v>
      </c>
      <c r="B634" s="36" t="s">
        <v>1895</v>
      </c>
      <c r="C634" t="e">
        <f>VLOOKUP(A634,'TABELA SPOLINE'!A:J,10,FALSE)</f>
        <v>#N/A</v>
      </c>
      <c r="H634">
        <v>784</v>
      </c>
      <c r="I634">
        <v>2</v>
      </c>
      <c r="J634" s="35" t="s">
        <v>3280</v>
      </c>
      <c r="K634" t="str">
        <f t="shared" si="217"/>
        <v>2317</v>
      </c>
      <c r="L634" s="36" t="s">
        <v>4683</v>
      </c>
      <c r="M634" s="35">
        <v>7629</v>
      </c>
      <c r="N634" s="36" t="s">
        <v>5269</v>
      </c>
      <c r="O634" s="35" t="s">
        <v>5484</v>
      </c>
      <c r="P634" s="35" t="s">
        <v>5485</v>
      </c>
    </row>
    <row r="635" spans="1:16" hidden="1">
      <c r="A635" s="35">
        <v>2324</v>
      </c>
      <c r="B635" s="36" t="s">
        <v>1974</v>
      </c>
      <c r="C635" t="e">
        <f>VLOOKUP(A635,'TABELA SPOLINE'!A:J,10,FALSE)</f>
        <v>#N/A</v>
      </c>
      <c r="H635">
        <v>806</v>
      </c>
      <c r="I635">
        <v>5</v>
      </c>
      <c r="J635" s="35" t="s">
        <v>3359</v>
      </c>
      <c r="K635" t="str">
        <f t="shared" si="217"/>
        <v>2324</v>
      </c>
      <c r="L635" s="36" t="s">
        <v>4684</v>
      </c>
      <c r="M635" s="35">
        <v>7629</v>
      </c>
      <c r="N635" s="36" t="s">
        <v>5269</v>
      </c>
      <c r="O635" s="35" t="s">
        <v>5484</v>
      </c>
      <c r="P635" s="35" t="s">
        <v>5485</v>
      </c>
    </row>
    <row r="636" spans="1:16" hidden="1">
      <c r="A636" s="35">
        <v>2328</v>
      </c>
      <c r="B636" s="36" t="s">
        <v>1906</v>
      </c>
      <c r="C636" t="e">
        <f>VLOOKUP(A636,'TABELA SPOLINE'!A:J,10,FALSE)</f>
        <v>#N/A</v>
      </c>
      <c r="H636">
        <v>786</v>
      </c>
      <c r="I636">
        <v>1</v>
      </c>
      <c r="J636" s="35" t="s">
        <v>3291</v>
      </c>
      <c r="K636" t="str">
        <f t="shared" si="217"/>
        <v>2328</v>
      </c>
      <c r="L636" s="36" t="s">
        <v>4685</v>
      </c>
      <c r="M636" s="35">
        <v>7629</v>
      </c>
      <c r="N636" s="36" t="s">
        <v>5269</v>
      </c>
      <c r="O636" s="35" t="s">
        <v>5484</v>
      </c>
      <c r="P636" s="35" t="s">
        <v>5485</v>
      </c>
    </row>
    <row r="637" spans="1:16" hidden="1">
      <c r="A637" s="35">
        <v>2343</v>
      </c>
      <c r="B637" s="36" t="s">
        <v>1924</v>
      </c>
      <c r="C637" t="e">
        <f>VLOOKUP(A637,'TABELA SPOLINE'!A:J,10,FALSE)</f>
        <v>#N/A</v>
      </c>
      <c r="H637">
        <v>799</v>
      </c>
      <c r="I637">
        <v>1</v>
      </c>
      <c r="J637" s="35" t="s">
        <v>3309</v>
      </c>
      <c r="K637" t="str">
        <f t="shared" si="217"/>
        <v>2343</v>
      </c>
      <c r="L637" s="36" t="s">
        <v>4686</v>
      </c>
      <c r="M637" s="35">
        <v>7629</v>
      </c>
      <c r="N637" s="36" t="s">
        <v>5269</v>
      </c>
      <c r="O637" s="35" t="s">
        <v>5484</v>
      </c>
      <c r="P637" s="35" t="s">
        <v>5485</v>
      </c>
    </row>
    <row r="638" spans="1:16" hidden="1">
      <c r="A638" s="35">
        <v>2346</v>
      </c>
      <c r="B638" s="36" t="s">
        <v>1603</v>
      </c>
      <c r="C638" t="e">
        <f>VLOOKUP(A638,'TABELA SPOLINE'!A:J,10,FALSE)</f>
        <v>#N/A</v>
      </c>
      <c r="H638">
        <v>418</v>
      </c>
      <c r="I638">
        <v>2</v>
      </c>
      <c r="J638" s="35" t="s">
        <v>2991</v>
      </c>
      <c r="K638" t="str">
        <f t="shared" si="217"/>
        <v>2346</v>
      </c>
      <c r="L638" s="36" t="s">
        <v>4687</v>
      </c>
      <c r="M638" s="35">
        <v>7629</v>
      </c>
      <c r="N638" s="36" t="s">
        <v>5269</v>
      </c>
      <c r="O638" s="35" t="s">
        <v>5484</v>
      </c>
      <c r="P638" s="35" t="s">
        <v>5485</v>
      </c>
    </row>
    <row r="639" spans="1:16" hidden="1">
      <c r="A639" s="35">
        <v>2353</v>
      </c>
      <c r="B639" s="36" t="s">
        <v>1821</v>
      </c>
      <c r="C639" t="e">
        <f>VLOOKUP(A639,'TABELA SPOLINE'!A:J,10,FALSE)</f>
        <v>#N/A</v>
      </c>
      <c r="H639">
        <v>733</v>
      </c>
      <c r="I639">
        <v>3</v>
      </c>
      <c r="J639" s="35" t="s">
        <v>3206</v>
      </c>
      <c r="K639" t="str">
        <f t="shared" si="217"/>
        <v>2353</v>
      </c>
      <c r="L639" s="36" t="s">
        <v>4688</v>
      </c>
      <c r="M639" s="35">
        <v>7629</v>
      </c>
      <c r="N639" s="36" t="s">
        <v>5269</v>
      </c>
      <c r="O639" s="35" t="s">
        <v>5644</v>
      </c>
      <c r="P639" s="35" t="s">
        <v>5645</v>
      </c>
    </row>
    <row r="640" spans="1:16">
      <c r="A640" s="35">
        <v>2359</v>
      </c>
      <c r="B640" s="36" t="s">
        <v>2031</v>
      </c>
      <c r="C640">
        <f>VLOOKUP(A640,'TABELA SPOLINE'!A:J,10,FALSE)</f>
        <v>338.35200000000003</v>
      </c>
      <c r="D640">
        <f t="shared" ref="D640:D642" si="238">C640*0.1+C640</f>
        <v>372.18720000000002</v>
      </c>
      <c r="E640">
        <f t="shared" ref="E640:E642" si="239">ROUNDUP(D640,2)</f>
        <v>372.19</v>
      </c>
      <c r="F640">
        <f t="shared" ref="F640:F642" si="240">E640*0.0975+E640</f>
        <v>408.47852499999999</v>
      </c>
      <c r="G640">
        <f t="shared" ref="G640:G642" si="241">ROUNDUP(F640,2)</f>
        <v>408.48</v>
      </c>
      <c r="H640">
        <v>827</v>
      </c>
      <c r="I640">
        <v>30</v>
      </c>
      <c r="J640" s="35" t="s">
        <v>3416</v>
      </c>
      <c r="K640" t="str">
        <f t="shared" si="217"/>
        <v>2359</v>
      </c>
      <c r="L640" s="36" t="s">
        <v>4689</v>
      </c>
      <c r="M640" s="35">
        <v>7629</v>
      </c>
      <c r="N640" s="36" t="s">
        <v>5269</v>
      </c>
      <c r="O640" s="35" t="s">
        <v>5646</v>
      </c>
      <c r="P640" s="35" t="s">
        <v>5647</v>
      </c>
    </row>
    <row r="641" spans="1:16">
      <c r="A641" s="35">
        <v>2367</v>
      </c>
      <c r="B641" s="36" t="s">
        <v>2306</v>
      </c>
      <c r="C641">
        <f>VLOOKUP(A641,'TABELA SPOLINE'!A:J,10,FALSE)</f>
        <v>195.88800000000003</v>
      </c>
      <c r="D641">
        <f t="shared" si="238"/>
        <v>215.47680000000003</v>
      </c>
      <c r="E641">
        <f t="shared" si="239"/>
        <v>215.48</v>
      </c>
      <c r="F641">
        <f t="shared" si="240"/>
        <v>236.48929999999999</v>
      </c>
      <c r="G641">
        <f t="shared" si="241"/>
        <v>236.48999999999998</v>
      </c>
      <c r="H641">
        <v>646</v>
      </c>
      <c r="I641">
        <v>1</v>
      </c>
      <c r="J641" s="35" t="s">
        <v>3691</v>
      </c>
      <c r="K641" t="str">
        <f t="shared" si="217"/>
        <v>2367</v>
      </c>
      <c r="L641" s="36" t="s">
        <v>4690</v>
      </c>
      <c r="M641" s="35">
        <v>7629</v>
      </c>
      <c r="N641" s="36" t="s">
        <v>5269</v>
      </c>
      <c r="O641" s="35" t="s">
        <v>5646</v>
      </c>
      <c r="P641" s="35" t="s">
        <v>5647</v>
      </c>
    </row>
    <row r="642" spans="1:16">
      <c r="A642" s="35">
        <v>2373</v>
      </c>
      <c r="B642" s="36" t="s">
        <v>2032</v>
      </c>
      <c r="C642">
        <f>VLOOKUP(A642,'TABELA SPOLINE'!A:J,10,FALSE)</f>
        <v>338.35200000000003</v>
      </c>
      <c r="D642">
        <f t="shared" si="238"/>
        <v>372.18720000000002</v>
      </c>
      <c r="E642">
        <f t="shared" si="239"/>
        <v>372.19</v>
      </c>
      <c r="F642">
        <f t="shared" si="240"/>
        <v>408.47852499999999</v>
      </c>
      <c r="G642">
        <f t="shared" si="241"/>
        <v>408.48</v>
      </c>
      <c r="H642">
        <v>827</v>
      </c>
      <c r="I642">
        <v>30</v>
      </c>
      <c r="J642" s="35" t="s">
        <v>3417</v>
      </c>
      <c r="K642" t="str">
        <f t="shared" si="217"/>
        <v>2373</v>
      </c>
      <c r="L642" s="36" t="s">
        <v>4691</v>
      </c>
      <c r="M642" s="35">
        <v>7629</v>
      </c>
      <c r="N642" s="36" t="s">
        <v>5269</v>
      </c>
      <c r="O642" s="35" t="s">
        <v>5646</v>
      </c>
      <c r="P642" s="35" t="s">
        <v>5647</v>
      </c>
    </row>
    <row r="643" spans="1:16" hidden="1">
      <c r="A643" s="35">
        <v>2376</v>
      </c>
      <c r="B643" s="36" t="s">
        <v>1646</v>
      </c>
      <c r="C643" t="e">
        <f>VLOOKUP(A643,'TABELA SPOLINE'!A:J,10,FALSE)</f>
        <v>#N/A</v>
      </c>
      <c r="H643">
        <v>735</v>
      </c>
      <c r="I643">
        <v>25</v>
      </c>
      <c r="J643" s="35" t="s">
        <v>3034</v>
      </c>
      <c r="K643" t="str">
        <f t="shared" ref="K643:K706" si="242">TRIM(A643)</f>
        <v>2376</v>
      </c>
      <c r="L643" s="36" t="s">
        <v>4692</v>
      </c>
      <c r="M643" s="35">
        <v>7629</v>
      </c>
      <c r="N643" s="36" t="s">
        <v>5269</v>
      </c>
      <c r="O643" s="35" t="s">
        <v>5644</v>
      </c>
      <c r="P643" s="35" t="s">
        <v>5645</v>
      </c>
    </row>
    <row r="644" spans="1:16">
      <c r="A644" s="35">
        <v>2452</v>
      </c>
      <c r="B644" s="36" t="s">
        <v>1696</v>
      </c>
      <c r="C644">
        <f>VLOOKUP(A644,'TABELA SPOLINE'!A:J,10,FALSE)</f>
        <v>400.68</v>
      </c>
      <c r="D644">
        <f>C644*0.1+C644</f>
        <v>440.74799999999999</v>
      </c>
      <c r="E644">
        <f>ROUNDUP(D644,2)</f>
        <v>440.75</v>
      </c>
      <c r="F644">
        <f>E644*0.0975+E644</f>
        <v>483.72312499999998</v>
      </c>
      <c r="G644">
        <f>ROUNDUP(F644,2)</f>
        <v>483.73</v>
      </c>
      <c r="H644">
        <v>824</v>
      </c>
      <c r="I644">
        <v>30</v>
      </c>
      <c r="J644" s="35" t="s">
        <v>3084</v>
      </c>
      <c r="K644" t="str">
        <f t="shared" si="242"/>
        <v>2452</v>
      </c>
      <c r="L644" s="36" t="s">
        <v>4693</v>
      </c>
      <c r="M644" s="35">
        <v>7629</v>
      </c>
      <c r="N644" s="36" t="s">
        <v>5269</v>
      </c>
      <c r="O644" s="35" t="s">
        <v>5644</v>
      </c>
      <c r="P644" s="35" t="s">
        <v>5645</v>
      </c>
    </row>
    <row r="645" spans="1:16" hidden="1">
      <c r="A645" s="35">
        <v>2454</v>
      </c>
      <c r="B645" s="36" t="s">
        <v>2263</v>
      </c>
      <c r="C645" t="e">
        <f>VLOOKUP(A645,'TABELA SPOLINE'!A:J,10,FALSE)</f>
        <v>#N/A</v>
      </c>
      <c r="H645">
        <v>835</v>
      </c>
      <c r="I645">
        <v>1</v>
      </c>
      <c r="J645" s="35" t="s">
        <v>3648</v>
      </c>
      <c r="K645" t="str">
        <f t="shared" si="242"/>
        <v>2454</v>
      </c>
      <c r="L645" s="36" t="s">
        <v>4694</v>
      </c>
      <c r="M645" s="35">
        <v>7629</v>
      </c>
      <c r="N645" s="36" t="s">
        <v>5269</v>
      </c>
      <c r="O645" s="35" t="s">
        <v>5644</v>
      </c>
      <c r="P645" s="35" t="s">
        <v>5645</v>
      </c>
    </row>
    <row r="646" spans="1:16" hidden="1">
      <c r="A646" s="35">
        <v>2468</v>
      </c>
      <c r="B646" s="36" t="s">
        <v>1742</v>
      </c>
      <c r="C646" t="e">
        <f>VLOOKUP(A646,'TABELA SPOLINE'!A:J,10,FALSE)</f>
        <v>#N/A</v>
      </c>
      <c r="H646">
        <v>432</v>
      </c>
      <c r="I646">
        <v>4</v>
      </c>
      <c r="J646" s="35" t="s">
        <v>3129</v>
      </c>
      <c r="K646" t="str">
        <f t="shared" si="242"/>
        <v>2468</v>
      </c>
      <c r="L646" s="36" t="s">
        <v>4695</v>
      </c>
      <c r="M646" s="35">
        <v>7629</v>
      </c>
      <c r="N646" s="36" t="s">
        <v>5269</v>
      </c>
      <c r="O646" s="35" t="s">
        <v>5644</v>
      </c>
      <c r="P646" s="35" t="s">
        <v>5645</v>
      </c>
    </row>
    <row r="647" spans="1:16" hidden="1">
      <c r="A647" s="35">
        <v>2481</v>
      </c>
      <c r="B647" s="36" t="s">
        <v>1791</v>
      </c>
      <c r="C647" t="e">
        <f>VLOOKUP(A647,'TABELA SPOLINE'!A:J,10,FALSE)</f>
        <v>#N/A</v>
      </c>
      <c r="H647">
        <v>723</v>
      </c>
      <c r="I647">
        <v>8</v>
      </c>
      <c r="J647" s="35" t="s">
        <v>3176</v>
      </c>
      <c r="K647" t="str">
        <f t="shared" si="242"/>
        <v>2481</v>
      </c>
      <c r="L647" s="36" t="s">
        <v>4696</v>
      </c>
      <c r="M647" s="35">
        <v>7629</v>
      </c>
      <c r="N647" s="36" t="s">
        <v>5269</v>
      </c>
      <c r="O647" s="35" t="s">
        <v>5648</v>
      </c>
      <c r="P647" s="35" t="s">
        <v>5649</v>
      </c>
    </row>
    <row r="648" spans="1:16" hidden="1">
      <c r="A648" s="35">
        <v>2482</v>
      </c>
      <c r="B648" s="36" t="s">
        <v>1802</v>
      </c>
      <c r="C648" t="e">
        <f>VLOOKUP(A648,'TABELA SPOLINE'!A:J,10,FALSE)</f>
        <v>#N/A</v>
      </c>
      <c r="H648">
        <v>723</v>
      </c>
      <c r="I648">
        <v>12</v>
      </c>
      <c r="J648" s="35" t="s">
        <v>3187</v>
      </c>
      <c r="K648" t="str">
        <f t="shared" si="242"/>
        <v>2482</v>
      </c>
      <c r="L648" s="36" t="s">
        <v>4697</v>
      </c>
      <c r="M648" s="35">
        <v>7629</v>
      </c>
      <c r="N648" s="36" t="s">
        <v>5269</v>
      </c>
      <c r="O648" s="35" t="s">
        <v>5648</v>
      </c>
      <c r="P648" s="35" t="s">
        <v>5649</v>
      </c>
    </row>
    <row r="649" spans="1:16" hidden="1">
      <c r="A649" s="35">
        <v>2491</v>
      </c>
      <c r="B649" s="36" t="s">
        <v>2097</v>
      </c>
      <c r="C649" t="e">
        <f>VLOOKUP(A649,'TABELA SPOLINE'!A:J,10,FALSE)</f>
        <v>#N/A</v>
      </c>
      <c r="H649">
        <v>727</v>
      </c>
      <c r="I649">
        <v>1</v>
      </c>
      <c r="J649" s="35" t="s">
        <v>3482</v>
      </c>
      <c r="K649" t="str">
        <f t="shared" si="242"/>
        <v>2491</v>
      </c>
      <c r="L649" s="36" t="s">
        <v>4698</v>
      </c>
      <c r="M649" s="35">
        <v>7629</v>
      </c>
      <c r="N649" s="36" t="s">
        <v>5269</v>
      </c>
      <c r="O649" s="35" t="s">
        <v>5270</v>
      </c>
      <c r="P649" s="35" t="s">
        <v>5271</v>
      </c>
    </row>
    <row r="650" spans="1:16">
      <c r="A650" s="35">
        <v>2494</v>
      </c>
      <c r="B650" s="36" t="s">
        <v>2007</v>
      </c>
      <c r="C650">
        <f>VLOOKUP(A650,'TABELA SPOLINE'!A:J,10,FALSE)</f>
        <v>263.78100000000001</v>
      </c>
      <c r="D650">
        <f>C650*0.1+C650</f>
        <v>290.15910000000002</v>
      </c>
      <c r="E650">
        <f>ROUNDUP(D650,2)</f>
        <v>290.15999999999997</v>
      </c>
      <c r="F650">
        <f>E650*0.0975+E650</f>
        <v>318.45059999999995</v>
      </c>
      <c r="G650">
        <f>ROUNDUP(F650,2)</f>
        <v>318.45999999999998</v>
      </c>
      <c r="H650">
        <v>811</v>
      </c>
      <c r="I650">
        <v>120</v>
      </c>
      <c r="J650" s="35" t="s">
        <v>3392</v>
      </c>
      <c r="K650" t="str">
        <f t="shared" si="242"/>
        <v>2494</v>
      </c>
      <c r="L650" s="36" t="s">
        <v>4698</v>
      </c>
      <c r="M650" s="35">
        <v>7629</v>
      </c>
      <c r="N650" s="36" t="s">
        <v>5269</v>
      </c>
      <c r="O650" s="35" t="s">
        <v>5270</v>
      </c>
      <c r="P650" s="35" t="s">
        <v>5271</v>
      </c>
    </row>
    <row r="651" spans="1:16" hidden="1">
      <c r="A651" s="35">
        <v>2496</v>
      </c>
      <c r="B651" s="36" t="s">
        <v>2156</v>
      </c>
      <c r="C651" t="e">
        <f>VLOOKUP(A651,'TABELA SPOLINE'!A:J,10,FALSE)</f>
        <v>#N/A</v>
      </c>
      <c r="H651">
        <v>790</v>
      </c>
      <c r="I651">
        <v>1</v>
      </c>
      <c r="J651" s="35" t="s">
        <v>3541</v>
      </c>
      <c r="K651" t="str">
        <f t="shared" si="242"/>
        <v>2496</v>
      </c>
      <c r="L651" s="36" t="s">
        <v>4699</v>
      </c>
      <c r="M651" s="35">
        <v>7629</v>
      </c>
      <c r="N651" s="36" t="s">
        <v>5269</v>
      </c>
      <c r="O651" s="35" t="s">
        <v>5270</v>
      </c>
      <c r="P651" s="35" t="s">
        <v>5271</v>
      </c>
    </row>
    <row r="652" spans="1:16" hidden="1">
      <c r="A652" s="35">
        <v>2519</v>
      </c>
      <c r="B652" s="36" t="s">
        <v>1731</v>
      </c>
      <c r="C652" t="e">
        <f>VLOOKUP(A652,'TABELA SPOLINE'!A:J,10,FALSE)</f>
        <v>#N/A</v>
      </c>
      <c r="H652">
        <v>415</v>
      </c>
      <c r="I652">
        <v>1</v>
      </c>
      <c r="J652" s="35" t="s">
        <v>3118</v>
      </c>
      <c r="K652" t="str">
        <f t="shared" si="242"/>
        <v>2519</v>
      </c>
      <c r="L652" s="36" t="s">
        <v>4700</v>
      </c>
      <c r="M652" s="35">
        <v>7629</v>
      </c>
      <c r="N652" s="36" t="s">
        <v>5269</v>
      </c>
      <c r="O652" s="35" t="s">
        <v>5650</v>
      </c>
      <c r="P652" s="35" t="s">
        <v>5651</v>
      </c>
    </row>
    <row r="653" spans="1:16">
      <c r="A653" s="35">
        <v>2532</v>
      </c>
      <c r="B653" s="36" t="s">
        <v>2656</v>
      </c>
      <c r="C653">
        <f>VLOOKUP(A653,'TABELA SPOLINE'!A:J,10,FALSE)</f>
        <v>228.16500000000002</v>
      </c>
      <c r="D653">
        <f t="shared" ref="D653:D655" si="243">C653*0.1+C653</f>
        <v>250.98150000000004</v>
      </c>
      <c r="E653">
        <f t="shared" ref="E653:E655" si="244">ROUNDUP(D653,2)</f>
        <v>250.98999999999998</v>
      </c>
      <c r="F653">
        <f t="shared" ref="F653:F655" si="245">E653*0.0975+E653</f>
        <v>275.46152499999999</v>
      </c>
      <c r="G653">
        <f t="shared" ref="G653:G655" si="246">ROUNDUP(F653,2)</f>
        <v>275.46999999999997</v>
      </c>
      <c r="J653" s="35" t="s">
        <v>2655</v>
      </c>
      <c r="K653" t="str">
        <f t="shared" si="242"/>
        <v>2532</v>
      </c>
      <c r="L653" s="36" t="s">
        <v>4701</v>
      </c>
      <c r="M653" s="35">
        <v>7629</v>
      </c>
      <c r="N653" s="36" t="s">
        <v>5269</v>
      </c>
      <c r="O653" s="35" t="s">
        <v>5648</v>
      </c>
      <c r="P653" s="35" t="s">
        <v>5649</v>
      </c>
    </row>
    <row r="654" spans="1:16">
      <c r="A654" s="35">
        <v>2533</v>
      </c>
      <c r="B654" s="36" t="s">
        <v>2657</v>
      </c>
      <c r="C654">
        <f>VLOOKUP(A654,'TABELA SPOLINE'!A:J,10,FALSE)</f>
        <v>228.16500000000002</v>
      </c>
      <c r="D654">
        <f t="shared" si="243"/>
        <v>250.98150000000004</v>
      </c>
      <c r="E654">
        <f t="shared" si="244"/>
        <v>250.98999999999998</v>
      </c>
      <c r="F654">
        <f t="shared" si="245"/>
        <v>275.46152499999999</v>
      </c>
      <c r="G654">
        <f t="shared" si="246"/>
        <v>275.46999999999997</v>
      </c>
      <c r="H654">
        <v>844</v>
      </c>
      <c r="I654">
        <v>1</v>
      </c>
      <c r="J654" s="35" t="s">
        <v>4038</v>
      </c>
      <c r="K654" t="str">
        <f t="shared" si="242"/>
        <v>2533</v>
      </c>
      <c r="L654" s="36" t="s">
        <v>4696</v>
      </c>
      <c r="M654" s="35">
        <v>7629</v>
      </c>
      <c r="N654" s="36" t="s">
        <v>5269</v>
      </c>
      <c r="O654" s="35" t="s">
        <v>5648</v>
      </c>
      <c r="P654" s="35" t="s">
        <v>5649</v>
      </c>
    </row>
    <row r="655" spans="1:16">
      <c r="A655" s="35">
        <v>2537</v>
      </c>
      <c r="B655" s="36" t="s">
        <v>1687</v>
      </c>
      <c r="C655">
        <f>VLOOKUP(A655,'TABELA SPOLINE'!A:J,10,FALSE)</f>
        <v>238.18199999999999</v>
      </c>
      <c r="D655">
        <f t="shared" si="243"/>
        <v>262.00020000000001</v>
      </c>
      <c r="E655">
        <f t="shared" si="244"/>
        <v>262.01</v>
      </c>
      <c r="F655">
        <f t="shared" si="245"/>
        <v>287.55597499999999</v>
      </c>
      <c r="G655">
        <f t="shared" si="246"/>
        <v>287.56</v>
      </c>
      <c r="H655">
        <v>824</v>
      </c>
      <c r="I655">
        <v>30</v>
      </c>
      <c r="J655" s="35" t="s">
        <v>3075</v>
      </c>
      <c r="K655" t="str">
        <f t="shared" si="242"/>
        <v>2537</v>
      </c>
      <c r="L655" s="36" t="s">
        <v>4696</v>
      </c>
      <c r="M655" s="35">
        <v>7629</v>
      </c>
      <c r="N655" s="36" t="s">
        <v>5269</v>
      </c>
      <c r="O655" s="35" t="s">
        <v>5648</v>
      </c>
      <c r="P655" s="35" t="s">
        <v>5649</v>
      </c>
    </row>
    <row r="656" spans="1:16" hidden="1">
      <c r="A656" s="35">
        <v>2563</v>
      </c>
      <c r="B656" s="36" t="s">
        <v>1803</v>
      </c>
      <c r="C656" t="e">
        <f>VLOOKUP(A656,'TABELA SPOLINE'!A:J,10,FALSE)</f>
        <v>#N/A</v>
      </c>
      <c r="H656">
        <v>723</v>
      </c>
      <c r="I656">
        <v>12</v>
      </c>
      <c r="J656" s="35" t="s">
        <v>3188</v>
      </c>
      <c r="K656" t="str">
        <f t="shared" si="242"/>
        <v>2563</v>
      </c>
      <c r="L656" s="36" t="s">
        <v>4702</v>
      </c>
      <c r="M656" s="35">
        <v>7629</v>
      </c>
      <c r="N656" s="36" t="s">
        <v>5269</v>
      </c>
      <c r="O656" s="35" t="s">
        <v>5652</v>
      </c>
      <c r="P656" s="35" t="s">
        <v>5653</v>
      </c>
    </row>
    <row r="657" spans="1:16" hidden="1">
      <c r="A657" s="35">
        <v>2566</v>
      </c>
      <c r="B657" s="36" t="s">
        <v>2081</v>
      </c>
      <c r="C657" t="e">
        <f>VLOOKUP(A657,'TABELA SPOLINE'!A:J,10,FALSE)</f>
        <v>#N/A</v>
      </c>
      <c r="H657">
        <v>709</v>
      </c>
      <c r="I657">
        <v>1</v>
      </c>
      <c r="J657" s="35" t="s">
        <v>3466</v>
      </c>
      <c r="K657" t="str">
        <f t="shared" si="242"/>
        <v>2566</v>
      </c>
      <c r="L657" s="36" t="s">
        <v>4703</v>
      </c>
      <c r="M657" s="35">
        <v>7629</v>
      </c>
      <c r="N657" s="36" t="s">
        <v>5269</v>
      </c>
      <c r="O657" s="35" t="s">
        <v>5650</v>
      </c>
      <c r="P657" s="35" t="s">
        <v>5651</v>
      </c>
    </row>
    <row r="658" spans="1:16">
      <c r="A658" s="35">
        <v>2573</v>
      </c>
      <c r="B658" s="36" t="s">
        <v>2082</v>
      </c>
      <c r="C658">
        <f>VLOOKUP(A658,'TABELA SPOLINE'!A:J,10,FALSE)</f>
        <v>52.311000000000007</v>
      </c>
      <c r="D658">
        <f>C658*0.1+C658</f>
        <v>57.542100000000005</v>
      </c>
      <c r="E658">
        <f>ROUNDUP(D658,2)</f>
        <v>57.55</v>
      </c>
      <c r="F658">
        <f>E658*0.0975+E658</f>
        <v>63.161124999999998</v>
      </c>
      <c r="G658">
        <f>ROUNDUP(F658,2)</f>
        <v>63.169999999999995</v>
      </c>
      <c r="H658">
        <v>709</v>
      </c>
      <c r="I658">
        <v>1</v>
      </c>
      <c r="J658" s="35" t="s">
        <v>3467</v>
      </c>
      <c r="K658" t="str">
        <f t="shared" si="242"/>
        <v>2573</v>
      </c>
      <c r="L658" s="36" t="s">
        <v>4704</v>
      </c>
      <c r="M658" s="35">
        <v>7629</v>
      </c>
      <c r="N658" s="36" t="s">
        <v>5269</v>
      </c>
      <c r="O658" s="35" t="s">
        <v>5270</v>
      </c>
      <c r="P658" s="35" t="s">
        <v>5271</v>
      </c>
    </row>
    <row r="659" spans="1:16" hidden="1">
      <c r="A659" s="35">
        <v>2574</v>
      </c>
      <c r="B659" s="36" t="s">
        <v>2208</v>
      </c>
      <c r="C659" t="e">
        <f>VLOOKUP(A659,'TABELA SPOLINE'!A:J,10,FALSE)</f>
        <v>#N/A</v>
      </c>
      <c r="H659">
        <v>817</v>
      </c>
      <c r="I659">
        <v>1</v>
      </c>
      <c r="J659" s="35" t="s">
        <v>3593</v>
      </c>
      <c r="K659" t="str">
        <f t="shared" si="242"/>
        <v>2574</v>
      </c>
      <c r="L659" s="36" t="s">
        <v>4696</v>
      </c>
      <c r="M659" s="35">
        <v>7629</v>
      </c>
      <c r="N659" s="36" t="s">
        <v>5269</v>
      </c>
      <c r="O659" s="35" t="s">
        <v>5270</v>
      </c>
      <c r="P659" s="35" t="s">
        <v>5271</v>
      </c>
    </row>
    <row r="660" spans="1:16" hidden="1">
      <c r="A660" s="35">
        <v>2575</v>
      </c>
      <c r="B660" s="36" t="s">
        <v>2098</v>
      </c>
      <c r="C660" t="e">
        <f>VLOOKUP(A660,'TABELA SPOLINE'!A:J,10,FALSE)</f>
        <v>#N/A</v>
      </c>
      <c r="H660">
        <v>727</v>
      </c>
      <c r="I660">
        <v>1</v>
      </c>
      <c r="J660" s="35" t="s">
        <v>3483</v>
      </c>
      <c r="K660" t="str">
        <f t="shared" si="242"/>
        <v>2575</v>
      </c>
      <c r="L660" s="36" t="s">
        <v>4705</v>
      </c>
      <c r="M660" s="35">
        <v>7629</v>
      </c>
      <c r="N660" s="36" t="s">
        <v>5269</v>
      </c>
      <c r="O660" s="35" t="s">
        <v>5652</v>
      </c>
      <c r="P660" s="35" t="s">
        <v>5653</v>
      </c>
    </row>
    <row r="661" spans="1:16">
      <c r="A661" s="35">
        <v>2584</v>
      </c>
      <c r="B661" s="36" t="s">
        <v>1988</v>
      </c>
      <c r="C661">
        <f>VLOOKUP(A661,'TABELA SPOLINE'!A:J,10,FALSE)</f>
        <v>366.17700000000002</v>
      </c>
      <c r="D661">
        <f t="shared" ref="D661:D662" si="247">C661*0.1+C661</f>
        <v>402.79470000000003</v>
      </c>
      <c r="E661">
        <f t="shared" ref="E661:E662" si="248">ROUNDUP(D661,2)</f>
        <v>402.8</v>
      </c>
      <c r="F661">
        <f t="shared" ref="F661:F662" si="249">E661*0.0975+E661</f>
        <v>442.07300000000004</v>
      </c>
      <c r="G661">
        <f t="shared" ref="G661:G662" si="250">ROUNDUP(F661,2)</f>
        <v>442.08</v>
      </c>
      <c r="H661">
        <v>810</v>
      </c>
      <c r="I661">
        <v>120</v>
      </c>
      <c r="J661" s="35" t="s">
        <v>3373</v>
      </c>
      <c r="K661" t="str">
        <f t="shared" si="242"/>
        <v>2584</v>
      </c>
      <c r="L661" s="36" t="s">
        <v>4706</v>
      </c>
      <c r="M661" s="35">
        <v>7629</v>
      </c>
      <c r="N661" s="36" t="s">
        <v>5269</v>
      </c>
      <c r="O661" s="35" t="s">
        <v>5270</v>
      </c>
      <c r="P661" s="35" t="s">
        <v>5271</v>
      </c>
    </row>
    <row r="662" spans="1:16">
      <c r="A662" s="35">
        <v>2585</v>
      </c>
      <c r="B662" s="36" t="s">
        <v>2227</v>
      </c>
      <c r="C662">
        <f>VLOOKUP(A662,'TABELA SPOLINE'!A:J,10,FALSE)</f>
        <v>180.30600000000001</v>
      </c>
      <c r="D662">
        <f t="shared" si="247"/>
        <v>198.3366</v>
      </c>
      <c r="E662">
        <f t="shared" si="248"/>
        <v>198.34</v>
      </c>
      <c r="F662">
        <f t="shared" si="249"/>
        <v>217.67815000000002</v>
      </c>
      <c r="G662">
        <f t="shared" si="250"/>
        <v>217.67999999999998</v>
      </c>
      <c r="H662">
        <v>821</v>
      </c>
      <c r="I662">
        <v>1</v>
      </c>
      <c r="J662" s="35" t="s">
        <v>3612</v>
      </c>
      <c r="K662" t="str">
        <f t="shared" si="242"/>
        <v>2585</v>
      </c>
      <c r="L662" s="36" t="s">
        <v>4696</v>
      </c>
      <c r="M662" s="35">
        <v>7629</v>
      </c>
      <c r="N662" s="36" t="s">
        <v>5269</v>
      </c>
      <c r="O662" s="35" t="s">
        <v>5270</v>
      </c>
      <c r="P662" s="35" t="s">
        <v>5271</v>
      </c>
    </row>
    <row r="663" spans="1:16" hidden="1">
      <c r="A663" s="35">
        <v>2616</v>
      </c>
      <c r="B663" s="36" t="s">
        <v>2209</v>
      </c>
      <c r="C663" t="e">
        <f>VLOOKUP(A663,'TABELA SPOLINE'!A:J,10,FALSE)</f>
        <v>#N/A</v>
      </c>
      <c r="H663">
        <v>817</v>
      </c>
      <c r="I663">
        <v>1</v>
      </c>
      <c r="J663" s="35" t="s">
        <v>3594</v>
      </c>
      <c r="K663" t="str">
        <f t="shared" si="242"/>
        <v>2616</v>
      </c>
      <c r="L663" s="36" t="s">
        <v>4696</v>
      </c>
      <c r="M663" s="35">
        <v>7629</v>
      </c>
      <c r="N663" s="36" t="s">
        <v>5269</v>
      </c>
      <c r="O663" s="35" t="s">
        <v>5270</v>
      </c>
      <c r="P663" s="35" t="s">
        <v>5271</v>
      </c>
    </row>
    <row r="664" spans="1:16" hidden="1">
      <c r="A664" s="35">
        <v>2621</v>
      </c>
      <c r="B664" s="36" t="s">
        <v>2157</v>
      </c>
      <c r="C664" t="e">
        <f>VLOOKUP(A664,'TABELA SPOLINE'!A:J,10,FALSE)</f>
        <v>#N/A</v>
      </c>
      <c r="H664">
        <v>790</v>
      </c>
      <c r="I664">
        <v>1</v>
      </c>
      <c r="J664" s="35" t="s">
        <v>3542</v>
      </c>
      <c r="K664" t="str">
        <f t="shared" si="242"/>
        <v>2621</v>
      </c>
      <c r="L664" s="36" t="s">
        <v>4696</v>
      </c>
      <c r="M664" s="35">
        <v>7629</v>
      </c>
      <c r="N664" s="36" t="s">
        <v>5269</v>
      </c>
      <c r="O664" s="35" t="s">
        <v>5270</v>
      </c>
      <c r="P664" s="35" t="s">
        <v>5271</v>
      </c>
    </row>
    <row r="665" spans="1:16">
      <c r="A665" s="35">
        <v>2626</v>
      </c>
      <c r="B665" s="36" t="s">
        <v>2307</v>
      </c>
      <c r="C665">
        <f>VLOOKUP(A665,'TABELA SPOLINE'!A:J,10,FALSE)</f>
        <v>195.88800000000003</v>
      </c>
      <c r="D665">
        <f>C665*0.1+C665</f>
        <v>215.47680000000003</v>
      </c>
      <c r="E665">
        <f>ROUNDUP(D665,2)</f>
        <v>215.48</v>
      </c>
      <c r="F665">
        <f>E665*0.0975+E665</f>
        <v>236.48929999999999</v>
      </c>
      <c r="G665">
        <f>ROUNDUP(F665,2)</f>
        <v>236.48999999999998</v>
      </c>
      <c r="H665">
        <v>646</v>
      </c>
      <c r="I665">
        <v>1</v>
      </c>
      <c r="J665" s="35" t="s">
        <v>3692</v>
      </c>
      <c r="K665" t="str">
        <f t="shared" si="242"/>
        <v>2626</v>
      </c>
      <c r="L665" s="36" t="s">
        <v>4707</v>
      </c>
      <c r="M665" s="35">
        <v>7629</v>
      </c>
      <c r="N665" s="36" t="s">
        <v>5269</v>
      </c>
      <c r="O665" s="35" t="s">
        <v>5648</v>
      </c>
      <c r="P665" s="35" t="s">
        <v>5649</v>
      </c>
    </row>
    <row r="666" spans="1:16" hidden="1">
      <c r="A666" s="35">
        <v>2627</v>
      </c>
      <c r="B666" s="36" t="s">
        <v>2197</v>
      </c>
      <c r="C666" t="e">
        <f>VLOOKUP(A666,'TABELA SPOLINE'!A:J,10,FALSE)</f>
        <v>#N/A</v>
      </c>
      <c r="H666">
        <v>803</v>
      </c>
      <c r="I666">
        <v>1</v>
      </c>
      <c r="J666" s="35" t="s">
        <v>3582</v>
      </c>
      <c r="K666" t="str">
        <f t="shared" si="242"/>
        <v>2627</v>
      </c>
      <c r="L666" s="36" t="s">
        <v>4708</v>
      </c>
      <c r="M666" s="35">
        <v>7629</v>
      </c>
      <c r="N666" s="36" t="s">
        <v>5269</v>
      </c>
      <c r="O666" s="35" t="s">
        <v>5652</v>
      </c>
      <c r="P666" s="35" t="s">
        <v>5653</v>
      </c>
    </row>
    <row r="667" spans="1:16" hidden="1">
      <c r="A667" s="35">
        <v>2632</v>
      </c>
      <c r="B667" s="36" t="s">
        <v>2238</v>
      </c>
      <c r="C667" t="e">
        <f>VLOOKUP(A667,'TABELA SPOLINE'!A:J,10,FALSE)</f>
        <v>#N/A</v>
      </c>
      <c r="H667">
        <v>822</v>
      </c>
      <c r="I667">
        <v>2</v>
      </c>
      <c r="J667" s="35" t="s">
        <v>3623</v>
      </c>
      <c r="K667" t="str">
        <f t="shared" si="242"/>
        <v>2632</v>
      </c>
      <c r="L667" s="36" t="s">
        <v>4709</v>
      </c>
      <c r="M667" s="35">
        <v>7629</v>
      </c>
      <c r="N667" s="36" t="s">
        <v>5269</v>
      </c>
      <c r="O667" s="35" t="s">
        <v>5654</v>
      </c>
      <c r="P667" s="35" t="s">
        <v>5655</v>
      </c>
    </row>
    <row r="668" spans="1:16">
      <c r="A668" s="35">
        <v>2639</v>
      </c>
      <c r="B668" s="36" t="s">
        <v>1925</v>
      </c>
      <c r="C668">
        <f>VLOOKUP(A668,'TABELA SPOLINE'!A:J,10,FALSE)</f>
        <v>91.266000000000005</v>
      </c>
      <c r="D668">
        <f t="shared" ref="D668:D669" si="251">C668*0.1+C668</f>
        <v>100.3926</v>
      </c>
      <c r="E668">
        <f t="shared" ref="E668:E669" si="252">ROUNDUP(D668,2)</f>
        <v>100.4</v>
      </c>
      <c r="F668">
        <f t="shared" ref="F668:F669" si="253">E668*0.0975+E668</f>
        <v>110.18900000000001</v>
      </c>
      <c r="G668">
        <f t="shared" ref="G668:G669" si="254">ROUNDUP(F668,2)</f>
        <v>110.19000000000001</v>
      </c>
      <c r="H668">
        <v>799</v>
      </c>
      <c r="I668">
        <v>1</v>
      </c>
      <c r="J668" s="35" t="s">
        <v>3310</v>
      </c>
      <c r="K668" t="str">
        <f t="shared" si="242"/>
        <v>2639</v>
      </c>
      <c r="L668" s="36" t="s">
        <v>4710</v>
      </c>
      <c r="M668" s="35">
        <v>7629</v>
      </c>
      <c r="N668" s="36" t="s">
        <v>5269</v>
      </c>
      <c r="O668" s="35" t="s">
        <v>5656</v>
      </c>
      <c r="P668" s="35" t="s">
        <v>5657</v>
      </c>
    </row>
    <row r="669" spans="1:16">
      <c r="A669" s="35">
        <v>2640</v>
      </c>
      <c r="B669" s="36" t="s">
        <v>2083</v>
      </c>
      <c r="C669">
        <f>VLOOKUP(A669,'TABELA SPOLINE'!A:J,10,FALSE)</f>
        <v>52.311000000000007</v>
      </c>
      <c r="D669">
        <f t="shared" si="251"/>
        <v>57.542100000000005</v>
      </c>
      <c r="E669">
        <f t="shared" si="252"/>
        <v>57.55</v>
      </c>
      <c r="F669">
        <f t="shared" si="253"/>
        <v>63.161124999999998</v>
      </c>
      <c r="G669">
        <f t="shared" si="254"/>
        <v>63.169999999999995</v>
      </c>
      <c r="H669">
        <v>709</v>
      </c>
      <c r="I669">
        <v>1</v>
      </c>
      <c r="J669" s="35" t="s">
        <v>3468</v>
      </c>
      <c r="K669" t="str">
        <f t="shared" si="242"/>
        <v>2640</v>
      </c>
      <c r="L669" s="36" t="s">
        <v>4711</v>
      </c>
      <c r="M669" s="35">
        <v>7629</v>
      </c>
      <c r="N669" s="36" t="s">
        <v>5269</v>
      </c>
      <c r="O669" s="35" t="s">
        <v>5656</v>
      </c>
      <c r="P669" s="35" t="s">
        <v>5657</v>
      </c>
    </row>
    <row r="670" spans="1:16" hidden="1">
      <c r="A670" s="35">
        <v>2666</v>
      </c>
      <c r="B670" s="36" t="s">
        <v>1782</v>
      </c>
      <c r="C670" t="e">
        <f>VLOOKUP(A670,'TABELA SPOLINE'!A:J,10,FALSE)</f>
        <v>#N/A</v>
      </c>
      <c r="H670">
        <v>636</v>
      </c>
      <c r="I670">
        <v>3</v>
      </c>
      <c r="J670" s="35" t="s">
        <v>3167</v>
      </c>
      <c r="K670" t="str">
        <f t="shared" si="242"/>
        <v>2666</v>
      </c>
      <c r="L670" s="36" t="s">
        <v>4712</v>
      </c>
      <c r="M670" s="35">
        <v>7629</v>
      </c>
      <c r="N670" s="36" t="s">
        <v>5269</v>
      </c>
      <c r="O670" s="35" t="s">
        <v>5658</v>
      </c>
      <c r="P670" s="35" t="s">
        <v>5659</v>
      </c>
    </row>
    <row r="671" spans="1:16" hidden="1">
      <c r="A671" s="35">
        <v>2672</v>
      </c>
      <c r="B671" s="36" t="s">
        <v>2130</v>
      </c>
      <c r="C671" t="e">
        <f>VLOOKUP(A671,'TABELA SPOLINE'!A:J,10,FALSE)</f>
        <v>#N/A</v>
      </c>
      <c r="H671">
        <v>787</v>
      </c>
      <c r="I671">
        <v>2</v>
      </c>
      <c r="J671" s="35" t="s">
        <v>3515</v>
      </c>
      <c r="K671" t="str">
        <f t="shared" si="242"/>
        <v>2672</v>
      </c>
      <c r="L671" s="36" t="s">
        <v>4713</v>
      </c>
      <c r="M671" s="35">
        <v>7629</v>
      </c>
      <c r="N671" s="36" t="s">
        <v>5269</v>
      </c>
      <c r="O671" s="35" t="s">
        <v>5658</v>
      </c>
      <c r="P671" s="35" t="s">
        <v>5659</v>
      </c>
    </row>
    <row r="672" spans="1:16" hidden="1">
      <c r="A672" s="35">
        <v>2701</v>
      </c>
      <c r="B672" s="36" t="s">
        <v>1612</v>
      </c>
      <c r="C672" t="e">
        <f>VLOOKUP(A672,'TABELA SPOLINE'!A:J,10,FALSE)</f>
        <v>#N/A</v>
      </c>
      <c r="H672">
        <v>418</v>
      </c>
      <c r="I672">
        <v>3</v>
      </c>
      <c r="J672" s="35" t="s">
        <v>3000</v>
      </c>
      <c r="K672" t="str">
        <f t="shared" si="242"/>
        <v>2701</v>
      </c>
      <c r="L672" s="36" t="s">
        <v>4713</v>
      </c>
      <c r="M672" s="35">
        <v>7629</v>
      </c>
      <c r="N672" s="36" t="s">
        <v>5269</v>
      </c>
      <c r="O672" s="35" t="s">
        <v>5588</v>
      </c>
      <c r="P672" s="35" t="s">
        <v>5589</v>
      </c>
    </row>
    <row r="673" spans="1:16">
      <c r="A673" s="35">
        <v>2723</v>
      </c>
      <c r="B673" s="36" t="s">
        <v>1752</v>
      </c>
      <c r="C673">
        <f>VLOOKUP(A673,'TABELA SPOLINE'!A:J,10,FALSE)</f>
        <v>125.76900000000001</v>
      </c>
      <c r="D673">
        <f>C673*0.1+C673</f>
        <v>138.3459</v>
      </c>
      <c r="E673">
        <f>ROUNDUP(D673,2)</f>
        <v>138.35</v>
      </c>
      <c r="F673">
        <f>E673*0.0975+E673</f>
        <v>151.839125</v>
      </c>
      <c r="G673">
        <f>ROUNDUP(F673,2)</f>
        <v>151.84</v>
      </c>
      <c r="H673">
        <v>633</v>
      </c>
      <c r="I673">
        <v>1</v>
      </c>
      <c r="J673" s="35" t="s">
        <v>3139</v>
      </c>
      <c r="K673" t="str">
        <f t="shared" si="242"/>
        <v>2723</v>
      </c>
      <c r="L673" s="36" t="s">
        <v>4714</v>
      </c>
      <c r="M673" s="35">
        <v>7629</v>
      </c>
      <c r="N673" s="36" t="s">
        <v>5269</v>
      </c>
      <c r="O673" s="35" t="s">
        <v>5660</v>
      </c>
      <c r="P673" s="35" t="s">
        <v>5661</v>
      </c>
    </row>
    <row r="674" spans="1:16" hidden="1">
      <c r="A674" s="35">
        <v>2724</v>
      </c>
      <c r="B674" s="36" t="s">
        <v>1762</v>
      </c>
      <c r="C674" t="e">
        <f>VLOOKUP(A674,'TABELA SPOLINE'!A:J,10,FALSE)</f>
        <v>#N/A</v>
      </c>
      <c r="H674">
        <v>633</v>
      </c>
      <c r="I674">
        <v>3</v>
      </c>
      <c r="J674" s="35" t="s">
        <v>3149</v>
      </c>
      <c r="K674" t="str">
        <f t="shared" si="242"/>
        <v>2724</v>
      </c>
      <c r="L674" s="36" t="s">
        <v>4715</v>
      </c>
      <c r="M674" s="35">
        <v>7629</v>
      </c>
      <c r="N674" s="36" t="s">
        <v>5269</v>
      </c>
      <c r="O674" s="35" t="s">
        <v>5662</v>
      </c>
      <c r="P674" s="35" t="s">
        <v>5663</v>
      </c>
    </row>
    <row r="675" spans="1:16" hidden="1">
      <c r="A675" s="35">
        <v>2725</v>
      </c>
      <c r="B675" s="36" t="s">
        <v>1755</v>
      </c>
      <c r="C675" t="e">
        <f>VLOOKUP(A675,'TABELA SPOLINE'!A:J,10,FALSE)</f>
        <v>#N/A</v>
      </c>
      <c r="H675">
        <v>633</v>
      </c>
      <c r="I675">
        <v>1</v>
      </c>
      <c r="J675" s="35" t="s">
        <v>3142</v>
      </c>
      <c r="K675" t="str">
        <f t="shared" si="242"/>
        <v>2725</v>
      </c>
      <c r="L675" s="36" t="s">
        <v>4716</v>
      </c>
      <c r="M675" s="35">
        <v>7629</v>
      </c>
      <c r="N675" s="36" t="s">
        <v>5269</v>
      </c>
      <c r="O675" s="35" t="s">
        <v>5664</v>
      </c>
      <c r="P675" s="35" t="s">
        <v>5665</v>
      </c>
    </row>
    <row r="676" spans="1:16" hidden="1">
      <c r="A676" s="35">
        <v>2742</v>
      </c>
      <c r="B676" s="36" t="s">
        <v>1614</v>
      </c>
      <c r="C676" t="e">
        <f>VLOOKUP(A676,'TABELA SPOLINE'!A:J,10,FALSE)</f>
        <v>#N/A</v>
      </c>
      <c r="H676">
        <v>658</v>
      </c>
      <c r="I676">
        <v>1</v>
      </c>
      <c r="J676" s="35" t="s">
        <v>3002</v>
      </c>
      <c r="K676" t="str">
        <f t="shared" si="242"/>
        <v>2742</v>
      </c>
      <c r="L676" s="36" t="s">
        <v>4717</v>
      </c>
      <c r="M676" s="35">
        <v>7629</v>
      </c>
      <c r="N676" s="36" t="s">
        <v>5269</v>
      </c>
      <c r="O676" s="35" t="s">
        <v>5662</v>
      </c>
      <c r="P676" s="35" t="s">
        <v>5663</v>
      </c>
    </row>
    <row r="677" spans="1:16" hidden="1">
      <c r="A677" s="35">
        <v>2744</v>
      </c>
      <c r="B677" s="36" t="s">
        <v>1618</v>
      </c>
      <c r="C677" t="e">
        <f>VLOOKUP(A677,'TABELA SPOLINE'!A:J,10,FALSE)</f>
        <v>#N/A</v>
      </c>
      <c r="H677">
        <v>658</v>
      </c>
      <c r="I677">
        <v>2</v>
      </c>
      <c r="J677" s="35" t="s">
        <v>3006</v>
      </c>
      <c r="K677" t="str">
        <f t="shared" si="242"/>
        <v>2744</v>
      </c>
      <c r="L677" s="36" t="s">
        <v>4718</v>
      </c>
      <c r="M677" s="35">
        <v>7629</v>
      </c>
      <c r="N677" s="36" t="s">
        <v>5269</v>
      </c>
      <c r="O677" s="35" t="s">
        <v>5664</v>
      </c>
      <c r="P677" s="35" t="s">
        <v>5665</v>
      </c>
    </row>
    <row r="678" spans="1:16" hidden="1">
      <c r="A678" s="35">
        <v>2775</v>
      </c>
      <c r="B678" s="36" t="s">
        <v>2234</v>
      </c>
      <c r="C678" t="e">
        <f>VLOOKUP(A678,'TABELA SPOLINE'!A:J,10,FALSE)</f>
        <v>#N/A</v>
      </c>
      <c r="H678">
        <v>822</v>
      </c>
      <c r="I678">
        <v>2</v>
      </c>
      <c r="J678" s="35" t="s">
        <v>3619</v>
      </c>
      <c r="K678" t="str">
        <f t="shared" si="242"/>
        <v>2775</v>
      </c>
      <c r="L678" s="36" t="s">
        <v>4719</v>
      </c>
      <c r="M678" s="35">
        <v>7629</v>
      </c>
      <c r="N678" s="36" t="s">
        <v>5269</v>
      </c>
      <c r="O678" s="35" t="s">
        <v>5662</v>
      </c>
      <c r="P678" s="35" t="s">
        <v>5663</v>
      </c>
    </row>
    <row r="679" spans="1:16" hidden="1">
      <c r="A679" s="35">
        <v>2807</v>
      </c>
      <c r="B679" s="36" t="s">
        <v>1885</v>
      </c>
      <c r="C679" t="e">
        <f>VLOOKUP(A679,'TABELA SPOLINE'!A:J,10,FALSE)</f>
        <v>#N/A</v>
      </c>
      <c r="H679">
        <v>782</v>
      </c>
      <c r="I679">
        <v>25</v>
      </c>
      <c r="J679" s="35" t="s">
        <v>3270</v>
      </c>
      <c r="K679" t="str">
        <f t="shared" si="242"/>
        <v>2807</v>
      </c>
      <c r="L679" s="36" t="s">
        <v>4720</v>
      </c>
      <c r="M679" s="35">
        <v>7629</v>
      </c>
      <c r="N679" s="36" t="s">
        <v>5269</v>
      </c>
      <c r="O679" s="35" t="s">
        <v>5660</v>
      </c>
      <c r="P679" s="35" t="s">
        <v>5661</v>
      </c>
    </row>
    <row r="680" spans="1:16" hidden="1">
      <c r="A680" s="35">
        <v>2822</v>
      </c>
      <c r="B680" s="36" t="s">
        <v>2099</v>
      </c>
      <c r="C680" t="e">
        <f>VLOOKUP(A680,'TABELA SPOLINE'!A:J,10,FALSE)</f>
        <v>#N/A</v>
      </c>
      <c r="H680">
        <v>727</v>
      </c>
      <c r="I680">
        <v>1</v>
      </c>
      <c r="J680" s="35" t="s">
        <v>3484</v>
      </c>
      <c r="K680" t="str">
        <f t="shared" si="242"/>
        <v>2822</v>
      </c>
      <c r="L680" s="36" t="s">
        <v>4721</v>
      </c>
      <c r="M680" s="35">
        <v>7629</v>
      </c>
      <c r="N680" s="36" t="s">
        <v>5269</v>
      </c>
      <c r="O680" s="35" t="s">
        <v>5494</v>
      </c>
      <c r="P680" s="35" t="s">
        <v>5495</v>
      </c>
    </row>
    <row r="681" spans="1:16" hidden="1">
      <c r="A681" s="35">
        <v>2825</v>
      </c>
      <c r="B681" s="36" t="s">
        <v>2068</v>
      </c>
      <c r="C681" t="e">
        <f>VLOOKUP(A681,'TABELA SPOLINE'!A:J,10,FALSE)</f>
        <v>#N/A</v>
      </c>
      <c r="H681">
        <v>832</v>
      </c>
      <c r="I681">
        <v>1</v>
      </c>
      <c r="J681" s="35" t="s">
        <v>3453</v>
      </c>
      <c r="K681" t="str">
        <f t="shared" si="242"/>
        <v>2825</v>
      </c>
      <c r="L681" s="36" t="s">
        <v>4722</v>
      </c>
      <c r="M681" s="35">
        <v>7629</v>
      </c>
      <c r="N681" s="36" t="s">
        <v>5269</v>
      </c>
      <c r="O681" s="35" t="s">
        <v>5616</v>
      </c>
      <c r="P681" s="35" t="s">
        <v>5617</v>
      </c>
    </row>
    <row r="682" spans="1:16" hidden="1">
      <c r="A682" s="35">
        <v>2836</v>
      </c>
      <c r="B682" s="36" t="s">
        <v>1783</v>
      </c>
      <c r="C682" t="e">
        <f>VLOOKUP(A682,'TABELA SPOLINE'!A:J,10,FALSE)</f>
        <v>#N/A</v>
      </c>
      <c r="H682">
        <v>636</v>
      </c>
      <c r="I682">
        <v>3</v>
      </c>
      <c r="J682" s="35" t="s">
        <v>3168</v>
      </c>
      <c r="K682" t="str">
        <f t="shared" si="242"/>
        <v>2836</v>
      </c>
      <c r="L682" s="36" t="s">
        <v>4723</v>
      </c>
      <c r="M682" s="35">
        <v>7629</v>
      </c>
      <c r="N682" s="36" t="s">
        <v>5269</v>
      </c>
      <c r="O682" s="35" t="s">
        <v>5666</v>
      </c>
      <c r="P682" s="35" t="s">
        <v>5667</v>
      </c>
    </row>
    <row r="683" spans="1:16" hidden="1">
      <c r="A683" s="35">
        <v>2845</v>
      </c>
      <c r="B683" s="36" t="s">
        <v>2449</v>
      </c>
      <c r="C683" t="e">
        <f>VLOOKUP(A683,'TABELA SPOLINE'!A:J,10,FALSE)</f>
        <v>#N/A</v>
      </c>
      <c r="H683">
        <v>845</v>
      </c>
      <c r="I683">
        <v>1</v>
      </c>
      <c r="J683" s="35" t="s">
        <v>3832</v>
      </c>
      <c r="K683" t="str">
        <f t="shared" si="242"/>
        <v>2845</v>
      </c>
      <c r="L683" s="36" t="s">
        <v>4724</v>
      </c>
      <c r="M683" s="35">
        <v>7629</v>
      </c>
      <c r="N683" s="36" t="s">
        <v>5269</v>
      </c>
      <c r="O683" s="35" t="s">
        <v>5494</v>
      </c>
      <c r="P683" s="35" t="s">
        <v>5495</v>
      </c>
    </row>
    <row r="684" spans="1:16" hidden="1">
      <c r="A684" s="35">
        <v>2846</v>
      </c>
      <c r="B684" s="36" t="s">
        <v>2450</v>
      </c>
      <c r="C684" t="e">
        <f>VLOOKUP(A684,'TABELA SPOLINE'!A:J,10,FALSE)</f>
        <v>#N/A</v>
      </c>
      <c r="H684">
        <v>845</v>
      </c>
      <c r="I684">
        <v>1</v>
      </c>
      <c r="J684" s="35" t="s">
        <v>3833</v>
      </c>
      <c r="K684" t="str">
        <f t="shared" si="242"/>
        <v>2846</v>
      </c>
      <c r="L684" s="36" t="s">
        <v>4725</v>
      </c>
      <c r="M684" s="35">
        <v>7629</v>
      </c>
      <c r="N684" s="36" t="s">
        <v>5269</v>
      </c>
      <c r="O684" s="35" t="s">
        <v>5494</v>
      </c>
      <c r="P684" s="35" t="s">
        <v>5495</v>
      </c>
    </row>
    <row r="685" spans="1:16" hidden="1">
      <c r="A685" s="35">
        <v>2847</v>
      </c>
      <c r="B685" s="36" t="s">
        <v>2451</v>
      </c>
      <c r="C685" t="e">
        <f>VLOOKUP(A685,'TABELA SPOLINE'!A:J,10,FALSE)</f>
        <v>#N/A</v>
      </c>
      <c r="H685">
        <v>845</v>
      </c>
      <c r="I685">
        <v>1</v>
      </c>
      <c r="J685" s="35" t="s">
        <v>3834</v>
      </c>
      <c r="K685" t="str">
        <f t="shared" si="242"/>
        <v>2847</v>
      </c>
      <c r="L685" s="36" t="s">
        <v>4726</v>
      </c>
      <c r="M685" s="35">
        <v>7629</v>
      </c>
      <c r="N685" s="36" t="s">
        <v>5269</v>
      </c>
      <c r="O685" s="35" t="s">
        <v>5494</v>
      </c>
      <c r="P685" s="35" t="s">
        <v>5495</v>
      </c>
    </row>
    <row r="686" spans="1:16" hidden="1">
      <c r="A686" s="35">
        <v>2848</v>
      </c>
      <c r="B686" s="36" t="s">
        <v>2452</v>
      </c>
      <c r="C686" t="e">
        <f>VLOOKUP(A686,'TABELA SPOLINE'!A:J,10,FALSE)</f>
        <v>#N/A</v>
      </c>
      <c r="H686">
        <v>845</v>
      </c>
      <c r="I686">
        <v>1</v>
      </c>
      <c r="J686" s="35" t="s">
        <v>3835</v>
      </c>
      <c r="K686" t="str">
        <f t="shared" si="242"/>
        <v>2848</v>
      </c>
      <c r="L686" s="36" t="s">
        <v>4727</v>
      </c>
      <c r="M686" s="35">
        <v>7629</v>
      </c>
      <c r="N686" s="36" t="s">
        <v>5269</v>
      </c>
      <c r="O686" s="35" t="s">
        <v>5494</v>
      </c>
      <c r="P686" s="35" t="s">
        <v>5495</v>
      </c>
    </row>
    <row r="687" spans="1:16">
      <c r="A687" s="35">
        <v>2849</v>
      </c>
      <c r="B687" s="36" t="s">
        <v>2671</v>
      </c>
      <c r="C687">
        <f>VLOOKUP(A687,'TABELA SPOLINE'!A:J,10,FALSE)</f>
        <v>391.77600000000007</v>
      </c>
      <c r="D687">
        <f>C687*0.1+C687</f>
        <v>430.95360000000005</v>
      </c>
      <c r="E687">
        <f>ROUNDUP(D687,2)</f>
        <v>430.96</v>
      </c>
      <c r="F687">
        <f>E687*0.0975+E687</f>
        <v>472.97859999999997</v>
      </c>
      <c r="G687">
        <f>ROUNDUP(F687,2)</f>
        <v>472.98</v>
      </c>
      <c r="H687">
        <v>853</v>
      </c>
      <c r="I687">
        <v>1</v>
      </c>
      <c r="J687" s="35" t="s">
        <v>4052</v>
      </c>
      <c r="K687" t="str">
        <f t="shared" si="242"/>
        <v>2849</v>
      </c>
      <c r="L687" s="36" t="s">
        <v>4728</v>
      </c>
      <c r="M687" s="35">
        <v>7629</v>
      </c>
      <c r="N687" s="36" t="s">
        <v>5269</v>
      </c>
      <c r="O687" s="35" t="s">
        <v>5494</v>
      </c>
      <c r="P687" s="35" t="s">
        <v>5495</v>
      </c>
    </row>
    <row r="688" spans="1:16" hidden="1">
      <c r="A688" s="35">
        <v>2850</v>
      </c>
      <c r="B688" s="36" t="s">
        <v>2672</v>
      </c>
      <c r="C688" t="e">
        <f>VLOOKUP(A688,'TABELA SPOLINE'!A:J,10,FALSE)</f>
        <v>#N/A</v>
      </c>
      <c r="H688">
        <v>853</v>
      </c>
      <c r="I688">
        <v>1</v>
      </c>
      <c r="J688" s="35" t="s">
        <v>4053</v>
      </c>
      <c r="K688" t="str">
        <f t="shared" si="242"/>
        <v>2850</v>
      </c>
      <c r="L688" s="36" t="s">
        <v>4726</v>
      </c>
      <c r="M688" s="35">
        <v>7629</v>
      </c>
      <c r="N688" s="36" t="s">
        <v>5269</v>
      </c>
      <c r="O688" s="35" t="s">
        <v>5494</v>
      </c>
      <c r="P688" s="35" t="s">
        <v>5495</v>
      </c>
    </row>
    <row r="689" spans="1:16">
      <c r="A689" s="35">
        <v>2851</v>
      </c>
      <c r="B689" s="36" t="s">
        <v>2673</v>
      </c>
      <c r="C689">
        <f>VLOOKUP(A689,'TABELA SPOLINE'!A:J,10,FALSE)</f>
        <v>327.22199999999998</v>
      </c>
      <c r="D689">
        <f t="shared" ref="D689:D691" si="255">C689*0.1+C689</f>
        <v>359.94419999999997</v>
      </c>
      <c r="E689">
        <f t="shared" ref="E689:E691" si="256">ROUNDUP(D689,2)</f>
        <v>359.95</v>
      </c>
      <c r="F689">
        <f t="shared" ref="F689:F691" si="257">E689*0.0975+E689</f>
        <v>395.04512499999998</v>
      </c>
      <c r="G689">
        <f t="shared" ref="G689:G691" si="258">ROUNDUP(F689,2)</f>
        <v>395.05</v>
      </c>
      <c r="H689">
        <v>853</v>
      </c>
      <c r="I689">
        <v>1</v>
      </c>
      <c r="J689" s="35" t="s">
        <v>4054</v>
      </c>
      <c r="K689" t="str">
        <f t="shared" si="242"/>
        <v>2851</v>
      </c>
      <c r="L689" s="36" t="s">
        <v>4729</v>
      </c>
      <c r="M689" s="35">
        <v>7629</v>
      </c>
      <c r="N689" s="36" t="s">
        <v>5269</v>
      </c>
      <c r="O689" s="35" t="s">
        <v>5494</v>
      </c>
      <c r="P689" s="35" t="s">
        <v>5495</v>
      </c>
    </row>
    <row r="690" spans="1:16">
      <c r="A690" s="35">
        <v>2852</v>
      </c>
      <c r="B690" s="36" t="s">
        <v>2674</v>
      </c>
      <c r="C690">
        <f>VLOOKUP(A690,'TABELA SPOLINE'!A:J,10,FALSE)</f>
        <v>327.22199999999998</v>
      </c>
      <c r="D690">
        <f t="shared" si="255"/>
        <v>359.94419999999997</v>
      </c>
      <c r="E690">
        <f t="shared" si="256"/>
        <v>359.95</v>
      </c>
      <c r="F690">
        <f t="shared" si="257"/>
        <v>395.04512499999998</v>
      </c>
      <c r="G690">
        <f t="shared" si="258"/>
        <v>395.05</v>
      </c>
      <c r="H690">
        <v>853</v>
      </c>
      <c r="I690">
        <v>1</v>
      </c>
      <c r="J690" s="35" t="s">
        <v>4055</v>
      </c>
      <c r="K690" t="str">
        <f t="shared" si="242"/>
        <v>2852</v>
      </c>
      <c r="L690" s="36" t="s">
        <v>4730</v>
      </c>
      <c r="M690" s="35">
        <v>7629</v>
      </c>
      <c r="N690" s="36" t="s">
        <v>5269</v>
      </c>
      <c r="O690" s="35" t="s">
        <v>5666</v>
      </c>
      <c r="P690" s="35" t="s">
        <v>5667</v>
      </c>
    </row>
    <row r="691" spans="1:16">
      <c r="A691" s="35">
        <v>2853</v>
      </c>
      <c r="B691" s="36" t="s">
        <v>2453</v>
      </c>
      <c r="C691">
        <f>VLOOKUP(A691,'TABELA SPOLINE'!A:J,10,FALSE)</f>
        <v>233.73000000000002</v>
      </c>
      <c r="D691">
        <f t="shared" si="255"/>
        <v>257.10300000000001</v>
      </c>
      <c r="E691">
        <f t="shared" si="256"/>
        <v>257.11</v>
      </c>
      <c r="F691">
        <f t="shared" si="257"/>
        <v>282.178225</v>
      </c>
      <c r="G691">
        <f t="shared" si="258"/>
        <v>282.18</v>
      </c>
      <c r="H691">
        <v>849</v>
      </c>
      <c r="I691">
        <v>1</v>
      </c>
      <c r="J691" s="35" t="s">
        <v>3836</v>
      </c>
      <c r="K691" t="str">
        <f t="shared" si="242"/>
        <v>2853</v>
      </c>
      <c r="L691" s="36" t="s">
        <v>4729</v>
      </c>
      <c r="M691" s="35">
        <v>7629</v>
      </c>
      <c r="N691" s="36" t="s">
        <v>5269</v>
      </c>
      <c r="O691" s="35" t="s">
        <v>5494</v>
      </c>
      <c r="P691" s="35" t="s">
        <v>5495</v>
      </c>
    </row>
    <row r="692" spans="1:16" hidden="1">
      <c r="A692" s="35">
        <v>2854</v>
      </c>
      <c r="B692" s="36" t="s">
        <v>2454</v>
      </c>
      <c r="C692" t="e">
        <f>VLOOKUP(A692,'TABELA SPOLINE'!A:J,10,FALSE)</f>
        <v>#N/A</v>
      </c>
      <c r="H692">
        <v>849</v>
      </c>
      <c r="I692">
        <v>1</v>
      </c>
      <c r="J692" s="35" t="s">
        <v>3837</v>
      </c>
      <c r="K692" t="str">
        <f t="shared" si="242"/>
        <v>2854</v>
      </c>
      <c r="L692" s="36" t="s">
        <v>4729</v>
      </c>
      <c r="M692" s="35">
        <v>7629</v>
      </c>
      <c r="N692" s="36" t="s">
        <v>5269</v>
      </c>
      <c r="O692" s="35" t="s">
        <v>5494</v>
      </c>
      <c r="P692" s="35" t="s">
        <v>5495</v>
      </c>
    </row>
    <row r="693" spans="1:16">
      <c r="A693" s="35">
        <v>2855</v>
      </c>
      <c r="B693" s="36" t="s">
        <v>2455</v>
      </c>
      <c r="C693">
        <f>VLOOKUP(A693,'TABELA SPOLINE'!A:J,10,FALSE)</f>
        <v>233.73000000000002</v>
      </c>
      <c r="D693">
        <f>C693*0.1+C693</f>
        <v>257.10300000000001</v>
      </c>
      <c r="E693">
        <f>ROUNDUP(D693,2)</f>
        <v>257.11</v>
      </c>
      <c r="F693">
        <f>E693*0.0975+E693</f>
        <v>282.178225</v>
      </c>
      <c r="G693">
        <f>ROUNDUP(F693,2)</f>
        <v>282.18</v>
      </c>
      <c r="H693">
        <v>849</v>
      </c>
      <c r="I693">
        <v>1</v>
      </c>
      <c r="J693" s="35" t="s">
        <v>3838</v>
      </c>
      <c r="K693" t="str">
        <f t="shared" si="242"/>
        <v>2855</v>
      </c>
      <c r="L693" s="36" t="s">
        <v>4729</v>
      </c>
      <c r="M693" s="35">
        <v>7629</v>
      </c>
      <c r="N693" s="36" t="s">
        <v>5269</v>
      </c>
      <c r="O693" s="35" t="s">
        <v>5494</v>
      </c>
      <c r="P693" s="35" t="s">
        <v>5495</v>
      </c>
    </row>
    <row r="694" spans="1:16" hidden="1">
      <c r="A694" s="35">
        <v>2856</v>
      </c>
      <c r="B694" s="36" t="s">
        <v>2456</v>
      </c>
      <c r="C694" t="e">
        <f>VLOOKUP(A694,'TABELA SPOLINE'!A:J,10,FALSE)</f>
        <v>#N/A</v>
      </c>
      <c r="H694">
        <v>849</v>
      </c>
      <c r="I694">
        <v>1</v>
      </c>
      <c r="J694" s="35" t="s">
        <v>3839</v>
      </c>
      <c r="K694" t="str">
        <f t="shared" si="242"/>
        <v>2856</v>
      </c>
      <c r="L694" s="36" t="s">
        <v>4731</v>
      </c>
      <c r="M694" s="35">
        <v>7629</v>
      </c>
      <c r="N694" s="36" t="s">
        <v>5269</v>
      </c>
      <c r="O694" s="35" t="s">
        <v>5668</v>
      </c>
      <c r="P694" s="35" t="s">
        <v>5669</v>
      </c>
    </row>
    <row r="695" spans="1:16">
      <c r="A695" s="35">
        <v>2857</v>
      </c>
      <c r="B695" s="36" t="s">
        <v>2679</v>
      </c>
      <c r="C695">
        <f>VLOOKUP(A695,'TABELA SPOLINE'!A:J,10,FALSE)</f>
        <v>320.54399999999998</v>
      </c>
      <c r="D695">
        <f t="shared" ref="D695:D697" si="259">C695*0.1+C695</f>
        <v>352.59839999999997</v>
      </c>
      <c r="E695">
        <f t="shared" ref="E695:E697" si="260">ROUNDUP(D695,2)</f>
        <v>352.59999999999997</v>
      </c>
      <c r="F695">
        <f t="shared" ref="F695:F697" si="261">E695*0.0975+E695</f>
        <v>386.97849999999994</v>
      </c>
      <c r="G695">
        <f t="shared" ref="G695:G697" si="262">ROUNDUP(F695,2)</f>
        <v>386.98</v>
      </c>
      <c r="H695">
        <v>854</v>
      </c>
      <c r="I695">
        <v>1</v>
      </c>
      <c r="J695" s="35" t="s">
        <v>4060</v>
      </c>
      <c r="K695" t="str">
        <f t="shared" si="242"/>
        <v>2857</v>
      </c>
      <c r="L695" s="36" t="s">
        <v>4732</v>
      </c>
      <c r="M695" s="35">
        <v>7629</v>
      </c>
      <c r="N695" s="36" t="s">
        <v>5269</v>
      </c>
      <c r="O695" s="35" t="s">
        <v>5670</v>
      </c>
      <c r="P695" s="35" t="s">
        <v>5671</v>
      </c>
    </row>
    <row r="696" spans="1:16">
      <c r="A696" s="35">
        <v>2858</v>
      </c>
      <c r="B696" s="36" t="s">
        <v>2680</v>
      </c>
      <c r="C696">
        <f>VLOOKUP(A696,'TABELA SPOLINE'!A:J,10,FALSE)</f>
        <v>383.98500000000001</v>
      </c>
      <c r="D696">
        <f t="shared" si="259"/>
        <v>422.38350000000003</v>
      </c>
      <c r="E696">
        <f t="shared" si="260"/>
        <v>422.39</v>
      </c>
      <c r="F696">
        <f t="shared" si="261"/>
        <v>463.57302499999997</v>
      </c>
      <c r="G696">
        <f t="shared" si="262"/>
        <v>463.58</v>
      </c>
      <c r="H696">
        <v>854</v>
      </c>
      <c r="I696">
        <v>1</v>
      </c>
      <c r="J696" s="35" t="s">
        <v>4061</v>
      </c>
      <c r="K696" t="str">
        <f t="shared" si="242"/>
        <v>2858</v>
      </c>
      <c r="L696" s="36" t="s">
        <v>4732</v>
      </c>
      <c r="M696" s="35">
        <v>7629</v>
      </c>
      <c r="N696" s="36" t="s">
        <v>5269</v>
      </c>
      <c r="O696" s="35" t="s">
        <v>5670</v>
      </c>
      <c r="P696" s="35" t="s">
        <v>5671</v>
      </c>
    </row>
    <row r="697" spans="1:16">
      <c r="A697" s="35">
        <v>2859</v>
      </c>
      <c r="B697" s="36" t="s">
        <v>2681</v>
      </c>
      <c r="C697">
        <f>VLOOKUP(A697,'TABELA SPOLINE'!A:J,10,FALSE)</f>
        <v>320.54399999999998</v>
      </c>
      <c r="D697">
        <f t="shared" si="259"/>
        <v>352.59839999999997</v>
      </c>
      <c r="E697">
        <f t="shared" si="260"/>
        <v>352.59999999999997</v>
      </c>
      <c r="F697">
        <f t="shared" si="261"/>
        <v>386.97849999999994</v>
      </c>
      <c r="G697">
        <f t="shared" si="262"/>
        <v>386.98</v>
      </c>
      <c r="H697">
        <v>854</v>
      </c>
      <c r="I697">
        <v>1</v>
      </c>
      <c r="J697" s="35" t="s">
        <v>4062</v>
      </c>
      <c r="K697" t="str">
        <f t="shared" si="242"/>
        <v>2859</v>
      </c>
      <c r="L697" s="36" t="s">
        <v>4733</v>
      </c>
      <c r="M697" s="35">
        <v>7629</v>
      </c>
      <c r="N697" s="36" t="s">
        <v>5269</v>
      </c>
      <c r="O697" s="35" t="s">
        <v>5668</v>
      </c>
      <c r="P697" s="35" t="s">
        <v>5669</v>
      </c>
    </row>
    <row r="698" spans="1:16" hidden="1">
      <c r="A698" s="35">
        <v>2860</v>
      </c>
      <c r="B698" s="36" t="s">
        <v>2682</v>
      </c>
      <c r="C698" t="e">
        <f>VLOOKUP(A698,'TABELA SPOLINE'!A:J,10,FALSE)</f>
        <v>#N/A</v>
      </c>
      <c r="H698">
        <v>854</v>
      </c>
      <c r="I698">
        <v>1</v>
      </c>
      <c r="J698" s="35" t="s">
        <v>4063</v>
      </c>
      <c r="K698" t="str">
        <f t="shared" si="242"/>
        <v>2860</v>
      </c>
      <c r="L698" s="36" t="s">
        <v>4734</v>
      </c>
      <c r="M698" s="35">
        <v>7629</v>
      </c>
      <c r="N698" s="36" t="s">
        <v>5269</v>
      </c>
      <c r="O698" s="35" t="s">
        <v>5670</v>
      </c>
      <c r="P698" s="35" t="s">
        <v>5671</v>
      </c>
    </row>
    <row r="699" spans="1:16" hidden="1">
      <c r="A699" s="35">
        <v>2861</v>
      </c>
      <c r="B699" s="36" t="s">
        <v>2458</v>
      </c>
      <c r="C699" t="e">
        <f>VLOOKUP(A699,'TABELA SPOLINE'!A:J,10,FALSE)</f>
        <v>#N/A</v>
      </c>
      <c r="H699">
        <v>851</v>
      </c>
      <c r="I699">
        <v>1</v>
      </c>
      <c r="J699" s="35" t="s">
        <v>3841</v>
      </c>
      <c r="K699" t="str">
        <f t="shared" si="242"/>
        <v>2861</v>
      </c>
      <c r="L699" s="36" t="s">
        <v>4735</v>
      </c>
      <c r="M699" s="35">
        <v>7629</v>
      </c>
      <c r="N699" s="36" t="s">
        <v>5269</v>
      </c>
      <c r="O699" s="35" t="s">
        <v>5670</v>
      </c>
      <c r="P699" s="35" t="s">
        <v>5671</v>
      </c>
    </row>
    <row r="700" spans="1:16" hidden="1">
      <c r="A700" s="35">
        <v>2862</v>
      </c>
      <c r="B700" s="36" t="s">
        <v>2459</v>
      </c>
      <c r="C700" t="e">
        <f>VLOOKUP(A700,'TABELA SPOLINE'!A:J,10,FALSE)</f>
        <v>#N/A</v>
      </c>
      <c r="H700">
        <v>851</v>
      </c>
      <c r="I700">
        <v>1</v>
      </c>
      <c r="J700" s="35" t="s">
        <v>3842</v>
      </c>
      <c r="K700" t="str">
        <f t="shared" si="242"/>
        <v>2862</v>
      </c>
      <c r="L700" s="36" t="s">
        <v>4736</v>
      </c>
      <c r="M700" s="35">
        <v>7629</v>
      </c>
      <c r="N700" s="36" t="s">
        <v>5269</v>
      </c>
      <c r="O700" s="35" t="s">
        <v>5672</v>
      </c>
      <c r="P700" s="35" t="s">
        <v>5673</v>
      </c>
    </row>
    <row r="701" spans="1:16" hidden="1">
      <c r="A701" s="35">
        <v>2863</v>
      </c>
      <c r="B701" s="36" t="s">
        <v>2460</v>
      </c>
      <c r="C701" t="e">
        <f>VLOOKUP(A701,'TABELA SPOLINE'!A:J,10,FALSE)</f>
        <v>#N/A</v>
      </c>
      <c r="H701">
        <v>851</v>
      </c>
      <c r="I701">
        <v>1</v>
      </c>
      <c r="J701" s="35" t="s">
        <v>3843</v>
      </c>
      <c r="K701" t="str">
        <f t="shared" si="242"/>
        <v>2863</v>
      </c>
      <c r="L701" s="36" t="s">
        <v>4737</v>
      </c>
      <c r="M701" s="35">
        <v>7629</v>
      </c>
      <c r="N701" s="36" t="s">
        <v>5269</v>
      </c>
      <c r="O701" s="35" t="s">
        <v>5674</v>
      </c>
      <c r="P701" s="35" t="s">
        <v>5675</v>
      </c>
    </row>
    <row r="702" spans="1:16" hidden="1">
      <c r="A702" s="35">
        <v>2864</v>
      </c>
      <c r="B702" s="36" t="s">
        <v>2461</v>
      </c>
      <c r="C702" t="e">
        <f>VLOOKUP(A702,'TABELA SPOLINE'!A:J,10,FALSE)</f>
        <v>#N/A</v>
      </c>
      <c r="H702">
        <v>851</v>
      </c>
      <c r="I702">
        <v>1</v>
      </c>
      <c r="J702" s="35" t="s">
        <v>3844</v>
      </c>
      <c r="K702" t="str">
        <f t="shared" si="242"/>
        <v>2864</v>
      </c>
      <c r="L702" s="36" t="s">
        <v>4738</v>
      </c>
      <c r="M702" s="35">
        <v>7629</v>
      </c>
      <c r="N702" s="36" t="s">
        <v>5269</v>
      </c>
      <c r="O702" s="35" t="s">
        <v>5672</v>
      </c>
      <c r="P702" s="35" t="s">
        <v>5673</v>
      </c>
    </row>
    <row r="703" spans="1:16" hidden="1">
      <c r="A703" s="35">
        <v>2865</v>
      </c>
      <c r="B703" s="36" t="s">
        <v>2462</v>
      </c>
      <c r="C703" t="e">
        <f>VLOOKUP(A703,'TABELA SPOLINE'!A:J,10,FALSE)</f>
        <v>#N/A</v>
      </c>
      <c r="H703">
        <v>851</v>
      </c>
      <c r="I703">
        <v>1</v>
      </c>
      <c r="J703" s="35" t="s">
        <v>3845</v>
      </c>
      <c r="K703" t="str">
        <f t="shared" si="242"/>
        <v>2865</v>
      </c>
      <c r="L703" s="36" t="s">
        <v>4739</v>
      </c>
      <c r="M703" s="35">
        <v>7629</v>
      </c>
      <c r="N703" s="36" t="s">
        <v>5269</v>
      </c>
      <c r="O703" s="35" t="s">
        <v>5674</v>
      </c>
      <c r="P703" s="35" t="s">
        <v>5675</v>
      </c>
    </row>
    <row r="704" spans="1:16" hidden="1">
      <c r="A704" s="35">
        <v>2866</v>
      </c>
      <c r="B704" s="36" t="s">
        <v>2463</v>
      </c>
      <c r="C704" t="e">
        <f>VLOOKUP(A704,'TABELA SPOLINE'!A:J,10,FALSE)</f>
        <v>#N/A</v>
      </c>
      <c r="H704">
        <v>851</v>
      </c>
      <c r="I704">
        <v>1</v>
      </c>
      <c r="J704" s="35" t="s">
        <v>3846</v>
      </c>
      <c r="K704" t="str">
        <f t="shared" si="242"/>
        <v>2866</v>
      </c>
      <c r="L704" s="36" t="s">
        <v>4740</v>
      </c>
      <c r="M704" s="35">
        <v>7629</v>
      </c>
      <c r="N704" s="36" t="s">
        <v>5269</v>
      </c>
      <c r="O704" s="35" t="s">
        <v>5672</v>
      </c>
      <c r="P704" s="35" t="s">
        <v>5673</v>
      </c>
    </row>
    <row r="705" spans="1:16" hidden="1">
      <c r="A705" s="35">
        <v>2867</v>
      </c>
      <c r="B705" s="36" t="s">
        <v>2464</v>
      </c>
      <c r="C705" t="e">
        <f>VLOOKUP(A705,'TABELA SPOLINE'!A:J,10,FALSE)</f>
        <v>#N/A</v>
      </c>
      <c r="H705">
        <v>851</v>
      </c>
      <c r="I705">
        <v>1</v>
      </c>
      <c r="J705" s="35" t="s">
        <v>3847</v>
      </c>
      <c r="K705" t="str">
        <f t="shared" si="242"/>
        <v>2867</v>
      </c>
      <c r="L705" s="36" t="s">
        <v>4741</v>
      </c>
      <c r="M705" s="35">
        <v>7629</v>
      </c>
      <c r="N705" s="36" t="s">
        <v>5269</v>
      </c>
      <c r="O705" s="35" t="s">
        <v>5672</v>
      </c>
      <c r="P705" s="35" t="s">
        <v>5673</v>
      </c>
    </row>
    <row r="706" spans="1:16">
      <c r="A706" s="35">
        <v>2868</v>
      </c>
      <c r="B706" s="36" t="s">
        <v>2344</v>
      </c>
      <c r="C706">
        <f>VLOOKUP(A706,'TABELA SPOLINE'!A:J,10,FALSE)</f>
        <v>171.40199999999999</v>
      </c>
      <c r="D706">
        <f>C706*0.1+C706</f>
        <v>188.54219999999998</v>
      </c>
      <c r="E706">
        <f>ROUNDUP(D706,2)</f>
        <v>188.54999999999998</v>
      </c>
      <c r="F706">
        <f>E706*0.0975+E706</f>
        <v>206.93362499999998</v>
      </c>
      <c r="G706">
        <f>ROUNDUP(F706,2)</f>
        <v>206.94</v>
      </c>
      <c r="H706">
        <v>852</v>
      </c>
      <c r="I706">
        <v>1</v>
      </c>
      <c r="J706" s="35" t="s">
        <v>3729</v>
      </c>
      <c r="K706" t="str">
        <f t="shared" si="242"/>
        <v>2868</v>
      </c>
      <c r="L706" s="36" t="s">
        <v>4742</v>
      </c>
      <c r="M706" s="35">
        <v>7629</v>
      </c>
      <c r="N706" s="36" t="s">
        <v>5269</v>
      </c>
      <c r="O706" s="35" t="s">
        <v>5672</v>
      </c>
      <c r="P706" s="35" t="s">
        <v>5673</v>
      </c>
    </row>
    <row r="707" spans="1:16" hidden="1">
      <c r="A707" s="35">
        <v>2869</v>
      </c>
      <c r="B707" s="36" t="s">
        <v>2345</v>
      </c>
      <c r="C707" t="e">
        <f>VLOOKUP(A707,'TABELA SPOLINE'!A:J,10,FALSE)</f>
        <v>#N/A</v>
      </c>
      <c r="H707">
        <v>852</v>
      </c>
      <c r="I707">
        <v>1</v>
      </c>
      <c r="J707" s="35" t="s">
        <v>3730</v>
      </c>
      <c r="K707" t="str">
        <f t="shared" ref="K707:K770" si="263">TRIM(A707)</f>
        <v>2869</v>
      </c>
      <c r="L707" s="36" t="s">
        <v>4740</v>
      </c>
      <c r="M707" s="35">
        <v>7629</v>
      </c>
      <c r="N707" s="36" t="s">
        <v>5269</v>
      </c>
      <c r="O707" s="35" t="s">
        <v>5672</v>
      </c>
      <c r="P707" s="35" t="s">
        <v>5673</v>
      </c>
    </row>
    <row r="708" spans="1:16">
      <c r="A708" s="35">
        <v>2870</v>
      </c>
      <c r="B708" s="36" t="s">
        <v>2346</v>
      </c>
      <c r="C708">
        <f>VLOOKUP(A708,'TABELA SPOLINE'!A:J,10,FALSE)</f>
        <v>204.792</v>
      </c>
      <c r="D708">
        <f>C708*0.1+C708</f>
        <v>225.27119999999999</v>
      </c>
      <c r="E708">
        <f>ROUNDUP(D708,2)</f>
        <v>225.28</v>
      </c>
      <c r="F708">
        <f>E708*0.0975+E708</f>
        <v>247.2448</v>
      </c>
      <c r="G708">
        <f>ROUNDUP(F708,2)</f>
        <v>247.25</v>
      </c>
      <c r="H708">
        <v>852</v>
      </c>
      <c r="I708">
        <v>1</v>
      </c>
      <c r="J708" s="35" t="s">
        <v>3731</v>
      </c>
      <c r="K708" t="str">
        <f t="shared" si="263"/>
        <v>2870</v>
      </c>
      <c r="L708" s="36" t="s">
        <v>4743</v>
      </c>
      <c r="M708" s="35">
        <v>7629</v>
      </c>
      <c r="N708" s="36" t="s">
        <v>5269</v>
      </c>
      <c r="O708" s="35" t="s">
        <v>5664</v>
      </c>
      <c r="P708" s="35" t="s">
        <v>5665</v>
      </c>
    </row>
    <row r="709" spans="1:16" hidden="1">
      <c r="A709" s="35">
        <v>2871</v>
      </c>
      <c r="B709" s="36" t="s">
        <v>2347</v>
      </c>
      <c r="C709" t="e">
        <f>VLOOKUP(A709,'TABELA SPOLINE'!A:J,10,FALSE)</f>
        <v>#N/A</v>
      </c>
      <c r="H709">
        <v>852</v>
      </c>
      <c r="I709">
        <v>1</v>
      </c>
      <c r="J709" s="35" t="s">
        <v>3732</v>
      </c>
      <c r="K709" t="str">
        <f t="shared" si="263"/>
        <v>2871</v>
      </c>
      <c r="L709" s="36" t="s">
        <v>4744</v>
      </c>
      <c r="M709" s="35">
        <v>7629</v>
      </c>
      <c r="N709" s="36" t="s">
        <v>5269</v>
      </c>
      <c r="O709" s="35" t="s">
        <v>5664</v>
      </c>
      <c r="P709" s="35" t="s">
        <v>5665</v>
      </c>
    </row>
    <row r="710" spans="1:16">
      <c r="A710" s="35">
        <v>2872</v>
      </c>
      <c r="B710" s="36" t="s">
        <v>2348</v>
      </c>
      <c r="C710">
        <f>VLOOKUP(A710,'TABELA SPOLINE'!A:J,10,FALSE)</f>
        <v>204.792</v>
      </c>
      <c r="D710">
        <f>C710*0.1+C710</f>
        <v>225.27119999999999</v>
      </c>
      <c r="E710">
        <f>ROUNDUP(D710,2)</f>
        <v>225.28</v>
      </c>
      <c r="F710">
        <f>E710*0.0975+E710</f>
        <v>247.2448</v>
      </c>
      <c r="G710">
        <f>ROUNDUP(F710,2)</f>
        <v>247.25</v>
      </c>
      <c r="H710">
        <v>852</v>
      </c>
      <c r="I710">
        <v>1</v>
      </c>
      <c r="J710" s="35" t="s">
        <v>3733</v>
      </c>
      <c r="K710" t="str">
        <f t="shared" si="263"/>
        <v>2872</v>
      </c>
      <c r="L710" s="36" t="s">
        <v>4745</v>
      </c>
      <c r="M710" s="35">
        <v>7629</v>
      </c>
      <c r="N710" s="36" t="s">
        <v>5269</v>
      </c>
      <c r="O710" s="35" t="s">
        <v>5664</v>
      </c>
      <c r="P710" s="35" t="s">
        <v>5665</v>
      </c>
    </row>
    <row r="711" spans="1:16" hidden="1">
      <c r="A711" s="35">
        <v>2873</v>
      </c>
      <c r="B711" s="36" t="s">
        <v>2349</v>
      </c>
      <c r="C711" t="e">
        <f>VLOOKUP(A711,'TABELA SPOLINE'!A:J,10,FALSE)</f>
        <v>#N/A</v>
      </c>
      <c r="H711">
        <v>852</v>
      </c>
      <c r="I711">
        <v>1</v>
      </c>
      <c r="J711" s="35" t="s">
        <v>3734</v>
      </c>
      <c r="K711" t="str">
        <f t="shared" si="263"/>
        <v>2873</v>
      </c>
      <c r="L711" s="36" t="s">
        <v>4746</v>
      </c>
      <c r="M711" s="35">
        <v>7629</v>
      </c>
      <c r="N711" s="36" t="s">
        <v>5269</v>
      </c>
      <c r="O711" s="35" t="s">
        <v>5676</v>
      </c>
      <c r="P711" s="35" t="s">
        <v>5677</v>
      </c>
    </row>
    <row r="712" spans="1:16">
      <c r="A712" s="35">
        <v>2874</v>
      </c>
      <c r="B712" s="36" t="s">
        <v>2661</v>
      </c>
      <c r="C712">
        <f>VLOOKUP(A712,'TABELA SPOLINE'!A:J,10,FALSE)</f>
        <v>319.43100000000004</v>
      </c>
      <c r="D712">
        <f t="shared" ref="D712:D713" si="264">C712*0.1+C712</f>
        <v>351.37410000000006</v>
      </c>
      <c r="E712">
        <f t="shared" ref="E712:E713" si="265">ROUNDUP(D712,2)</f>
        <v>351.38</v>
      </c>
      <c r="F712">
        <f t="shared" ref="F712:F713" si="266">E712*0.0975+E712</f>
        <v>385.63954999999999</v>
      </c>
      <c r="G712">
        <f t="shared" ref="G712:G713" si="267">ROUNDUP(F712,2)</f>
        <v>385.64</v>
      </c>
      <c r="H712">
        <v>850</v>
      </c>
      <c r="I712">
        <v>1</v>
      </c>
      <c r="J712" s="35" t="s">
        <v>4042</v>
      </c>
      <c r="K712" t="str">
        <f t="shared" si="263"/>
        <v>2874</v>
      </c>
      <c r="L712" s="36" t="s">
        <v>4747</v>
      </c>
      <c r="M712" s="35">
        <v>7629</v>
      </c>
      <c r="N712" s="36" t="s">
        <v>5269</v>
      </c>
      <c r="O712" s="35" t="s">
        <v>5676</v>
      </c>
      <c r="P712" s="35" t="s">
        <v>5677</v>
      </c>
    </row>
    <row r="713" spans="1:16">
      <c r="A713" s="35">
        <v>2876</v>
      </c>
      <c r="B713" s="36" t="s">
        <v>2662</v>
      </c>
      <c r="C713">
        <f>VLOOKUP(A713,'TABELA SPOLINE'!A:J,10,FALSE)</f>
        <v>319.43100000000004</v>
      </c>
      <c r="D713">
        <f t="shared" si="264"/>
        <v>351.37410000000006</v>
      </c>
      <c r="E713">
        <f t="shared" si="265"/>
        <v>351.38</v>
      </c>
      <c r="F713">
        <f t="shared" si="266"/>
        <v>385.63954999999999</v>
      </c>
      <c r="G713">
        <f t="shared" si="267"/>
        <v>385.64</v>
      </c>
      <c r="H713">
        <v>850</v>
      </c>
      <c r="I713">
        <v>1</v>
      </c>
      <c r="J713" s="35" t="s">
        <v>4043</v>
      </c>
      <c r="K713" t="str">
        <f t="shared" si="263"/>
        <v>2876</v>
      </c>
      <c r="L713" s="36" t="s">
        <v>4748</v>
      </c>
      <c r="M713" s="35">
        <v>7629</v>
      </c>
      <c r="N713" s="36" t="s">
        <v>5269</v>
      </c>
      <c r="O713" s="35" t="s">
        <v>5676</v>
      </c>
      <c r="P713" s="35" t="s">
        <v>5677</v>
      </c>
    </row>
    <row r="714" spans="1:16" hidden="1">
      <c r="A714" s="35">
        <v>2877</v>
      </c>
      <c r="B714" s="36" t="s">
        <v>2663</v>
      </c>
      <c r="C714" t="e">
        <f>VLOOKUP(A714,'TABELA SPOLINE'!A:J,10,FALSE)</f>
        <v>#N/A</v>
      </c>
      <c r="H714">
        <v>850</v>
      </c>
      <c r="I714">
        <v>1</v>
      </c>
      <c r="J714" s="35" t="s">
        <v>4044</v>
      </c>
      <c r="K714" t="str">
        <f t="shared" si="263"/>
        <v>2877</v>
      </c>
      <c r="L714" s="36" t="s">
        <v>4749</v>
      </c>
      <c r="M714" s="35">
        <v>7629</v>
      </c>
      <c r="N714" s="36" t="s">
        <v>5269</v>
      </c>
      <c r="O714" s="35" t="s">
        <v>5664</v>
      </c>
      <c r="P714" s="35" t="s">
        <v>5665</v>
      </c>
    </row>
    <row r="715" spans="1:16">
      <c r="A715" s="35">
        <v>2878</v>
      </c>
      <c r="B715" s="36" t="s">
        <v>2664</v>
      </c>
      <c r="C715">
        <f>VLOOKUP(A715,'TABELA SPOLINE'!A:J,10,FALSE)</f>
        <v>319.43100000000004</v>
      </c>
      <c r="D715">
        <f>C715*0.1+C715</f>
        <v>351.37410000000006</v>
      </c>
      <c r="E715">
        <f>ROUNDUP(D715,2)</f>
        <v>351.38</v>
      </c>
      <c r="F715">
        <f>E715*0.0975+E715</f>
        <v>385.63954999999999</v>
      </c>
      <c r="G715">
        <f>ROUNDUP(F715,2)</f>
        <v>385.64</v>
      </c>
      <c r="H715">
        <v>850</v>
      </c>
      <c r="I715">
        <v>1</v>
      </c>
      <c r="J715" s="35" t="s">
        <v>4045</v>
      </c>
      <c r="K715" t="str">
        <f t="shared" si="263"/>
        <v>2878</v>
      </c>
      <c r="L715" s="36" t="s">
        <v>4750</v>
      </c>
      <c r="M715" s="35">
        <v>7629</v>
      </c>
      <c r="N715" s="36" t="s">
        <v>5269</v>
      </c>
      <c r="O715" s="35" t="s">
        <v>5678</v>
      </c>
      <c r="P715" s="35" t="s">
        <v>5679</v>
      </c>
    </row>
    <row r="716" spans="1:16" hidden="1">
      <c r="A716" s="35">
        <v>2879</v>
      </c>
      <c r="B716" s="36" t="s">
        <v>2665</v>
      </c>
      <c r="C716" t="e">
        <f>VLOOKUP(A716,'TABELA SPOLINE'!A:J,10,FALSE)</f>
        <v>#N/A</v>
      </c>
      <c r="H716">
        <v>850</v>
      </c>
      <c r="I716">
        <v>1</v>
      </c>
      <c r="J716" s="35" t="s">
        <v>4046</v>
      </c>
      <c r="K716" t="str">
        <f t="shared" si="263"/>
        <v>2879</v>
      </c>
      <c r="L716" s="36" t="s">
        <v>4751</v>
      </c>
      <c r="M716" s="35">
        <v>7629</v>
      </c>
      <c r="N716" s="36" t="s">
        <v>5269</v>
      </c>
      <c r="O716" s="35" t="s">
        <v>5670</v>
      </c>
      <c r="P716" s="35" t="s">
        <v>5671</v>
      </c>
    </row>
    <row r="717" spans="1:16">
      <c r="A717" s="35">
        <v>2884</v>
      </c>
      <c r="B717" s="36" t="s">
        <v>2590</v>
      </c>
      <c r="C717">
        <f>VLOOKUP(A717,'TABELA SPOLINE'!A:J,10,FALSE)</f>
        <v>161.38500000000002</v>
      </c>
      <c r="D717">
        <f>C717*0.1+C717</f>
        <v>177.52350000000001</v>
      </c>
      <c r="E717">
        <f>ROUNDUP(D717,2)</f>
        <v>177.53</v>
      </c>
      <c r="F717">
        <f>E717*0.0975+E717</f>
        <v>194.83917500000001</v>
      </c>
      <c r="G717">
        <f>ROUNDUP(F717,2)</f>
        <v>194.84</v>
      </c>
      <c r="H717">
        <v>860</v>
      </c>
      <c r="I717">
        <v>1</v>
      </c>
      <c r="J717" s="35" t="s">
        <v>3973</v>
      </c>
      <c r="K717" t="str">
        <f t="shared" si="263"/>
        <v>2884</v>
      </c>
      <c r="L717" s="36" t="s">
        <v>4752</v>
      </c>
      <c r="M717" s="35">
        <v>7629</v>
      </c>
      <c r="N717" s="36" t="s">
        <v>5269</v>
      </c>
      <c r="O717" s="35" t="s">
        <v>5670</v>
      </c>
      <c r="P717" s="35" t="s">
        <v>5671</v>
      </c>
    </row>
    <row r="718" spans="1:16" hidden="1">
      <c r="A718" s="35">
        <v>2885</v>
      </c>
      <c r="B718" s="36" t="s">
        <v>2591</v>
      </c>
      <c r="C718" t="e">
        <f>VLOOKUP(A718,'TABELA SPOLINE'!A:J,10,FALSE)</f>
        <v>#N/A</v>
      </c>
      <c r="H718">
        <v>860</v>
      </c>
      <c r="I718">
        <v>1</v>
      </c>
      <c r="J718" s="35" t="s">
        <v>3974</v>
      </c>
      <c r="K718" t="str">
        <f t="shared" si="263"/>
        <v>2885</v>
      </c>
      <c r="L718" s="36" t="s">
        <v>4753</v>
      </c>
      <c r="M718" s="35">
        <v>7629</v>
      </c>
      <c r="N718" s="36" t="s">
        <v>5269</v>
      </c>
      <c r="O718" s="35" t="s">
        <v>5670</v>
      </c>
      <c r="P718" s="35" t="s">
        <v>5671</v>
      </c>
    </row>
    <row r="719" spans="1:16">
      <c r="A719" s="35">
        <v>2886</v>
      </c>
      <c r="B719" s="36" t="s">
        <v>2688</v>
      </c>
      <c r="C719">
        <f>VLOOKUP(A719,'TABELA SPOLINE'!A:J,10,FALSE)</f>
        <v>87.927000000000007</v>
      </c>
      <c r="D719">
        <f t="shared" ref="D719:D720" si="268">C719*0.1+C719</f>
        <v>96.719700000000003</v>
      </c>
      <c r="E719">
        <f t="shared" ref="E719:E720" si="269">ROUNDUP(D719,2)</f>
        <v>96.72</v>
      </c>
      <c r="F719">
        <f t="shared" ref="F719:F720" si="270">E719*0.0975+E719</f>
        <v>106.1502</v>
      </c>
      <c r="G719">
        <f t="shared" ref="G719:G720" si="271">ROUNDUP(F719,2)</f>
        <v>106.16000000000001</v>
      </c>
      <c r="H719">
        <v>855</v>
      </c>
      <c r="I719">
        <v>1</v>
      </c>
      <c r="J719" s="35" t="s">
        <v>4069</v>
      </c>
      <c r="K719" t="str">
        <f t="shared" si="263"/>
        <v>2886</v>
      </c>
      <c r="L719" s="36" t="s">
        <v>4754</v>
      </c>
      <c r="M719" s="35">
        <v>7629</v>
      </c>
      <c r="N719" s="36" t="s">
        <v>5269</v>
      </c>
      <c r="O719" s="35" t="s">
        <v>5588</v>
      </c>
      <c r="P719" s="35" t="s">
        <v>5589</v>
      </c>
    </row>
    <row r="720" spans="1:16">
      <c r="A720" s="35">
        <v>2887</v>
      </c>
      <c r="B720" s="36" t="s">
        <v>2592</v>
      </c>
      <c r="C720">
        <f>VLOOKUP(A720,'TABELA SPOLINE'!A:J,10,FALSE)</f>
        <v>161.38500000000002</v>
      </c>
      <c r="D720">
        <f t="shared" si="268"/>
        <v>177.52350000000001</v>
      </c>
      <c r="E720">
        <f t="shared" si="269"/>
        <v>177.53</v>
      </c>
      <c r="F720">
        <f t="shared" si="270"/>
        <v>194.83917500000001</v>
      </c>
      <c r="G720">
        <f t="shared" si="271"/>
        <v>194.84</v>
      </c>
      <c r="H720">
        <v>860</v>
      </c>
      <c r="I720">
        <v>1</v>
      </c>
      <c r="J720" s="35" t="s">
        <v>3975</v>
      </c>
      <c r="K720" t="str">
        <f t="shared" si="263"/>
        <v>2887</v>
      </c>
      <c r="L720" s="36" t="s">
        <v>4754</v>
      </c>
      <c r="M720" s="35">
        <v>7629</v>
      </c>
      <c r="N720" s="36" t="s">
        <v>5269</v>
      </c>
      <c r="O720" s="35" t="s">
        <v>5680</v>
      </c>
      <c r="P720" s="35" t="s">
        <v>5681</v>
      </c>
    </row>
    <row r="721" spans="1:16" hidden="1">
      <c r="A721" s="35">
        <v>2888</v>
      </c>
      <c r="B721" s="36" t="s">
        <v>2689</v>
      </c>
      <c r="C721" t="e">
        <f>VLOOKUP(A721,'TABELA SPOLINE'!A:J,10,FALSE)</f>
        <v>#N/A</v>
      </c>
      <c r="H721">
        <v>855</v>
      </c>
      <c r="I721">
        <v>1</v>
      </c>
      <c r="J721" s="35" t="s">
        <v>4070</v>
      </c>
      <c r="K721" t="str">
        <f t="shared" si="263"/>
        <v>2888</v>
      </c>
      <c r="L721" s="36" t="s">
        <v>4755</v>
      </c>
      <c r="M721" s="35">
        <v>7629</v>
      </c>
      <c r="N721" s="36" t="s">
        <v>5269</v>
      </c>
      <c r="O721" s="35" t="s">
        <v>5682</v>
      </c>
      <c r="P721" s="35" t="s">
        <v>5683</v>
      </c>
    </row>
    <row r="722" spans="1:16" hidden="1">
      <c r="A722" s="35">
        <v>2890</v>
      </c>
      <c r="B722" s="36" t="s">
        <v>2691</v>
      </c>
      <c r="C722" t="e">
        <f>VLOOKUP(A722,'TABELA SPOLINE'!A:J,10,FALSE)</f>
        <v>#N/A</v>
      </c>
      <c r="H722">
        <v>855</v>
      </c>
      <c r="I722">
        <v>2</v>
      </c>
      <c r="J722" s="35" t="s">
        <v>4072</v>
      </c>
      <c r="K722" t="str">
        <f t="shared" si="263"/>
        <v>2890</v>
      </c>
      <c r="L722" s="36" t="s">
        <v>4756</v>
      </c>
      <c r="M722" s="35">
        <v>7629</v>
      </c>
      <c r="N722" s="36" t="s">
        <v>5269</v>
      </c>
      <c r="O722" s="35" t="s">
        <v>5682</v>
      </c>
      <c r="P722" s="35" t="s">
        <v>5683</v>
      </c>
    </row>
    <row r="723" spans="1:16" hidden="1">
      <c r="A723" s="35">
        <v>2893</v>
      </c>
      <c r="B723" s="36" t="s">
        <v>2692</v>
      </c>
      <c r="C723" t="e">
        <f>VLOOKUP(A723,'TABELA SPOLINE'!A:J,10,FALSE)</f>
        <v>#N/A</v>
      </c>
      <c r="H723">
        <v>855</v>
      </c>
      <c r="I723">
        <v>2</v>
      </c>
      <c r="J723" s="35" t="s">
        <v>4073</v>
      </c>
      <c r="K723" t="str">
        <f t="shared" si="263"/>
        <v>2893</v>
      </c>
      <c r="L723" s="36" t="s">
        <v>4756</v>
      </c>
      <c r="M723" s="35">
        <v>7629</v>
      </c>
      <c r="N723" s="36" t="s">
        <v>5269</v>
      </c>
      <c r="O723" s="35" t="s">
        <v>5682</v>
      </c>
      <c r="P723" s="35" t="s">
        <v>5683</v>
      </c>
    </row>
    <row r="724" spans="1:16">
      <c r="A724" s="35">
        <v>2894</v>
      </c>
      <c r="B724" s="36" t="s">
        <v>2351</v>
      </c>
      <c r="C724">
        <f>VLOOKUP(A724,'TABELA SPOLINE'!A:J,10,FALSE)</f>
        <v>152.48099999999999</v>
      </c>
      <c r="D724">
        <f>C724*0.1+C724</f>
        <v>167.72909999999999</v>
      </c>
      <c r="E724">
        <f>ROUNDUP(D724,2)</f>
        <v>167.73</v>
      </c>
      <c r="F724">
        <f>E724*0.0975+E724</f>
        <v>184.083675</v>
      </c>
      <c r="G724">
        <f>ROUNDUP(F724,2)</f>
        <v>184.09</v>
      </c>
      <c r="H724">
        <v>863</v>
      </c>
      <c r="I724">
        <v>1</v>
      </c>
      <c r="J724" s="35" t="s">
        <v>3736</v>
      </c>
      <c r="K724" t="str">
        <f t="shared" si="263"/>
        <v>2894</v>
      </c>
      <c r="L724" s="36" t="s">
        <v>4757</v>
      </c>
      <c r="M724" s="35">
        <v>7629</v>
      </c>
      <c r="N724" s="36" t="s">
        <v>5269</v>
      </c>
      <c r="O724" s="35" t="s">
        <v>5684</v>
      </c>
      <c r="P724" s="35" t="s">
        <v>5685</v>
      </c>
    </row>
    <row r="725" spans="1:16" hidden="1">
      <c r="A725" s="35">
        <v>2895</v>
      </c>
      <c r="B725" s="36" t="s">
        <v>2352</v>
      </c>
      <c r="C725" t="e">
        <f>VLOOKUP(A725,'TABELA SPOLINE'!A:J,10,FALSE)</f>
        <v>#N/A</v>
      </c>
      <c r="H725">
        <v>863</v>
      </c>
      <c r="I725">
        <v>1</v>
      </c>
      <c r="J725" s="35" t="s">
        <v>3737</v>
      </c>
      <c r="K725" t="str">
        <f t="shared" si="263"/>
        <v>2895</v>
      </c>
      <c r="L725" s="36" t="s">
        <v>4758</v>
      </c>
      <c r="M725" s="35">
        <v>7629</v>
      </c>
      <c r="N725" s="36" t="s">
        <v>5269</v>
      </c>
      <c r="O725" s="35" t="s">
        <v>5686</v>
      </c>
      <c r="P725" s="35" t="s">
        <v>5687</v>
      </c>
    </row>
    <row r="726" spans="1:16" hidden="1">
      <c r="A726" s="35">
        <v>2897</v>
      </c>
      <c r="B726" s="36" t="s">
        <v>2693</v>
      </c>
      <c r="C726" t="e">
        <f>VLOOKUP(A726,'TABELA SPOLINE'!A:J,10,FALSE)</f>
        <v>#N/A</v>
      </c>
      <c r="H726">
        <v>855</v>
      </c>
      <c r="I726">
        <v>2</v>
      </c>
      <c r="J726" s="35" t="s">
        <v>4074</v>
      </c>
      <c r="K726" t="str">
        <f t="shared" si="263"/>
        <v>2897</v>
      </c>
      <c r="L726" s="36" t="s">
        <v>4759</v>
      </c>
      <c r="M726" s="35">
        <v>7629</v>
      </c>
      <c r="N726" s="36" t="s">
        <v>5269</v>
      </c>
      <c r="O726" s="35" t="s">
        <v>5686</v>
      </c>
      <c r="P726" s="35" t="s">
        <v>5687</v>
      </c>
    </row>
    <row r="727" spans="1:16">
      <c r="A727" s="35">
        <v>2898</v>
      </c>
      <c r="B727" s="36" t="s">
        <v>2353</v>
      </c>
      <c r="C727">
        <f>VLOOKUP(A727,'TABELA SPOLINE'!A:J,10,FALSE)</f>
        <v>152.48099999999999</v>
      </c>
      <c r="D727">
        <f>C727*0.1+C727</f>
        <v>167.72909999999999</v>
      </c>
      <c r="E727">
        <f>ROUNDUP(D727,2)</f>
        <v>167.73</v>
      </c>
      <c r="F727">
        <f>E727*0.0975+E727</f>
        <v>184.083675</v>
      </c>
      <c r="G727">
        <f>ROUNDUP(F727,2)</f>
        <v>184.09</v>
      </c>
      <c r="H727">
        <v>863</v>
      </c>
      <c r="I727">
        <v>1</v>
      </c>
      <c r="J727" s="35" t="s">
        <v>3738</v>
      </c>
      <c r="K727" t="str">
        <f t="shared" si="263"/>
        <v>2898</v>
      </c>
      <c r="L727" s="36" t="s">
        <v>4760</v>
      </c>
      <c r="M727" s="35">
        <v>7629</v>
      </c>
      <c r="N727" s="36" t="s">
        <v>5269</v>
      </c>
      <c r="O727" s="35" t="s">
        <v>5684</v>
      </c>
      <c r="P727" s="35" t="s">
        <v>5685</v>
      </c>
    </row>
    <row r="728" spans="1:16" hidden="1">
      <c r="A728" s="35">
        <v>2899</v>
      </c>
      <c r="B728" s="36" t="s">
        <v>2694</v>
      </c>
      <c r="C728" t="e">
        <f>VLOOKUP(A728,'TABELA SPOLINE'!A:J,10,FALSE)</f>
        <v>#N/A</v>
      </c>
      <c r="H728">
        <v>855</v>
      </c>
      <c r="I728">
        <v>2</v>
      </c>
      <c r="J728" s="35" t="s">
        <v>4075</v>
      </c>
      <c r="K728" t="str">
        <f t="shared" si="263"/>
        <v>2899</v>
      </c>
      <c r="L728" s="36" t="s">
        <v>4761</v>
      </c>
      <c r="M728" s="35">
        <v>7629</v>
      </c>
      <c r="N728" s="36" t="s">
        <v>5269</v>
      </c>
      <c r="O728" s="35" t="s">
        <v>5688</v>
      </c>
      <c r="P728" s="35" t="s">
        <v>5689</v>
      </c>
    </row>
    <row r="729" spans="1:16" hidden="1">
      <c r="A729" s="35">
        <v>2900</v>
      </c>
      <c r="B729" s="36" t="s">
        <v>2596</v>
      </c>
      <c r="C729" t="e">
        <f>VLOOKUP(A729,'TABELA SPOLINE'!A:J,10,FALSE)</f>
        <v>#N/A</v>
      </c>
      <c r="H729">
        <v>865</v>
      </c>
      <c r="I729">
        <v>1</v>
      </c>
      <c r="J729" s="35" t="s">
        <v>3979</v>
      </c>
      <c r="K729" t="str">
        <f t="shared" si="263"/>
        <v>2900</v>
      </c>
      <c r="L729" s="36" t="s">
        <v>4761</v>
      </c>
      <c r="M729" s="35">
        <v>7629</v>
      </c>
      <c r="N729" s="36" t="s">
        <v>5269</v>
      </c>
      <c r="O729" s="35" t="s">
        <v>5688</v>
      </c>
      <c r="P729" s="35" t="s">
        <v>5689</v>
      </c>
    </row>
    <row r="730" spans="1:16" hidden="1">
      <c r="A730" s="35">
        <v>2901</v>
      </c>
      <c r="B730" s="36" t="s">
        <v>2696</v>
      </c>
      <c r="C730" t="e">
        <f>VLOOKUP(A730,'TABELA SPOLINE'!A:J,10,FALSE)</f>
        <v>#N/A</v>
      </c>
      <c r="H730">
        <v>855</v>
      </c>
      <c r="I730">
        <v>3</v>
      </c>
      <c r="J730" s="35" t="s">
        <v>4077</v>
      </c>
      <c r="K730" t="str">
        <f t="shared" si="263"/>
        <v>2901</v>
      </c>
      <c r="L730" s="36" t="s">
        <v>4762</v>
      </c>
      <c r="M730" s="35">
        <v>7629</v>
      </c>
      <c r="N730" s="36" t="s">
        <v>5269</v>
      </c>
      <c r="O730" s="35" t="s">
        <v>5684</v>
      </c>
      <c r="P730" s="35" t="s">
        <v>5685</v>
      </c>
    </row>
    <row r="731" spans="1:16" hidden="1">
      <c r="A731" s="35">
        <v>2902</v>
      </c>
      <c r="B731" s="36" t="s">
        <v>2597</v>
      </c>
      <c r="C731" t="e">
        <f>VLOOKUP(A731,'TABELA SPOLINE'!A:J,10,FALSE)</f>
        <v>#N/A</v>
      </c>
      <c r="H731">
        <v>865</v>
      </c>
      <c r="I731">
        <v>1</v>
      </c>
      <c r="J731" s="35" t="s">
        <v>3980</v>
      </c>
      <c r="K731" t="str">
        <f t="shared" si="263"/>
        <v>2902</v>
      </c>
      <c r="L731" s="36" t="s">
        <v>4763</v>
      </c>
      <c r="M731" s="35">
        <v>7629</v>
      </c>
      <c r="N731" s="36" t="s">
        <v>5269</v>
      </c>
      <c r="O731" s="35" t="s">
        <v>5688</v>
      </c>
      <c r="P731" s="35" t="s">
        <v>5689</v>
      </c>
    </row>
    <row r="732" spans="1:16" hidden="1">
      <c r="A732" s="35">
        <v>2903</v>
      </c>
      <c r="B732" s="36" t="s">
        <v>2697</v>
      </c>
      <c r="C732" t="e">
        <f>VLOOKUP(A732,'TABELA SPOLINE'!A:J,10,FALSE)</f>
        <v>#N/A</v>
      </c>
      <c r="H732">
        <v>855</v>
      </c>
      <c r="I732">
        <v>3</v>
      </c>
      <c r="J732" s="35" t="s">
        <v>4078</v>
      </c>
      <c r="K732" t="str">
        <f t="shared" si="263"/>
        <v>2903</v>
      </c>
      <c r="L732" s="36" t="s">
        <v>4761</v>
      </c>
      <c r="M732" s="35">
        <v>7629</v>
      </c>
      <c r="N732" s="36" t="s">
        <v>5269</v>
      </c>
      <c r="O732" s="35" t="s">
        <v>5684</v>
      </c>
      <c r="P732" s="35" t="s">
        <v>5685</v>
      </c>
    </row>
    <row r="733" spans="1:16" hidden="1">
      <c r="A733" s="35">
        <v>2904</v>
      </c>
      <c r="B733" s="36" t="s">
        <v>2698</v>
      </c>
      <c r="C733" t="e">
        <f>VLOOKUP(A733,'TABELA SPOLINE'!A:J,10,FALSE)</f>
        <v>#N/A</v>
      </c>
      <c r="H733">
        <v>855</v>
      </c>
      <c r="I733">
        <v>3</v>
      </c>
      <c r="J733" s="35" t="s">
        <v>4079</v>
      </c>
      <c r="K733" t="str">
        <f t="shared" si="263"/>
        <v>2904</v>
      </c>
      <c r="L733" s="36" t="s">
        <v>4764</v>
      </c>
      <c r="M733" s="35">
        <v>7629</v>
      </c>
      <c r="N733" s="36" t="s">
        <v>5269</v>
      </c>
      <c r="O733" s="35" t="s">
        <v>5688</v>
      </c>
      <c r="P733" s="35" t="s">
        <v>5689</v>
      </c>
    </row>
    <row r="734" spans="1:16" hidden="1">
      <c r="A734" s="35">
        <v>2905</v>
      </c>
      <c r="B734" s="36" t="s">
        <v>2699</v>
      </c>
      <c r="C734" t="e">
        <f>VLOOKUP(A734,'TABELA SPOLINE'!A:J,10,FALSE)</f>
        <v>#N/A</v>
      </c>
      <c r="H734">
        <v>855</v>
      </c>
      <c r="I734">
        <v>3</v>
      </c>
      <c r="J734" s="35" t="s">
        <v>4080</v>
      </c>
      <c r="K734" t="str">
        <f t="shared" si="263"/>
        <v>2905</v>
      </c>
      <c r="L734" s="36" t="s">
        <v>4765</v>
      </c>
      <c r="M734" s="35">
        <v>7629</v>
      </c>
      <c r="N734" s="36" t="s">
        <v>5269</v>
      </c>
      <c r="O734" s="35" t="s">
        <v>5690</v>
      </c>
      <c r="P734" s="35" t="s">
        <v>5691</v>
      </c>
    </row>
    <row r="735" spans="1:16" hidden="1">
      <c r="A735" s="35">
        <v>2906</v>
      </c>
      <c r="B735" s="36" t="s">
        <v>2471</v>
      </c>
      <c r="C735" t="e">
        <f>VLOOKUP(A735,'TABELA SPOLINE'!A:J,10,FALSE)</f>
        <v>#N/A</v>
      </c>
      <c r="H735">
        <v>858</v>
      </c>
      <c r="I735">
        <v>120</v>
      </c>
      <c r="J735" s="35" t="s">
        <v>3854</v>
      </c>
      <c r="K735" t="str">
        <f t="shared" si="263"/>
        <v>2906</v>
      </c>
      <c r="L735" s="36" t="s">
        <v>4764</v>
      </c>
      <c r="M735" s="35">
        <v>7629</v>
      </c>
      <c r="N735" s="36" t="s">
        <v>5269</v>
      </c>
      <c r="O735" s="35" t="s">
        <v>5688</v>
      </c>
      <c r="P735" s="35" t="s">
        <v>5689</v>
      </c>
    </row>
    <row r="736" spans="1:16" hidden="1">
      <c r="A736" s="35">
        <v>2907</v>
      </c>
      <c r="B736" s="36" t="s">
        <v>2472</v>
      </c>
      <c r="C736" t="e">
        <f>VLOOKUP(A736,'TABELA SPOLINE'!A:J,10,FALSE)</f>
        <v>#N/A</v>
      </c>
      <c r="H736">
        <v>858</v>
      </c>
      <c r="I736">
        <v>120</v>
      </c>
      <c r="J736" s="35" t="s">
        <v>3855</v>
      </c>
      <c r="K736" t="str">
        <f t="shared" si="263"/>
        <v>2907</v>
      </c>
      <c r="L736" s="36" t="s">
        <v>4764</v>
      </c>
      <c r="M736" s="35">
        <v>7629</v>
      </c>
      <c r="N736" s="36" t="s">
        <v>5269</v>
      </c>
      <c r="O736" s="35" t="s">
        <v>5688</v>
      </c>
      <c r="P736" s="35" t="s">
        <v>5689</v>
      </c>
    </row>
    <row r="737" spans="1:16" hidden="1">
      <c r="A737" s="35">
        <v>2908</v>
      </c>
      <c r="B737" s="36" t="s">
        <v>2465</v>
      </c>
      <c r="C737" t="e">
        <f>VLOOKUP(A737,'TABELA SPOLINE'!A:J,10,FALSE)</f>
        <v>#N/A</v>
      </c>
      <c r="H737">
        <v>856</v>
      </c>
      <c r="I737">
        <v>1</v>
      </c>
      <c r="J737" s="35" t="s">
        <v>3848</v>
      </c>
      <c r="K737" t="str">
        <f t="shared" si="263"/>
        <v>2908</v>
      </c>
      <c r="L737" s="36" t="s">
        <v>4764</v>
      </c>
      <c r="M737" s="35">
        <v>7629</v>
      </c>
      <c r="N737" s="36" t="s">
        <v>5269</v>
      </c>
      <c r="O737" s="35" t="s">
        <v>5688</v>
      </c>
      <c r="P737" s="35" t="s">
        <v>5689</v>
      </c>
    </row>
    <row r="738" spans="1:16" hidden="1">
      <c r="A738" s="35">
        <v>2909</v>
      </c>
      <c r="B738" s="36" t="s">
        <v>2466</v>
      </c>
      <c r="C738" t="e">
        <f>VLOOKUP(A738,'TABELA SPOLINE'!A:J,10,FALSE)</f>
        <v>#N/A</v>
      </c>
      <c r="H738">
        <v>856</v>
      </c>
      <c r="I738">
        <v>1</v>
      </c>
      <c r="J738" s="35" t="s">
        <v>3849</v>
      </c>
      <c r="K738" t="str">
        <f t="shared" si="263"/>
        <v>2909</v>
      </c>
      <c r="L738" s="36" t="s">
        <v>4766</v>
      </c>
      <c r="M738" s="35">
        <v>7629</v>
      </c>
      <c r="N738" s="36" t="s">
        <v>5269</v>
      </c>
      <c r="O738" s="35" t="s">
        <v>5692</v>
      </c>
      <c r="P738" s="35" t="s">
        <v>5693</v>
      </c>
    </row>
    <row r="739" spans="1:16" hidden="1">
      <c r="A739" s="35">
        <v>2910</v>
      </c>
      <c r="B739" s="36" t="s">
        <v>2467</v>
      </c>
      <c r="C739" t="e">
        <f>VLOOKUP(A739,'TABELA SPOLINE'!A:J,10,FALSE)</f>
        <v>#N/A</v>
      </c>
      <c r="H739">
        <v>856</v>
      </c>
      <c r="I739">
        <v>1</v>
      </c>
      <c r="J739" s="35" t="s">
        <v>3850</v>
      </c>
      <c r="K739" t="str">
        <f t="shared" si="263"/>
        <v>2910</v>
      </c>
      <c r="L739" s="36" t="s">
        <v>4767</v>
      </c>
      <c r="M739" s="35">
        <v>7629</v>
      </c>
      <c r="N739" s="36" t="s">
        <v>5269</v>
      </c>
      <c r="O739" s="35" t="s">
        <v>5692</v>
      </c>
      <c r="P739" s="35" t="s">
        <v>5693</v>
      </c>
    </row>
    <row r="740" spans="1:16" hidden="1">
      <c r="A740" s="35">
        <v>2911</v>
      </c>
      <c r="B740" s="36" t="s">
        <v>2468</v>
      </c>
      <c r="C740" t="e">
        <f>VLOOKUP(A740,'TABELA SPOLINE'!A:J,10,FALSE)</f>
        <v>#N/A</v>
      </c>
      <c r="H740">
        <v>856</v>
      </c>
      <c r="I740">
        <v>1</v>
      </c>
      <c r="J740" s="35" t="s">
        <v>3851</v>
      </c>
      <c r="K740" t="str">
        <f t="shared" si="263"/>
        <v>2911</v>
      </c>
      <c r="L740" s="36" t="s">
        <v>4768</v>
      </c>
      <c r="M740" s="35">
        <v>7629</v>
      </c>
      <c r="N740" s="36" t="s">
        <v>5269</v>
      </c>
      <c r="O740" s="35" t="s">
        <v>5692</v>
      </c>
      <c r="P740" s="35" t="s">
        <v>5693</v>
      </c>
    </row>
    <row r="741" spans="1:16" hidden="1">
      <c r="A741" s="35">
        <v>2912</v>
      </c>
      <c r="B741" s="36" t="s">
        <v>2469</v>
      </c>
      <c r="C741" t="e">
        <f>VLOOKUP(A741,'TABELA SPOLINE'!A:J,10,FALSE)</f>
        <v>#N/A</v>
      </c>
      <c r="H741">
        <v>856</v>
      </c>
      <c r="I741">
        <v>1</v>
      </c>
      <c r="J741" s="35" t="s">
        <v>3852</v>
      </c>
      <c r="K741" t="str">
        <f t="shared" si="263"/>
        <v>2912</v>
      </c>
      <c r="L741" s="36" t="s">
        <v>4769</v>
      </c>
      <c r="M741" s="35">
        <v>7629</v>
      </c>
      <c r="N741" s="36" t="s">
        <v>5269</v>
      </c>
      <c r="O741" s="35" t="s">
        <v>5692</v>
      </c>
      <c r="P741" s="35" t="s">
        <v>5693</v>
      </c>
    </row>
    <row r="742" spans="1:16" hidden="1">
      <c r="A742" s="35">
        <v>2913</v>
      </c>
      <c r="B742" s="36" t="s">
        <v>2475</v>
      </c>
      <c r="C742" t="e">
        <f>VLOOKUP(A742,'TABELA SPOLINE'!A:J,10,FALSE)</f>
        <v>#N/A</v>
      </c>
      <c r="H742">
        <v>859</v>
      </c>
      <c r="I742">
        <v>3</v>
      </c>
      <c r="J742" s="35" t="s">
        <v>3858</v>
      </c>
      <c r="K742" t="str">
        <f t="shared" si="263"/>
        <v>2913</v>
      </c>
      <c r="L742" s="36" t="s">
        <v>4770</v>
      </c>
      <c r="M742" s="35">
        <v>7629</v>
      </c>
      <c r="N742" s="36" t="s">
        <v>5269</v>
      </c>
      <c r="O742" s="35" t="s">
        <v>5692</v>
      </c>
      <c r="P742" s="35" t="s">
        <v>5693</v>
      </c>
    </row>
    <row r="743" spans="1:16" hidden="1">
      <c r="A743" s="35">
        <v>2914</v>
      </c>
      <c r="B743" s="36" t="s">
        <v>2476</v>
      </c>
      <c r="C743" t="e">
        <f>VLOOKUP(A743,'TABELA SPOLINE'!A:J,10,FALSE)</f>
        <v>#N/A</v>
      </c>
      <c r="H743">
        <v>859</v>
      </c>
      <c r="I743">
        <v>3</v>
      </c>
      <c r="J743" s="35" t="s">
        <v>3859</v>
      </c>
      <c r="K743" t="str">
        <f t="shared" si="263"/>
        <v>2914</v>
      </c>
      <c r="L743" s="36" t="s">
        <v>4771</v>
      </c>
      <c r="M743" s="35">
        <v>7629</v>
      </c>
      <c r="N743" s="36" t="s">
        <v>5269</v>
      </c>
      <c r="O743" s="35" t="s">
        <v>5692</v>
      </c>
      <c r="P743" s="35" t="s">
        <v>5693</v>
      </c>
    </row>
    <row r="744" spans="1:16" hidden="1">
      <c r="A744" s="35">
        <v>2915</v>
      </c>
      <c r="B744" s="36" t="s">
        <v>2477</v>
      </c>
      <c r="C744" t="e">
        <f>VLOOKUP(A744,'TABELA SPOLINE'!A:J,10,FALSE)</f>
        <v>#N/A</v>
      </c>
      <c r="H744">
        <v>859</v>
      </c>
      <c r="I744">
        <v>3</v>
      </c>
      <c r="J744" s="35" t="s">
        <v>3860</v>
      </c>
      <c r="K744" t="str">
        <f t="shared" si="263"/>
        <v>2915</v>
      </c>
      <c r="L744" s="36" t="s">
        <v>4772</v>
      </c>
      <c r="M744" s="35">
        <v>7629</v>
      </c>
      <c r="N744" s="36" t="s">
        <v>5269</v>
      </c>
      <c r="O744" s="35" t="s">
        <v>5328</v>
      </c>
      <c r="P744" s="35" t="s">
        <v>5329</v>
      </c>
    </row>
    <row r="745" spans="1:16">
      <c r="A745" s="35">
        <v>2916</v>
      </c>
      <c r="B745" s="36" t="s">
        <v>2676</v>
      </c>
      <c r="C745">
        <f>VLOOKUP(A745,'TABELA SPOLINE'!A:J,10,FALSE)</f>
        <v>299.39699999999999</v>
      </c>
      <c r="D745">
        <f>C745*0.1+C745</f>
        <v>329.33670000000001</v>
      </c>
      <c r="E745">
        <f>ROUNDUP(D745,2)</f>
        <v>329.34</v>
      </c>
      <c r="F745">
        <f>E745*0.0975+E745</f>
        <v>361.45065</v>
      </c>
      <c r="G745">
        <f>ROUNDUP(F745,2)</f>
        <v>361.46</v>
      </c>
      <c r="H745">
        <v>861</v>
      </c>
      <c r="I745">
        <v>1</v>
      </c>
      <c r="J745" s="35" t="s">
        <v>4057</v>
      </c>
      <c r="K745" t="str">
        <f t="shared" si="263"/>
        <v>2916</v>
      </c>
      <c r="L745" s="36" t="s">
        <v>4773</v>
      </c>
      <c r="M745" s="35">
        <v>7629</v>
      </c>
      <c r="N745" s="36" t="s">
        <v>5269</v>
      </c>
      <c r="O745" s="35" t="s">
        <v>5332</v>
      </c>
      <c r="P745" s="35" t="s">
        <v>5333</v>
      </c>
    </row>
    <row r="746" spans="1:16" hidden="1">
      <c r="A746" s="35">
        <v>2917</v>
      </c>
      <c r="B746" s="36" t="s">
        <v>2677</v>
      </c>
      <c r="C746" t="e">
        <f>VLOOKUP(A746,'TABELA SPOLINE'!A:J,10,FALSE)</f>
        <v>#N/A</v>
      </c>
      <c r="H746">
        <v>861</v>
      </c>
      <c r="I746">
        <v>1</v>
      </c>
      <c r="J746" s="35" t="s">
        <v>4058</v>
      </c>
      <c r="K746" t="str">
        <f t="shared" si="263"/>
        <v>2917</v>
      </c>
      <c r="L746" s="36" t="s">
        <v>4774</v>
      </c>
      <c r="M746" s="35">
        <v>7629</v>
      </c>
      <c r="N746" s="36" t="s">
        <v>5269</v>
      </c>
      <c r="O746" s="35" t="s">
        <v>5694</v>
      </c>
      <c r="P746" s="35" t="s">
        <v>5695</v>
      </c>
    </row>
    <row r="747" spans="1:16">
      <c r="A747" s="35">
        <v>2918</v>
      </c>
      <c r="B747" s="36" t="s">
        <v>2678</v>
      </c>
      <c r="C747">
        <f>VLOOKUP(A747,'TABELA SPOLINE'!A:J,10,FALSE)</f>
        <v>299.39699999999999</v>
      </c>
      <c r="D747">
        <f t="shared" ref="D747:D748" si="272">C747*0.1+C747</f>
        <v>329.33670000000001</v>
      </c>
      <c r="E747">
        <f t="shared" ref="E747:E748" si="273">ROUNDUP(D747,2)</f>
        <v>329.34</v>
      </c>
      <c r="F747">
        <f t="shared" ref="F747:F748" si="274">E747*0.0975+E747</f>
        <v>361.45065</v>
      </c>
      <c r="G747">
        <f t="shared" ref="G747:G748" si="275">ROUNDUP(F747,2)</f>
        <v>361.46</v>
      </c>
      <c r="H747">
        <v>861</v>
      </c>
      <c r="I747">
        <v>1</v>
      </c>
      <c r="J747" s="35" t="s">
        <v>4059</v>
      </c>
      <c r="K747" t="str">
        <f t="shared" si="263"/>
        <v>2918</v>
      </c>
      <c r="L747" s="36" t="s">
        <v>4775</v>
      </c>
      <c r="M747" s="35">
        <v>7629</v>
      </c>
      <c r="N747" s="36" t="s">
        <v>5269</v>
      </c>
      <c r="O747" s="35" t="s">
        <v>5696</v>
      </c>
      <c r="P747" s="35" t="s">
        <v>5697</v>
      </c>
    </row>
    <row r="748" spans="1:16">
      <c r="A748" s="35">
        <v>2919</v>
      </c>
      <c r="B748" s="36" t="s">
        <v>2585</v>
      </c>
      <c r="C748">
        <f>VLOOKUP(A748,'TABELA SPOLINE'!A:J,10,FALSE)</f>
        <v>247.08600000000001</v>
      </c>
      <c r="D748">
        <f t="shared" si="272"/>
        <v>271.7946</v>
      </c>
      <c r="E748">
        <f t="shared" si="273"/>
        <v>271.8</v>
      </c>
      <c r="F748">
        <f t="shared" si="274"/>
        <v>298.3005</v>
      </c>
      <c r="G748">
        <f t="shared" si="275"/>
        <v>298.31</v>
      </c>
      <c r="H748">
        <v>848</v>
      </c>
      <c r="I748">
        <v>1</v>
      </c>
      <c r="J748" s="35" t="s">
        <v>3968</v>
      </c>
      <c r="K748" t="str">
        <f t="shared" si="263"/>
        <v>2919</v>
      </c>
      <c r="L748" s="36" t="s">
        <v>4776</v>
      </c>
      <c r="M748" s="35">
        <v>7629</v>
      </c>
      <c r="N748" s="36" t="s">
        <v>5269</v>
      </c>
      <c r="O748" s="35" t="s">
        <v>5694</v>
      </c>
      <c r="P748" s="35" t="s">
        <v>5695</v>
      </c>
    </row>
    <row r="749" spans="1:16" hidden="1">
      <c r="A749" s="35">
        <v>2920</v>
      </c>
      <c r="B749" s="36" t="s">
        <v>2586</v>
      </c>
      <c r="C749" t="e">
        <f>VLOOKUP(A749,'TABELA SPOLINE'!A:J,10,FALSE)</f>
        <v>#N/A</v>
      </c>
      <c r="H749">
        <v>848</v>
      </c>
      <c r="I749">
        <v>1</v>
      </c>
      <c r="J749" s="35" t="s">
        <v>3969</v>
      </c>
      <c r="K749" t="str">
        <f t="shared" si="263"/>
        <v>2920</v>
      </c>
      <c r="L749" s="36" t="s">
        <v>4777</v>
      </c>
      <c r="M749" s="35">
        <v>7629</v>
      </c>
      <c r="N749" s="36" t="s">
        <v>5269</v>
      </c>
      <c r="O749" s="35" t="s">
        <v>5696</v>
      </c>
      <c r="P749" s="35" t="s">
        <v>5697</v>
      </c>
    </row>
    <row r="750" spans="1:16">
      <c r="A750" s="35">
        <v>2921</v>
      </c>
      <c r="B750" s="36" t="s">
        <v>2587</v>
      </c>
      <c r="C750">
        <f>VLOOKUP(A750,'TABELA SPOLINE'!A:J,10,FALSE)</f>
        <v>205.905</v>
      </c>
      <c r="D750">
        <f t="shared" ref="D750:D751" si="276">C750*0.1+C750</f>
        <v>226.49549999999999</v>
      </c>
      <c r="E750">
        <f t="shared" ref="E750:E751" si="277">ROUNDUP(D750,2)</f>
        <v>226.5</v>
      </c>
      <c r="F750">
        <f t="shared" ref="F750:F751" si="278">E750*0.0975+E750</f>
        <v>248.58375000000001</v>
      </c>
      <c r="G750">
        <f t="shared" ref="G750:G751" si="279">ROUNDUP(F750,2)</f>
        <v>248.59</v>
      </c>
      <c r="H750">
        <v>848</v>
      </c>
      <c r="I750">
        <v>1</v>
      </c>
      <c r="J750" s="35" t="s">
        <v>3970</v>
      </c>
      <c r="K750" t="str">
        <f t="shared" si="263"/>
        <v>2921</v>
      </c>
      <c r="L750" s="36" t="s">
        <v>4778</v>
      </c>
      <c r="M750" s="35">
        <v>7629</v>
      </c>
      <c r="N750" s="36" t="s">
        <v>5269</v>
      </c>
      <c r="O750" s="35" t="s">
        <v>5328</v>
      </c>
      <c r="P750" s="35" t="s">
        <v>5329</v>
      </c>
    </row>
    <row r="751" spans="1:16">
      <c r="A751" s="35">
        <v>2922</v>
      </c>
      <c r="B751" s="36" t="s">
        <v>2588</v>
      </c>
      <c r="C751">
        <f>VLOOKUP(A751,'TABELA SPOLINE'!A:J,10,FALSE)</f>
        <v>205.905</v>
      </c>
      <c r="D751">
        <f t="shared" si="276"/>
        <v>226.49549999999999</v>
      </c>
      <c r="E751">
        <f t="shared" si="277"/>
        <v>226.5</v>
      </c>
      <c r="F751">
        <f t="shared" si="278"/>
        <v>248.58375000000001</v>
      </c>
      <c r="G751">
        <f t="shared" si="279"/>
        <v>248.59</v>
      </c>
      <c r="H751">
        <v>848</v>
      </c>
      <c r="I751">
        <v>1</v>
      </c>
      <c r="J751" s="35" t="s">
        <v>3971</v>
      </c>
      <c r="K751" t="str">
        <f t="shared" si="263"/>
        <v>2922</v>
      </c>
      <c r="L751" s="36" t="s">
        <v>4779</v>
      </c>
      <c r="M751" s="35">
        <v>7629</v>
      </c>
      <c r="N751" s="36" t="s">
        <v>5269</v>
      </c>
      <c r="O751" s="35" t="s">
        <v>5698</v>
      </c>
      <c r="P751" s="35" t="s">
        <v>5699</v>
      </c>
    </row>
    <row r="752" spans="1:16" hidden="1">
      <c r="A752" s="35">
        <v>2923</v>
      </c>
      <c r="B752" s="36" t="s">
        <v>2593</v>
      </c>
      <c r="C752" t="e">
        <f>VLOOKUP(A752,'TABELA SPOLINE'!A:J,10,FALSE)</f>
        <v>#N/A</v>
      </c>
      <c r="H752">
        <v>862</v>
      </c>
      <c r="I752">
        <v>1</v>
      </c>
      <c r="J752" s="35" t="s">
        <v>3976</v>
      </c>
      <c r="K752" t="str">
        <f t="shared" si="263"/>
        <v>2923</v>
      </c>
      <c r="L752" s="36" t="s">
        <v>4780</v>
      </c>
      <c r="M752" s="35">
        <v>7629</v>
      </c>
      <c r="N752" s="36" t="s">
        <v>5269</v>
      </c>
      <c r="O752" s="35" t="s">
        <v>5700</v>
      </c>
      <c r="P752" s="35" t="s">
        <v>5701</v>
      </c>
    </row>
    <row r="753" spans="1:16" hidden="1">
      <c r="A753" s="35">
        <v>2924</v>
      </c>
      <c r="B753" s="36" t="s">
        <v>2594</v>
      </c>
      <c r="C753" t="e">
        <f>VLOOKUP(A753,'TABELA SPOLINE'!A:J,10,FALSE)</f>
        <v>#N/A</v>
      </c>
      <c r="H753">
        <v>862</v>
      </c>
      <c r="I753">
        <v>1</v>
      </c>
      <c r="J753" s="35" t="s">
        <v>3977</v>
      </c>
      <c r="K753" t="str">
        <f t="shared" si="263"/>
        <v>2924</v>
      </c>
      <c r="L753" s="36" t="s">
        <v>4780</v>
      </c>
      <c r="M753" s="35">
        <v>7629</v>
      </c>
      <c r="N753" s="36" t="s">
        <v>5269</v>
      </c>
      <c r="O753" s="35" t="s">
        <v>5698</v>
      </c>
      <c r="P753" s="35" t="s">
        <v>5699</v>
      </c>
    </row>
    <row r="754" spans="1:16" hidden="1">
      <c r="A754" s="35">
        <v>2925</v>
      </c>
      <c r="B754" s="36" t="s">
        <v>2595</v>
      </c>
      <c r="C754" t="e">
        <f>VLOOKUP(A754,'TABELA SPOLINE'!A:J,10,FALSE)</f>
        <v>#N/A</v>
      </c>
      <c r="H754">
        <v>862</v>
      </c>
      <c r="I754">
        <v>1</v>
      </c>
      <c r="J754" s="35" t="s">
        <v>3978</v>
      </c>
      <c r="K754" t="str">
        <f t="shared" si="263"/>
        <v>2925</v>
      </c>
      <c r="L754" s="36" t="s">
        <v>4781</v>
      </c>
      <c r="M754" s="35">
        <v>7629</v>
      </c>
      <c r="N754" s="36" t="s">
        <v>5269</v>
      </c>
      <c r="O754" s="35" t="s">
        <v>5702</v>
      </c>
      <c r="P754" s="35" t="s">
        <v>5703</v>
      </c>
    </row>
    <row r="755" spans="1:16" hidden="1">
      <c r="A755" s="35">
        <v>2930</v>
      </c>
      <c r="B755" s="36" t="s">
        <v>2333</v>
      </c>
      <c r="C755" t="e">
        <f>VLOOKUP(A755,'TABELA SPOLINE'!A:J,10,FALSE)</f>
        <v>#N/A</v>
      </c>
      <c r="H755">
        <v>837</v>
      </c>
      <c r="I755">
        <v>1</v>
      </c>
      <c r="J755" s="35" t="s">
        <v>3718</v>
      </c>
      <c r="K755" t="str">
        <f t="shared" si="263"/>
        <v>2930</v>
      </c>
      <c r="L755" s="36" t="s">
        <v>4782</v>
      </c>
      <c r="M755" s="35">
        <v>7629</v>
      </c>
      <c r="N755" s="36" t="s">
        <v>5269</v>
      </c>
      <c r="O755" s="35" t="s">
        <v>5702</v>
      </c>
      <c r="P755" s="35" t="s">
        <v>5703</v>
      </c>
    </row>
    <row r="756" spans="1:16">
      <c r="A756" s="35">
        <v>2932</v>
      </c>
      <c r="B756" s="36" t="s">
        <v>2658</v>
      </c>
      <c r="C756">
        <f>VLOOKUP(A756,'TABELA SPOLINE'!A:J,10,FALSE)</f>
        <v>228.16500000000002</v>
      </c>
      <c r="D756">
        <f t="shared" ref="D756:D757" si="280">C756*0.1+C756</f>
        <v>250.98150000000004</v>
      </c>
      <c r="E756">
        <f t="shared" ref="E756:E757" si="281">ROUNDUP(D756,2)</f>
        <v>250.98999999999998</v>
      </c>
      <c r="F756">
        <f t="shared" ref="F756:F757" si="282">E756*0.0975+E756</f>
        <v>275.46152499999999</v>
      </c>
      <c r="G756">
        <f t="shared" ref="G756:G757" si="283">ROUNDUP(F756,2)</f>
        <v>275.46999999999997</v>
      </c>
      <c r="H756">
        <v>844</v>
      </c>
      <c r="I756">
        <v>1</v>
      </c>
      <c r="J756" s="35" t="s">
        <v>4039</v>
      </c>
      <c r="K756" t="str">
        <f t="shared" si="263"/>
        <v>2932</v>
      </c>
      <c r="L756" s="36" t="s">
        <v>4783</v>
      </c>
      <c r="M756" s="35">
        <v>7629</v>
      </c>
      <c r="N756" s="36" t="s">
        <v>5269</v>
      </c>
      <c r="O756" s="35" t="s">
        <v>5702</v>
      </c>
      <c r="P756" s="35" t="s">
        <v>5703</v>
      </c>
    </row>
    <row r="757" spans="1:16">
      <c r="A757" s="35">
        <v>2933</v>
      </c>
      <c r="B757" s="36" t="s">
        <v>2660</v>
      </c>
      <c r="C757">
        <f>VLOOKUP(A757,'TABELA SPOLINE'!A:J,10,FALSE)</f>
        <v>228.16500000000002</v>
      </c>
      <c r="D757">
        <f t="shared" si="280"/>
        <v>250.98150000000004</v>
      </c>
      <c r="E757">
        <f t="shared" si="281"/>
        <v>250.98999999999998</v>
      </c>
      <c r="F757">
        <f t="shared" si="282"/>
        <v>275.46152499999999</v>
      </c>
      <c r="G757">
        <f t="shared" si="283"/>
        <v>275.46999999999997</v>
      </c>
      <c r="H757">
        <v>844</v>
      </c>
      <c r="I757">
        <v>1</v>
      </c>
      <c r="J757" s="35" t="s">
        <v>4041</v>
      </c>
      <c r="K757" t="str">
        <f t="shared" si="263"/>
        <v>2933</v>
      </c>
      <c r="L757" s="36" t="s">
        <v>4784</v>
      </c>
      <c r="M757" s="35">
        <v>7629</v>
      </c>
      <c r="N757" s="36" t="s">
        <v>5269</v>
      </c>
      <c r="O757" s="35" t="s">
        <v>5704</v>
      </c>
      <c r="P757" s="35" t="s">
        <v>5705</v>
      </c>
    </row>
    <row r="758" spans="1:16" hidden="1">
      <c r="A758" s="35">
        <v>2934</v>
      </c>
      <c r="B758" s="36" t="s">
        <v>2575</v>
      </c>
      <c r="C758" t="e">
        <f>VLOOKUP(A758,'TABELA SPOLINE'!A:J,10,FALSE)</f>
        <v>#N/A</v>
      </c>
      <c r="H758">
        <v>847</v>
      </c>
      <c r="I758">
        <v>1</v>
      </c>
      <c r="J758" s="35" t="s">
        <v>3958</v>
      </c>
      <c r="K758" t="str">
        <f t="shared" si="263"/>
        <v>2934</v>
      </c>
      <c r="L758" s="36" t="s">
        <v>4785</v>
      </c>
      <c r="M758" s="35">
        <v>7629</v>
      </c>
      <c r="N758" s="36" t="s">
        <v>5269</v>
      </c>
      <c r="O758" s="35" t="s">
        <v>5702</v>
      </c>
      <c r="P758" s="35" t="s">
        <v>5703</v>
      </c>
    </row>
    <row r="759" spans="1:16" hidden="1">
      <c r="A759" s="35">
        <v>2935</v>
      </c>
      <c r="B759" s="36" t="s">
        <v>2576</v>
      </c>
      <c r="C759" t="e">
        <f>VLOOKUP(A759,'TABELA SPOLINE'!A:J,10,FALSE)</f>
        <v>#N/A</v>
      </c>
      <c r="H759">
        <v>847</v>
      </c>
      <c r="I759">
        <v>1</v>
      </c>
      <c r="J759" s="35" t="s">
        <v>3959</v>
      </c>
      <c r="K759" t="str">
        <f t="shared" si="263"/>
        <v>2935</v>
      </c>
      <c r="L759" s="36" t="s">
        <v>4786</v>
      </c>
      <c r="M759" s="35">
        <v>7629</v>
      </c>
      <c r="N759" s="36" t="s">
        <v>5269</v>
      </c>
      <c r="O759" s="35" t="s">
        <v>5702</v>
      </c>
      <c r="P759" s="35" t="s">
        <v>5703</v>
      </c>
    </row>
    <row r="760" spans="1:16" hidden="1">
      <c r="A760" s="35">
        <v>2936</v>
      </c>
      <c r="B760" s="36" t="s">
        <v>2577</v>
      </c>
      <c r="C760" t="e">
        <f>VLOOKUP(A760,'TABELA SPOLINE'!A:J,10,FALSE)</f>
        <v>#N/A</v>
      </c>
      <c r="H760">
        <v>847</v>
      </c>
      <c r="I760">
        <v>1</v>
      </c>
      <c r="J760" s="35" t="s">
        <v>3960</v>
      </c>
      <c r="K760" t="str">
        <f t="shared" si="263"/>
        <v>2936</v>
      </c>
      <c r="L760" s="36" t="s">
        <v>4787</v>
      </c>
      <c r="M760" s="35">
        <v>7629</v>
      </c>
      <c r="N760" s="36" t="s">
        <v>5269</v>
      </c>
      <c r="O760" s="35" t="s">
        <v>5706</v>
      </c>
      <c r="P760" s="35" t="s">
        <v>5707</v>
      </c>
    </row>
    <row r="761" spans="1:16" hidden="1">
      <c r="A761" s="35">
        <v>2937</v>
      </c>
      <c r="B761" s="36" t="s">
        <v>2578</v>
      </c>
      <c r="C761" t="e">
        <f>VLOOKUP(A761,'TABELA SPOLINE'!A:J,10,FALSE)</f>
        <v>#N/A</v>
      </c>
      <c r="H761">
        <v>847</v>
      </c>
      <c r="I761">
        <v>1</v>
      </c>
      <c r="J761" s="35" t="s">
        <v>3961</v>
      </c>
      <c r="K761" t="str">
        <f t="shared" si="263"/>
        <v>2937</v>
      </c>
      <c r="L761" s="36" t="s">
        <v>4788</v>
      </c>
      <c r="M761" s="35">
        <v>7629</v>
      </c>
      <c r="N761" s="36" t="s">
        <v>5269</v>
      </c>
      <c r="O761" s="35" t="s">
        <v>5706</v>
      </c>
      <c r="P761" s="35" t="s">
        <v>5707</v>
      </c>
    </row>
    <row r="762" spans="1:16" hidden="1">
      <c r="A762" s="35">
        <v>2938</v>
      </c>
      <c r="B762" s="36" t="s">
        <v>2579</v>
      </c>
      <c r="C762" t="e">
        <f>VLOOKUP(A762,'TABELA SPOLINE'!A:J,10,FALSE)</f>
        <v>#N/A</v>
      </c>
      <c r="H762">
        <v>847</v>
      </c>
      <c r="I762">
        <v>1</v>
      </c>
      <c r="J762" s="35" t="s">
        <v>3962</v>
      </c>
      <c r="K762" t="str">
        <f t="shared" si="263"/>
        <v>2938</v>
      </c>
      <c r="L762" s="36" t="s">
        <v>4789</v>
      </c>
      <c r="M762" s="35">
        <v>7629</v>
      </c>
      <c r="N762" s="36" t="s">
        <v>5269</v>
      </c>
      <c r="O762" s="35" t="s">
        <v>5706</v>
      </c>
      <c r="P762" s="35" t="s">
        <v>5707</v>
      </c>
    </row>
    <row r="763" spans="1:16" hidden="1">
      <c r="A763" s="35">
        <v>2939</v>
      </c>
      <c r="B763" s="36" t="s">
        <v>2580</v>
      </c>
      <c r="C763" t="e">
        <f>VLOOKUP(A763,'TABELA SPOLINE'!A:J,10,FALSE)</f>
        <v>#N/A</v>
      </c>
      <c r="H763">
        <v>847</v>
      </c>
      <c r="I763">
        <v>1</v>
      </c>
      <c r="J763" s="35" t="s">
        <v>3963</v>
      </c>
      <c r="K763" t="str">
        <f t="shared" si="263"/>
        <v>2939</v>
      </c>
      <c r="L763" s="36" t="s">
        <v>4790</v>
      </c>
      <c r="M763" s="35">
        <v>7629</v>
      </c>
      <c r="N763" s="36" t="s">
        <v>5269</v>
      </c>
      <c r="O763" s="35" t="s">
        <v>5708</v>
      </c>
      <c r="P763" s="35" t="s">
        <v>5709</v>
      </c>
    </row>
    <row r="764" spans="1:16" hidden="1">
      <c r="A764" s="35">
        <v>2940</v>
      </c>
      <c r="B764" s="36" t="s">
        <v>2581</v>
      </c>
      <c r="C764" t="e">
        <f>VLOOKUP(A764,'TABELA SPOLINE'!A:J,10,FALSE)</f>
        <v>#N/A</v>
      </c>
      <c r="H764">
        <v>847</v>
      </c>
      <c r="I764">
        <v>1</v>
      </c>
      <c r="J764" s="35" t="s">
        <v>3964</v>
      </c>
      <c r="K764" t="str">
        <f t="shared" si="263"/>
        <v>2940</v>
      </c>
      <c r="L764" s="36" t="s">
        <v>4791</v>
      </c>
      <c r="M764" s="35">
        <v>7629</v>
      </c>
      <c r="N764" s="36" t="s">
        <v>5269</v>
      </c>
      <c r="O764" s="35" t="s">
        <v>5708</v>
      </c>
      <c r="P764" s="35" t="s">
        <v>5709</v>
      </c>
    </row>
    <row r="765" spans="1:16" hidden="1">
      <c r="A765" s="35">
        <v>2941</v>
      </c>
      <c r="B765" s="36" t="s">
        <v>2582</v>
      </c>
      <c r="C765" t="e">
        <f>VLOOKUP(A765,'TABELA SPOLINE'!A:J,10,FALSE)</f>
        <v>#N/A</v>
      </c>
      <c r="H765">
        <v>847</v>
      </c>
      <c r="I765">
        <v>1</v>
      </c>
      <c r="J765" s="35" t="s">
        <v>3965</v>
      </c>
      <c r="K765" t="str">
        <f t="shared" si="263"/>
        <v>2941</v>
      </c>
      <c r="L765" s="36" t="s">
        <v>4792</v>
      </c>
      <c r="M765" s="35">
        <v>7629</v>
      </c>
      <c r="N765" s="36" t="s">
        <v>5269</v>
      </c>
      <c r="O765" s="35" t="s">
        <v>5708</v>
      </c>
      <c r="P765" s="35" t="s">
        <v>5709</v>
      </c>
    </row>
    <row r="766" spans="1:16" hidden="1">
      <c r="A766" s="35">
        <v>2942</v>
      </c>
      <c r="B766" s="36" t="s">
        <v>2583</v>
      </c>
      <c r="C766" t="e">
        <f>VLOOKUP(A766,'TABELA SPOLINE'!A:J,10,FALSE)</f>
        <v>#N/A</v>
      </c>
      <c r="H766">
        <v>847</v>
      </c>
      <c r="I766">
        <v>1</v>
      </c>
      <c r="J766" s="35" t="s">
        <v>3966</v>
      </c>
      <c r="K766" t="str">
        <f t="shared" si="263"/>
        <v>2942</v>
      </c>
      <c r="L766" s="36" t="s">
        <v>4793</v>
      </c>
      <c r="M766" s="35">
        <v>7629</v>
      </c>
      <c r="N766" s="36" t="s">
        <v>5269</v>
      </c>
      <c r="O766" s="35" t="s">
        <v>5708</v>
      </c>
      <c r="P766" s="35" t="s">
        <v>5709</v>
      </c>
    </row>
    <row r="767" spans="1:16" hidden="1">
      <c r="A767" s="35">
        <v>2943</v>
      </c>
      <c r="B767" s="36" t="s">
        <v>2584</v>
      </c>
      <c r="C767" t="e">
        <f>VLOOKUP(A767,'TABELA SPOLINE'!A:J,10,FALSE)</f>
        <v>#N/A</v>
      </c>
      <c r="H767">
        <v>847</v>
      </c>
      <c r="I767">
        <v>1</v>
      </c>
      <c r="J767" s="35" t="s">
        <v>3967</v>
      </c>
      <c r="K767" t="str">
        <f t="shared" si="263"/>
        <v>2943</v>
      </c>
      <c r="L767" s="36" t="s">
        <v>4790</v>
      </c>
      <c r="M767" s="35">
        <v>7629</v>
      </c>
      <c r="N767" s="36" t="s">
        <v>5269</v>
      </c>
      <c r="O767" s="35" t="s">
        <v>5710</v>
      </c>
      <c r="P767" s="35" t="s">
        <v>5711</v>
      </c>
    </row>
    <row r="768" spans="1:16" hidden="1">
      <c r="A768" s="35">
        <v>2944</v>
      </c>
      <c r="B768" s="36" t="s">
        <v>2598</v>
      </c>
      <c r="C768" t="e">
        <f>VLOOKUP(A768,'TABELA SPOLINE'!A:J,10,FALSE)</f>
        <v>#N/A</v>
      </c>
      <c r="H768">
        <v>865</v>
      </c>
      <c r="I768">
        <v>1</v>
      </c>
      <c r="J768" s="35" t="s">
        <v>3981</v>
      </c>
      <c r="K768" t="str">
        <f t="shared" si="263"/>
        <v>2944</v>
      </c>
      <c r="L768" s="36" t="s">
        <v>4794</v>
      </c>
      <c r="M768" s="35">
        <v>7629</v>
      </c>
      <c r="N768" s="36" t="s">
        <v>5269</v>
      </c>
      <c r="O768" s="35" t="s">
        <v>5710</v>
      </c>
      <c r="P768" s="35" t="s">
        <v>5711</v>
      </c>
    </row>
    <row r="769" spans="1:16" hidden="1">
      <c r="A769" s="35">
        <v>2945</v>
      </c>
      <c r="B769" s="36" t="s">
        <v>2599</v>
      </c>
      <c r="C769" t="e">
        <f>VLOOKUP(A769,'TABELA SPOLINE'!A:J,10,FALSE)</f>
        <v>#N/A</v>
      </c>
      <c r="H769">
        <v>865</v>
      </c>
      <c r="I769">
        <v>1</v>
      </c>
      <c r="J769" s="35" t="s">
        <v>3982</v>
      </c>
      <c r="K769" t="str">
        <f t="shared" si="263"/>
        <v>2945</v>
      </c>
      <c r="L769" s="36" t="s">
        <v>4795</v>
      </c>
      <c r="M769" s="35">
        <v>7629</v>
      </c>
      <c r="N769" s="36" t="s">
        <v>5269</v>
      </c>
      <c r="O769" s="35" t="s">
        <v>5710</v>
      </c>
      <c r="P769" s="35" t="s">
        <v>5711</v>
      </c>
    </row>
    <row r="770" spans="1:16" hidden="1">
      <c r="A770" s="35">
        <v>2946</v>
      </c>
      <c r="B770" s="36" t="s">
        <v>2666</v>
      </c>
      <c r="C770" t="e">
        <f>VLOOKUP(A770,'TABELA SPOLINE'!A:J,10,FALSE)</f>
        <v>#N/A</v>
      </c>
      <c r="H770">
        <v>850</v>
      </c>
      <c r="I770">
        <v>1</v>
      </c>
      <c r="J770" s="35" t="s">
        <v>4047</v>
      </c>
      <c r="K770" t="str">
        <f t="shared" si="263"/>
        <v>2946</v>
      </c>
      <c r="L770" s="36" t="s">
        <v>4796</v>
      </c>
      <c r="M770" s="35">
        <v>7629</v>
      </c>
      <c r="N770" s="36" t="s">
        <v>5269</v>
      </c>
      <c r="O770" s="35" t="s">
        <v>5710</v>
      </c>
      <c r="P770" s="35" t="s">
        <v>5711</v>
      </c>
    </row>
    <row r="771" spans="1:16" hidden="1">
      <c r="A771" s="35">
        <v>2947</v>
      </c>
      <c r="B771" s="36" t="s">
        <v>2667</v>
      </c>
      <c r="C771" t="e">
        <f>VLOOKUP(A771,'TABELA SPOLINE'!A:J,10,FALSE)</f>
        <v>#N/A</v>
      </c>
      <c r="H771">
        <v>850</v>
      </c>
      <c r="I771">
        <v>1</v>
      </c>
      <c r="J771" s="35" t="s">
        <v>4048</v>
      </c>
      <c r="K771" t="str">
        <f t="shared" ref="K771:K834" si="284">TRIM(A771)</f>
        <v>2947</v>
      </c>
      <c r="L771" s="36" t="s">
        <v>4797</v>
      </c>
      <c r="M771" s="35">
        <v>7629</v>
      </c>
      <c r="N771" s="36" t="s">
        <v>5269</v>
      </c>
      <c r="O771" s="35" t="s">
        <v>5712</v>
      </c>
      <c r="P771" s="35" t="s">
        <v>5713</v>
      </c>
    </row>
    <row r="772" spans="1:16" hidden="1">
      <c r="A772" s="35">
        <v>2948</v>
      </c>
      <c r="B772" s="36" t="s">
        <v>2668</v>
      </c>
      <c r="C772" t="e">
        <f>VLOOKUP(A772,'TABELA SPOLINE'!A:J,10,FALSE)</f>
        <v>#N/A</v>
      </c>
      <c r="H772">
        <v>850</v>
      </c>
      <c r="I772">
        <v>1</v>
      </c>
      <c r="J772" s="35" t="s">
        <v>4049</v>
      </c>
      <c r="K772" t="str">
        <f t="shared" si="284"/>
        <v>2948</v>
      </c>
      <c r="L772" s="36" t="s">
        <v>4798</v>
      </c>
      <c r="M772" s="35">
        <v>7629</v>
      </c>
      <c r="N772" s="36" t="s">
        <v>5269</v>
      </c>
      <c r="O772" s="35" t="s">
        <v>5712</v>
      </c>
      <c r="P772" s="35" t="s">
        <v>5713</v>
      </c>
    </row>
    <row r="773" spans="1:16" hidden="1">
      <c r="A773" s="35">
        <v>2949</v>
      </c>
      <c r="B773" s="36" t="s">
        <v>2669</v>
      </c>
      <c r="C773" t="e">
        <f>VLOOKUP(A773,'TABELA SPOLINE'!A:J,10,FALSE)</f>
        <v>#N/A</v>
      </c>
      <c r="H773">
        <v>850</v>
      </c>
      <c r="I773">
        <v>1</v>
      </c>
      <c r="J773" s="35" t="s">
        <v>4050</v>
      </c>
      <c r="K773" t="str">
        <f t="shared" si="284"/>
        <v>2949</v>
      </c>
      <c r="L773" s="36" t="s">
        <v>4799</v>
      </c>
      <c r="M773" s="35">
        <v>7629</v>
      </c>
      <c r="N773" s="36" t="s">
        <v>5269</v>
      </c>
      <c r="O773" s="35" t="s">
        <v>5712</v>
      </c>
      <c r="P773" s="35" t="s">
        <v>5713</v>
      </c>
    </row>
    <row r="774" spans="1:16" hidden="1">
      <c r="A774" s="35">
        <v>2950</v>
      </c>
      <c r="B774" s="36" t="s">
        <v>2670</v>
      </c>
      <c r="C774" t="e">
        <f>VLOOKUP(A774,'TABELA SPOLINE'!A:J,10,FALSE)</f>
        <v>#N/A</v>
      </c>
      <c r="H774">
        <v>850</v>
      </c>
      <c r="I774">
        <v>1</v>
      </c>
      <c r="J774" s="35" t="s">
        <v>4051</v>
      </c>
      <c r="K774" t="str">
        <f t="shared" si="284"/>
        <v>2950</v>
      </c>
      <c r="L774" s="36" t="s">
        <v>4800</v>
      </c>
      <c r="M774" s="35">
        <v>7629</v>
      </c>
      <c r="N774" s="36" t="s">
        <v>5269</v>
      </c>
      <c r="O774" s="35" t="s">
        <v>5712</v>
      </c>
      <c r="P774" s="35" t="s">
        <v>5713</v>
      </c>
    </row>
    <row r="775" spans="1:16" hidden="1">
      <c r="A775" s="35">
        <v>2951</v>
      </c>
      <c r="B775" s="36" t="s">
        <v>2473</v>
      </c>
      <c r="C775" t="e">
        <f>VLOOKUP(A775,'TABELA SPOLINE'!A:J,10,FALSE)</f>
        <v>#N/A</v>
      </c>
      <c r="H775">
        <v>858</v>
      </c>
      <c r="I775">
        <v>120</v>
      </c>
      <c r="J775" s="35" t="s">
        <v>3856</v>
      </c>
      <c r="K775" t="str">
        <f t="shared" si="284"/>
        <v>2951</v>
      </c>
      <c r="L775" s="36" t="s">
        <v>4801</v>
      </c>
      <c r="M775" s="35">
        <v>7629</v>
      </c>
      <c r="N775" s="36" t="s">
        <v>5269</v>
      </c>
      <c r="O775" s="35" t="s">
        <v>5714</v>
      </c>
      <c r="P775" s="35" t="s">
        <v>5715</v>
      </c>
    </row>
    <row r="776" spans="1:16" hidden="1">
      <c r="A776" s="35">
        <v>2952</v>
      </c>
      <c r="B776" s="36" t="s">
        <v>2474</v>
      </c>
      <c r="C776" t="e">
        <f>VLOOKUP(A776,'TABELA SPOLINE'!A:J,10,FALSE)</f>
        <v>#N/A</v>
      </c>
      <c r="H776">
        <v>858</v>
      </c>
      <c r="I776">
        <v>120</v>
      </c>
      <c r="J776" s="35" t="s">
        <v>3857</v>
      </c>
      <c r="K776" t="str">
        <f t="shared" si="284"/>
        <v>2952</v>
      </c>
      <c r="L776" s="36" t="s">
        <v>4802</v>
      </c>
      <c r="M776" s="35">
        <v>7629</v>
      </c>
      <c r="N776" s="36" t="s">
        <v>5269</v>
      </c>
      <c r="O776" s="35" t="s">
        <v>5614</v>
      </c>
      <c r="P776" s="35" t="s">
        <v>5615</v>
      </c>
    </row>
    <row r="777" spans="1:16" hidden="1">
      <c r="A777" s="35">
        <v>2954</v>
      </c>
      <c r="B777" s="36" t="s">
        <v>1734</v>
      </c>
      <c r="C777" t="e">
        <f>VLOOKUP(A777,'TABELA SPOLINE'!A:J,10,FALSE)</f>
        <v>#N/A</v>
      </c>
      <c r="H777">
        <v>432</v>
      </c>
      <c r="I777">
        <v>1</v>
      </c>
      <c r="J777" s="35" t="s">
        <v>3121</v>
      </c>
      <c r="K777" t="str">
        <f t="shared" si="284"/>
        <v>2954</v>
      </c>
      <c r="L777" s="36" t="s">
        <v>4803</v>
      </c>
      <c r="M777" s="35">
        <v>7629</v>
      </c>
      <c r="N777" s="36" t="s">
        <v>5269</v>
      </c>
      <c r="O777" s="35" t="s">
        <v>5614</v>
      </c>
      <c r="P777" s="35" t="s">
        <v>5615</v>
      </c>
    </row>
    <row r="778" spans="1:16">
      <c r="A778" s="35">
        <v>2958</v>
      </c>
      <c r="B778" s="36" t="s">
        <v>2600</v>
      </c>
      <c r="C778">
        <f>VLOOKUP(A778,'TABELA SPOLINE'!A:J,10,FALSE)</f>
        <v>233.73000000000002</v>
      </c>
      <c r="D778">
        <f>C778*0.1+C778</f>
        <v>257.10300000000001</v>
      </c>
      <c r="E778">
        <f>ROUNDUP(D778,2)</f>
        <v>257.11</v>
      </c>
      <c r="F778">
        <f>E778*0.0975+E778</f>
        <v>282.178225</v>
      </c>
      <c r="G778">
        <f>ROUNDUP(F778,2)</f>
        <v>282.18</v>
      </c>
      <c r="H778">
        <v>866</v>
      </c>
      <c r="I778">
        <v>1</v>
      </c>
      <c r="J778" s="35" t="s">
        <v>3983</v>
      </c>
      <c r="K778" t="str">
        <f t="shared" si="284"/>
        <v>2958</v>
      </c>
      <c r="L778" s="36" t="s">
        <v>4804</v>
      </c>
      <c r="M778" s="35">
        <v>7629</v>
      </c>
      <c r="N778" s="36" t="s">
        <v>5269</v>
      </c>
      <c r="O778" s="35" t="s">
        <v>5614</v>
      </c>
      <c r="P778" s="35" t="s">
        <v>5615</v>
      </c>
    </row>
    <row r="779" spans="1:16" hidden="1">
      <c r="A779" s="35">
        <v>2959</v>
      </c>
      <c r="B779" s="36" t="s">
        <v>2601</v>
      </c>
      <c r="C779" t="e">
        <f>VLOOKUP(A779,'TABELA SPOLINE'!A:J,10,FALSE)</f>
        <v>#N/A</v>
      </c>
      <c r="H779">
        <v>866</v>
      </c>
      <c r="I779">
        <v>1</v>
      </c>
      <c r="J779" s="35" t="s">
        <v>3984</v>
      </c>
      <c r="K779" t="str">
        <f t="shared" si="284"/>
        <v>2959</v>
      </c>
      <c r="L779" s="36" t="s">
        <v>4805</v>
      </c>
      <c r="M779" s="35">
        <v>7629</v>
      </c>
      <c r="N779" s="36" t="s">
        <v>5269</v>
      </c>
      <c r="O779" s="35" t="s">
        <v>5614</v>
      </c>
      <c r="P779" s="35" t="s">
        <v>5615</v>
      </c>
    </row>
    <row r="780" spans="1:16">
      <c r="A780" s="35">
        <v>2960</v>
      </c>
      <c r="B780" s="36" t="s">
        <v>2602</v>
      </c>
      <c r="C780">
        <f>VLOOKUP(A780,'TABELA SPOLINE'!A:J,10,FALSE)</f>
        <v>233.73000000000002</v>
      </c>
      <c r="D780">
        <f>C780*0.1+C780</f>
        <v>257.10300000000001</v>
      </c>
      <c r="E780">
        <f>ROUNDUP(D780,2)</f>
        <v>257.11</v>
      </c>
      <c r="F780">
        <f>E780*0.0975+E780</f>
        <v>282.178225</v>
      </c>
      <c r="G780">
        <f>ROUNDUP(F780,2)</f>
        <v>282.18</v>
      </c>
      <c r="H780">
        <v>866</v>
      </c>
      <c r="I780">
        <v>1</v>
      </c>
      <c r="J780" s="35" t="s">
        <v>3985</v>
      </c>
      <c r="K780" t="str">
        <f t="shared" si="284"/>
        <v>2960</v>
      </c>
      <c r="L780" s="36" t="s">
        <v>4806</v>
      </c>
      <c r="M780" s="35">
        <v>7629</v>
      </c>
      <c r="N780" s="36" t="s">
        <v>5269</v>
      </c>
      <c r="O780" s="35" t="s">
        <v>5614</v>
      </c>
      <c r="P780" s="35" t="s">
        <v>5615</v>
      </c>
    </row>
    <row r="781" spans="1:16" hidden="1">
      <c r="A781" s="35">
        <v>2995</v>
      </c>
      <c r="B781" s="36" t="s">
        <v>2210</v>
      </c>
      <c r="C781" t="e">
        <f>VLOOKUP(A781,'TABELA SPOLINE'!A:J,10,FALSE)</f>
        <v>#N/A</v>
      </c>
      <c r="H781">
        <v>817</v>
      </c>
      <c r="I781">
        <v>1</v>
      </c>
      <c r="J781" s="35" t="s">
        <v>3595</v>
      </c>
      <c r="K781" t="str">
        <f t="shared" si="284"/>
        <v>2995</v>
      </c>
      <c r="L781" s="36" t="s">
        <v>4807</v>
      </c>
      <c r="M781" s="35">
        <v>7629</v>
      </c>
      <c r="N781" s="36" t="s">
        <v>5269</v>
      </c>
      <c r="O781" s="35" t="s">
        <v>5614</v>
      </c>
      <c r="P781" s="35" t="s">
        <v>5615</v>
      </c>
    </row>
    <row r="782" spans="1:16" hidden="1">
      <c r="A782" s="35">
        <v>2998</v>
      </c>
      <c r="B782" s="36" t="s">
        <v>1822</v>
      </c>
      <c r="C782" t="e">
        <f>VLOOKUP(A782,'TABELA SPOLINE'!A:J,10,FALSE)</f>
        <v>#N/A</v>
      </c>
      <c r="H782">
        <v>733</v>
      </c>
      <c r="I782">
        <v>3</v>
      </c>
      <c r="J782" s="35" t="s">
        <v>3207</v>
      </c>
      <c r="K782" t="str">
        <f t="shared" si="284"/>
        <v>2998</v>
      </c>
      <c r="L782" s="36" t="s">
        <v>4808</v>
      </c>
      <c r="M782" s="35">
        <v>7629</v>
      </c>
      <c r="N782" s="36" t="s">
        <v>5269</v>
      </c>
      <c r="O782" s="35" t="s">
        <v>5612</v>
      </c>
      <c r="P782" s="35" t="s">
        <v>5613</v>
      </c>
    </row>
    <row r="783" spans="1:16">
      <c r="A783" s="35">
        <v>3011</v>
      </c>
      <c r="B783" s="36" t="s">
        <v>2040</v>
      </c>
      <c r="C783">
        <f>VLOOKUP(A783,'TABELA SPOLINE'!A:J,10,FALSE)</f>
        <v>608.81100000000004</v>
      </c>
      <c r="D783">
        <f>C783*0.1+C783</f>
        <v>669.69209999999998</v>
      </c>
      <c r="E783">
        <f>ROUNDUP(D783,2)</f>
        <v>669.7</v>
      </c>
      <c r="F783">
        <f>E783*0.0975+E783</f>
        <v>734.99575000000004</v>
      </c>
      <c r="G783">
        <f>ROUNDUP(F783,2)</f>
        <v>735</v>
      </c>
      <c r="H783">
        <v>829</v>
      </c>
      <c r="I783">
        <v>3</v>
      </c>
      <c r="J783" s="35" t="s">
        <v>3425</v>
      </c>
      <c r="K783" t="str">
        <f t="shared" si="284"/>
        <v>3011</v>
      </c>
      <c r="L783" s="36" t="s">
        <v>4809</v>
      </c>
      <c r="M783" s="35">
        <v>7629</v>
      </c>
      <c r="N783" s="36" t="s">
        <v>5269</v>
      </c>
      <c r="O783" s="35" t="s">
        <v>5646</v>
      </c>
      <c r="P783" s="35" t="s">
        <v>5647</v>
      </c>
    </row>
    <row r="784" spans="1:16" hidden="1">
      <c r="A784" s="35">
        <v>3034</v>
      </c>
      <c r="B784" s="36" t="s">
        <v>2084</v>
      </c>
      <c r="C784" t="e">
        <f>VLOOKUP(A784,'TABELA SPOLINE'!A:J,10,FALSE)</f>
        <v>#N/A</v>
      </c>
      <c r="H784">
        <v>709</v>
      </c>
      <c r="I784">
        <v>1</v>
      </c>
      <c r="J784" s="35" t="s">
        <v>3469</v>
      </c>
      <c r="K784" t="str">
        <f t="shared" si="284"/>
        <v>3034</v>
      </c>
      <c r="L784" s="36" t="s">
        <v>4810</v>
      </c>
      <c r="M784" s="35">
        <v>7629</v>
      </c>
      <c r="N784" s="36" t="s">
        <v>5269</v>
      </c>
      <c r="O784" s="35" t="s">
        <v>5328</v>
      </c>
      <c r="P784" s="35" t="s">
        <v>5329</v>
      </c>
    </row>
    <row r="785" spans="1:16" hidden="1">
      <c r="A785" s="35">
        <v>3053</v>
      </c>
      <c r="B785" s="36" t="s">
        <v>1604</v>
      </c>
      <c r="C785" t="e">
        <f>VLOOKUP(A785,'TABELA SPOLINE'!A:J,10,FALSE)</f>
        <v>#N/A</v>
      </c>
      <c r="H785">
        <v>418</v>
      </c>
      <c r="I785">
        <v>2</v>
      </c>
      <c r="J785" s="35" t="s">
        <v>2992</v>
      </c>
      <c r="K785" t="str">
        <f t="shared" si="284"/>
        <v>3053</v>
      </c>
      <c r="L785" s="36" t="s">
        <v>4811</v>
      </c>
      <c r="M785" s="35">
        <v>7629</v>
      </c>
      <c r="N785" s="36" t="s">
        <v>5269</v>
      </c>
      <c r="O785" s="35" t="s">
        <v>5646</v>
      </c>
      <c r="P785" s="35" t="s">
        <v>5647</v>
      </c>
    </row>
    <row r="786" spans="1:16" hidden="1">
      <c r="A786" s="35">
        <v>3054</v>
      </c>
      <c r="B786" s="36" t="s">
        <v>1605</v>
      </c>
      <c r="C786" t="e">
        <f>VLOOKUP(A786,'TABELA SPOLINE'!A:J,10,FALSE)</f>
        <v>#N/A</v>
      </c>
      <c r="H786">
        <v>418</v>
      </c>
      <c r="I786">
        <v>2</v>
      </c>
      <c r="J786" s="35" t="s">
        <v>2993</v>
      </c>
      <c r="K786" t="str">
        <f t="shared" si="284"/>
        <v>3054</v>
      </c>
      <c r="L786" s="36" t="s">
        <v>4812</v>
      </c>
      <c r="M786" s="35">
        <v>7629</v>
      </c>
      <c r="N786" s="36" t="s">
        <v>5269</v>
      </c>
      <c r="O786" s="35" t="s">
        <v>5646</v>
      </c>
      <c r="P786" s="35" t="s">
        <v>5647</v>
      </c>
    </row>
    <row r="787" spans="1:16" hidden="1">
      <c r="A787" s="35">
        <v>3057</v>
      </c>
      <c r="B787" s="36" t="s">
        <v>2478</v>
      </c>
      <c r="C787" t="e">
        <f>VLOOKUP(A787,'TABELA SPOLINE'!A:J,10,FALSE)</f>
        <v>#N/A</v>
      </c>
      <c r="H787">
        <v>859</v>
      </c>
      <c r="I787">
        <v>3</v>
      </c>
      <c r="J787" s="35" t="s">
        <v>3861</v>
      </c>
      <c r="K787" t="str">
        <f t="shared" si="284"/>
        <v>3057</v>
      </c>
      <c r="L787" s="36" t="s">
        <v>4813</v>
      </c>
      <c r="M787" s="35">
        <v>7629</v>
      </c>
      <c r="N787" s="36" t="s">
        <v>5269</v>
      </c>
      <c r="O787" s="35" t="s">
        <v>5328</v>
      </c>
      <c r="P787" s="35" t="s">
        <v>5329</v>
      </c>
    </row>
    <row r="788" spans="1:16" hidden="1">
      <c r="A788" s="35">
        <v>3058</v>
      </c>
      <c r="B788" s="36" t="s">
        <v>2479</v>
      </c>
      <c r="C788" t="e">
        <f>VLOOKUP(A788,'TABELA SPOLINE'!A:J,10,FALSE)</f>
        <v>#N/A</v>
      </c>
      <c r="H788">
        <v>859</v>
      </c>
      <c r="I788">
        <v>3</v>
      </c>
      <c r="J788" s="35" t="s">
        <v>3862</v>
      </c>
      <c r="K788" t="str">
        <f t="shared" si="284"/>
        <v>3058</v>
      </c>
      <c r="L788" s="36" t="s">
        <v>4814</v>
      </c>
      <c r="M788" s="35">
        <v>7629</v>
      </c>
      <c r="N788" s="36" t="s">
        <v>5269</v>
      </c>
      <c r="O788" s="35" t="s">
        <v>5576</v>
      </c>
      <c r="P788" s="35" t="s">
        <v>5577</v>
      </c>
    </row>
    <row r="789" spans="1:16" hidden="1">
      <c r="A789" s="35">
        <v>3059</v>
      </c>
      <c r="B789" s="36" t="s">
        <v>2480</v>
      </c>
      <c r="C789" t="e">
        <f>VLOOKUP(A789,'TABELA SPOLINE'!A:J,10,FALSE)</f>
        <v>#N/A</v>
      </c>
      <c r="H789">
        <v>859</v>
      </c>
      <c r="I789">
        <v>3</v>
      </c>
      <c r="J789" s="35" t="s">
        <v>3863</v>
      </c>
      <c r="K789" t="str">
        <f t="shared" si="284"/>
        <v>3059</v>
      </c>
      <c r="L789" s="36" t="s">
        <v>4815</v>
      </c>
      <c r="M789" s="35">
        <v>7629</v>
      </c>
      <c r="N789" s="36" t="s">
        <v>5269</v>
      </c>
      <c r="O789" s="35" t="s">
        <v>5574</v>
      </c>
      <c r="P789" s="35" t="s">
        <v>5575</v>
      </c>
    </row>
    <row r="790" spans="1:16" hidden="1">
      <c r="A790" s="35">
        <v>3060</v>
      </c>
      <c r="B790" s="36" t="s">
        <v>2264</v>
      </c>
      <c r="C790" t="e">
        <f>VLOOKUP(A790,'TABELA SPOLINE'!A:J,10,FALSE)</f>
        <v>#N/A</v>
      </c>
      <c r="H790">
        <v>835</v>
      </c>
      <c r="I790">
        <v>1</v>
      </c>
      <c r="J790" s="35" t="s">
        <v>3649</v>
      </c>
      <c r="K790" t="str">
        <f t="shared" si="284"/>
        <v>3060</v>
      </c>
      <c r="L790" s="36" t="s">
        <v>4816</v>
      </c>
      <c r="M790" s="35">
        <v>7629</v>
      </c>
      <c r="N790" s="36" t="s">
        <v>5269</v>
      </c>
      <c r="O790" s="35" t="s">
        <v>5574</v>
      </c>
      <c r="P790" s="35" t="s">
        <v>5575</v>
      </c>
    </row>
    <row r="791" spans="1:16">
      <c r="A791" s="35">
        <v>3068</v>
      </c>
      <c r="B791" s="36" t="s">
        <v>2036</v>
      </c>
      <c r="C791">
        <f>VLOOKUP(A791,'TABELA SPOLINE'!A:J,10,FALSE)</f>
        <v>608.81100000000004</v>
      </c>
      <c r="D791">
        <f>C791*0.1+C791</f>
        <v>669.69209999999998</v>
      </c>
      <c r="E791">
        <f>ROUNDUP(D791,2)</f>
        <v>669.7</v>
      </c>
      <c r="F791">
        <f>E791*0.0975+E791</f>
        <v>734.99575000000004</v>
      </c>
      <c r="G791">
        <f>ROUNDUP(F791,2)</f>
        <v>735</v>
      </c>
      <c r="H791">
        <v>829</v>
      </c>
      <c r="I791">
        <v>3</v>
      </c>
      <c r="J791" s="35" t="s">
        <v>3421</v>
      </c>
      <c r="K791" t="str">
        <f t="shared" si="284"/>
        <v>3068</v>
      </c>
      <c r="L791" s="36" t="s">
        <v>4817</v>
      </c>
      <c r="M791" s="35">
        <v>7629</v>
      </c>
      <c r="N791" s="36" t="s">
        <v>5269</v>
      </c>
      <c r="O791" s="35" t="s">
        <v>5580</v>
      </c>
      <c r="P791" s="35" t="s">
        <v>5581</v>
      </c>
    </row>
    <row r="792" spans="1:16" hidden="1">
      <c r="A792" s="35">
        <v>3072</v>
      </c>
      <c r="B792" s="36" t="s">
        <v>1955</v>
      </c>
      <c r="C792" t="e">
        <f>VLOOKUP(A792,'TABELA SPOLINE'!A:J,10,FALSE)</f>
        <v>#N/A</v>
      </c>
      <c r="H792">
        <v>804</v>
      </c>
      <c r="I792">
        <v>4</v>
      </c>
      <c r="J792" s="35" t="s">
        <v>3340</v>
      </c>
      <c r="K792" t="str">
        <f t="shared" si="284"/>
        <v>3072</v>
      </c>
      <c r="L792" s="36" t="s">
        <v>4818</v>
      </c>
      <c r="M792" s="35">
        <v>7629</v>
      </c>
      <c r="N792" s="36" t="s">
        <v>5269</v>
      </c>
      <c r="O792" s="35" t="s">
        <v>5716</v>
      </c>
      <c r="P792" s="35" t="s">
        <v>5717</v>
      </c>
    </row>
    <row r="793" spans="1:16" hidden="1">
      <c r="A793" s="35">
        <v>3073</v>
      </c>
      <c r="B793" s="36" t="s">
        <v>1878</v>
      </c>
      <c r="C793" t="e">
        <f>VLOOKUP(A793,'TABELA SPOLINE'!A:J,10,FALSE)</f>
        <v>#N/A</v>
      </c>
      <c r="H793">
        <v>782</v>
      </c>
      <c r="I793">
        <v>20</v>
      </c>
      <c r="J793" s="35" t="s">
        <v>3263</v>
      </c>
      <c r="K793" t="str">
        <f t="shared" si="284"/>
        <v>3073</v>
      </c>
      <c r="L793" s="36" t="s">
        <v>4819</v>
      </c>
      <c r="M793" s="35">
        <v>7629</v>
      </c>
      <c r="N793" s="36" t="s">
        <v>5269</v>
      </c>
      <c r="O793" s="35" t="s">
        <v>5716</v>
      </c>
      <c r="P793" s="35" t="s">
        <v>5717</v>
      </c>
    </row>
    <row r="794" spans="1:16">
      <c r="A794" s="35">
        <v>3136</v>
      </c>
      <c r="B794" s="36" t="s">
        <v>2055</v>
      </c>
      <c r="C794">
        <f>VLOOKUP(A794,'TABELA SPOLINE'!A:J,10,FALSE)</f>
        <v>495.28500000000003</v>
      </c>
      <c r="D794">
        <f>C794*0.1+C794</f>
        <v>544.81349999999998</v>
      </c>
      <c r="E794">
        <f>ROUNDUP(D794,2)</f>
        <v>544.81999999999994</v>
      </c>
      <c r="F794">
        <f>E794*0.0975+E794</f>
        <v>597.93994999999995</v>
      </c>
      <c r="G794">
        <f>ROUNDUP(F794,2)</f>
        <v>597.93999999999994</v>
      </c>
      <c r="H794">
        <v>830</v>
      </c>
      <c r="I794">
        <v>1</v>
      </c>
      <c r="J794" s="35" t="s">
        <v>3440</v>
      </c>
      <c r="K794" t="str">
        <f t="shared" si="284"/>
        <v>3136</v>
      </c>
      <c r="L794" s="36" t="s">
        <v>4820</v>
      </c>
      <c r="M794" s="35">
        <v>7629</v>
      </c>
      <c r="N794" s="36" t="s">
        <v>5269</v>
      </c>
      <c r="O794" s="35" t="s">
        <v>5716</v>
      </c>
      <c r="P794" s="35" t="s">
        <v>5717</v>
      </c>
    </row>
    <row r="795" spans="1:16" hidden="1">
      <c r="A795" s="35">
        <v>3178</v>
      </c>
      <c r="B795" s="36" t="s">
        <v>2022</v>
      </c>
      <c r="C795" t="e">
        <f>VLOOKUP(A795,'TABELA SPOLINE'!A:J,10,FALSE)</f>
        <v>#N/A</v>
      </c>
      <c r="H795">
        <v>828</v>
      </c>
      <c r="I795">
        <v>2</v>
      </c>
      <c r="J795" s="35" t="s">
        <v>3407</v>
      </c>
      <c r="K795" t="str">
        <f t="shared" si="284"/>
        <v>3178</v>
      </c>
      <c r="L795" s="36" t="s">
        <v>4821</v>
      </c>
      <c r="M795" s="35">
        <v>7629</v>
      </c>
      <c r="N795" s="36" t="s">
        <v>5269</v>
      </c>
      <c r="O795" s="35" t="s">
        <v>5716</v>
      </c>
      <c r="P795" s="35" t="s">
        <v>5717</v>
      </c>
    </row>
    <row r="796" spans="1:16" hidden="1">
      <c r="A796" s="35">
        <v>3193</v>
      </c>
      <c r="B796" s="36" t="s">
        <v>2106</v>
      </c>
      <c r="C796" t="e">
        <f>VLOOKUP(A796,'TABELA SPOLINE'!A:J,10,FALSE)</f>
        <v>#N/A</v>
      </c>
      <c r="H796">
        <v>757</v>
      </c>
      <c r="I796">
        <v>1</v>
      </c>
      <c r="J796" s="35" t="s">
        <v>3491</v>
      </c>
      <c r="K796" t="str">
        <f t="shared" si="284"/>
        <v>3193</v>
      </c>
      <c r="L796" s="36" t="s">
        <v>4822</v>
      </c>
      <c r="M796" s="35">
        <v>7629</v>
      </c>
      <c r="N796" s="36" t="s">
        <v>5269</v>
      </c>
      <c r="O796" s="35" t="s">
        <v>5716</v>
      </c>
      <c r="P796" s="35" t="s">
        <v>5717</v>
      </c>
    </row>
    <row r="797" spans="1:16">
      <c r="A797" s="35">
        <v>3203</v>
      </c>
      <c r="B797" s="36" t="s">
        <v>2265</v>
      </c>
      <c r="C797">
        <f>VLOOKUP(A797,'TABELA SPOLINE'!A:J,10,FALSE)</f>
        <v>200.34</v>
      </c>
      <c r="D797">
        <f>C797*0.1+C797</f>
        <v>220.374</v>
      </c>
      <c r="E797">
        <f>ROUNDUP(D797,2)</f>
        <v>220.38</v>
      </c>
      <c r="F797">
        <f>E797*0.0975+E797</f>
        <v>241.86705000000001</v>
      </c>
      <c r="G797">
        <f>ROUNDUP(F797,2)</f>
        <v>241.87</v>
      </c>
      <c r="H797">
        <v>835</v>
      </c>
      <c r="I797">
        <v>1</v>
      </c>
      <c r="J797" s="35" t="s">
        <v>3650</v>
      </c>
      <c r="K797" t="str">
        <f t="shared" si="284"/>
        <v>3203</v>
      </c>
      <c r="L797" s="36" t="s">
        <v>4823</v>
      </c>
      <c r="M797" s="35">
        <v>7629</v>
      </c>
      <c r="N797" s="36" t="s">
        <v>5269</v>
      </c>
      <c r="O797" s="35" t="s">
        <v>5716</v>
      </c>
      <c r="P797" s="35" t="s">
        <v>5717</v>
      </c>
    </row>
    <row r="798" spans="1:16" hidden="1">
      <c r="A798" s="35">
        <v>3211</v>
      </c>
      <c r="B798" s="36" t="s">
        <v>1715</v>
      </c>
      <c r="C798" t="e">
        <f>VLOOKUP(A798,'TABELA SPOLINE'!A:J,10,FALSE)</f>
        <v>#N/A</v>
      </c>
      <c r="H798">
        <v>386</v>
      </c>
      <c r="I798">
        <v>3</v>
      </c>
      <c r="J798" s="35" t="s">
        <v>3102</v>
      </c>
      <c r="K798" t="str">
        <f t="shared" si="284"/>
        <v>3211</v>
      </c>
      <c r="L798" s="36" t="s">
        <v>4824</v>
      </c>
      <c r="M798" s="35">
        <v>7629</v>
      </c>
      <c r="N798" s="36" t="s">
        <v>5269</v>
      </c>
      <c r="O798" s="35" t="s">
        <v>5562</v>
      </c>
      <c r="P798" s="35" t="s">
        <v>5563</v>
      </c>
    </row>
    <row r="799" spans="1:16">
      <c r="A799" s="35">
        <v>3214</v>
      </c>
      <c r="B799" s="36" t="s">
        <v>1627</v>
      </c>
      <c r="C799">
        <f>VLOOKUP(A799,'TABELA SPOLINE'!A:J,10,FALSE)</f>
        <v>84.588000000000008</v>
      </c>
      <c r="D799">
        <f>C799*0.1+C799</f>
        <v>93.046800000000005</v>
      </c>
      <c r="E799">
        <f>ROUNDUP(D799,2)</f>
        <v>93.050000000000011</v>
      </c>
      <c r="F799">
        <f>E799*0.0975+E799</f>
        <v>102.12237500000001</v>
      </c>
      <c r="G799">
        <f>ROUNDUP(F799,2)</f>
        <v>102.13000000000001</v>
      </c>
      <c r="H799">
        <v>385</v>
      </c>
      <c r="I799">
        <v>2</v>
      </c>
      <c r="J799" s="35" t="s">
        <v>3015</v>
      </c>
      <c r="K799" t="str">
        <f t="shared" si="284"/>
        <v>3214</v>
      </c>
      <c r="L799" s="36" t="s">
        <v>4825</v>
      </c>
      <c r="M799" s="35">
        <v>7629</v>
      </c>
      <c r="N799" s="36" t="s">
        <v>5269</v>
      </c>
      <c r="O799" s="35" t="s">
        <v>5562</v>
      </c>
      <c r="P799" s="35" t="s">
        <v>5563</v>
      </c>
    </row>
    <row r="800" spans="1:16" hidden="1">
      <c r="A800" s="35">
        <v>3215</v>
      </c>
      <c r="B800" s="36" t="s">
        <v>1628</v>
      </c>
      <c r="C800" t="e">
        <f>VLOOKUP(A800,'TABELA SPOLINE'!A:J,10,FALSE)</f>
        <v>#N/A</v>
      </c>
      <c r="H800">
        <v>385</v>
      </c>
      <c r="I800">
        <v>2</v>
      </c>
      <c r="J800" s="35" t="s">
        <v>3016</v>
      </c>
      <c r="K800" t="str">
        <f t="shared" si="284"/>
        <v>3215</v>
      </c>
      <c r="L800" s="36" t="s">
        <v>4826</v>
      </c>
      <c r="M800" s="35">
        <v>7629</v>
      </c>
      <c r="N800" s="36" t="s">
        <v>5269</v>
      </c>
      <c r="O800" s="35" t="s">
        <v>5562</v>
      </c>
      <c r="P800" s="35" t="s">
        <v>5563</v>
      </c>
    </row>
    <row r="801" spans="1:16" hidden="1">
      <c r="A801" s="35">
        <v>3229</v>
      </c>
      <c r="B801" s="36" t="s">
        <v>2246</v>
      </c>
      <c r="C801" t="e">
        <f>VLOOKUP(A801,'TABELA SPOLINE'!A:J,10,FALSE)</f>
        <v>#N/A</v>
      </c>
      <c r="H801">
        <v>823</v>
      </c>
      <c r="I801">
        <v>60</v>
      </c>
      <c r="J801" s="35" t="s">
        <v>3631</v>
      </c>
      <c r="K801" t="str">
        <f t="shared" si="284"/>
        <v>3229</v>
      </c>
      <c r="L801" s="36" t="s">
        <v>4827</v>
      </c>
      <c r="M801" s="35">
        <v>7629</v>
      </c>
      <c r="N801" s="36" t="s">
        <v>5269</v>
      </c>
      <c r="O801" s="35" t="s">
        <v>5562</v>
      </c>
      <c r="P801" s="35" t="s">
        <v>5563</v>
      </c>
    </row>
    <row r="802" spans="1:16">
      <c r="A802" s="35">
        <v>3253</v>
      </c>
      <c r="B802" s="36" t="s">
        <v>2037</v>
      </c>
      <c r="C802">
        <f>VLOOKUP(A802,'TABELA SPOLINE'!A:J,10,FALSE)</f>
        <v>608.81100000000004</v>
      </c>
      <c r="D802">
        <f>C802*0.1+C802</f>
        <v>669.69209999999998</v>
      </c>
      <c r="E802">
        <f>ROUNDUP(D802,2)</f>
        <v>669.7</v>
      </c>
      <c r="F802">
        <f>E802*0.0975+E802</f>
        <v>734.99575000000004</v>
      </c>
      <c r="G802">
        <f>ROUNDUP(F802,2)</f>
        <v>735</v>
      </c>
      <c r="H802">
        <v>829</v>
      </c>
      <c r="I802">
        <v>3</v>
      </c>
      <c r="J802" s="35" t="s">
        <v>3422</v>
      </c>
      <c r="K802" t="str">
        <f t="shared" si="284"/>
        <v>3253</v>
      </c>
      <c r="L802" s="36" t="s">
        <v>4828</v>
      </c>
      <c r="M802" s="35">
        <v>7629</v>
      </c>
      <c r="N802" s="36" t="s">
        <v>5269</v>
      </c>
      <c r="O802" s="35" t="s">
        <v>5562</v>
      </c>
      <c r="P802" s="35" t="s">
        <v>5563</v>
      </c>
    </row>
    <row r="803" spans="1:16" hidden="1">
      <c r="A803" s="35">
        <v>3255</v>
      </c>
      <c r="B803" s="36" t="s">
        <v>1973</v>
      </c>
      <c r="C803" t="e">
        <f>VLOOKUP(A803,'TABELA SPOLINE'!A:J,10,FALSE)</f>
        <v>#N/A</v>
      </c>
      <c r="H803">
        <v>806</v>
      </c>
      <c r="I803">
        <v>5</v>
      </c>
      <c r="J803" s="35" t="s">
        <v>3358</v>
      </c>
      <c r="K803" t="str">
        <f t="shared" si="284"/>
        <v>3255</v>
      </c>
      <c r="L803" s="36" t="s">
        <v>4829</v>
      </c>
      <c r="M803" s="35">
        <v>7629</v>
      </c>
      <c r="N803" s="36" t="s">
        <v>5269</v>
      </c>
      <c r="O803" s="35" t="s">
        <v>5562</v>
      </c>
      <c r="P803" s="35" t="s">
        <v>5563</v>
      </c>
    </row>
    <row r="804" spans="1:16" hidden="1">
      <c r="A804" s="35">
        <v>3270</v>
      </c>
      <c r="B804" s="36" t="s">
        <v>2182</v>
      </c>
      <c r="C804" t="e">
        <f>VLOOKUP(A804,'TABELA SPOLINE'!A:J,10,FALSE)</f>
        <v>#N/A</v>
      </c>
      <c r="H804">
        <v>794</v>
      </c>
      <c r="I804">
        <v>1</v>
      </c>
      <c r="J804" s="35" t="s">
        <v>3567</v>
      </c>
      <c r="K804" t="str">
        <f t="shared" si="284"/>
        <v>3270</v>
      </c>
      <c r="L804" s="36" t="s">
        <v>4830</v>
      </c>
      <c r="M804" s="35">
        <v>7629</v>
      </c>
      <c r="N804" s="36" t="s">
        <v>5269</v>
      </c>
      <c r="O804" s="35" t="s">
        <v>5598</v>
      </c>
      <c r="P804" s="35" t="s">
        <v>5599</v>
      </c>
    </row>
    <row r="805" spans="1:16" hidden="1">
      <c r="A805" s="35">
        <v>3537</v>
      </c>
      <c r="B805" s="36" t="s">
        <v>1720</v>
      </c>
      <c r="C805" t="e">
        <f>VLOOKUP(A805,'TABELA SPOLINE'!A:J,10,FALSE)</f>
        <v>#N/A</v>
      </c>
      <c r="H805">
        <v>386</v>
      </c>
      <c r="I805">
        <v>5</v>
      </c>
      <c r="J805" s="35" t="s">
        <v>3107</v>
      </c>
      <c r="K805" t="str">
        <f t="shared" si="284"/>
        <v>3537</v>
      </c>
      <c r="L805" s="36" t="s">
        <v>4831</v>
      </c>
      <c r="M805" s="35">
        <v>7629</v>
      </c>
      <c r="N805" s="36" t="s">
        <v>5269</v>
      </c>
      <c r="O805" s="35" t="s">
        <v>5596</v>
      </c>
      <c r="P805" s="35" t="s">
        <v>5597</v>
      </c>
    </row>
    <row r="806" spans="1:16" hidden="1">
      <c r="A806" s="35">
        <v>3538</v>
      </c>
      <c r="B806" s="36" t="s">
        <v>1713</v>
      </c>
      <c r="C806" t="e">
        <f>VLOOKUP(A806,'TABELA SPOLINE'!A:J,10,FALSE)</f>
        <v>#N/A</v>
      </c>
      <c r="H806">
        <v>386</v>
      </c>
      <c r="I806">
        <v>3</v>
      </c>
      <c r="J806" s="35" t="s">
        <v>3101</v>
      </c>
      <c r="K806" t="str">
        <f t="shared" si="284"/>
        <v>3538</v>
      </c>
      <c r="L806" s="36" t="s">
        <v>4832</v>
      </c>
      <c r="M806" s="35">
        <v>7629</v>
      </c>
      <c r="N806" s="36" t="s">
        <v>5269</v>
      </c>
      <c r="O806" s="35" t="s">
        <v>5344</v>
      </c>
      <c r="P806" s="35" t="s">
        <v>5345</v>
      </c>
    </row>
    <row r="807" spans="1:16" hidden="1">
      <c r="A807" s="35">
        <v>3614</v>
      </c>
      <c r="B807" s="36" t="s">
        <v>1777</v>
      </c>
      <c r="C807" t="e">
        <f>VLOOKUP(A807,'TABELA SPOLINE'!A:J,10,FALSE)</f>
        <v>#N/A</v>
      </c>
      <c r="H807">
        <v>636</v>
      </c>
      <c r="I807">
        <v>1</v>
      </c>
      <c r="J807" s="35" t="s">
        <v>3162</v>
      </c>
      <c r="K807" t="str">
        <f t="shared" si="284"/>
        <v>3614</v>
      </c>
      <c r="L807" s="36" t="s">
        <v>4833</v>
      </c>
      <c r="M807" s="35">
        <v>7629</v>
      </c>
      <c r="N807" s="36" t="s">
        <v>5269</v>
      </c>
      <c r="O807" s="35" t="s">
        <v>5596</v>
      </c>
      <c r="P807" s="35" t="s">
        <v>5597</v>
      </c>
    </row>
    <row r="808" spans="1:16" hidden="1">
      <c r="A808" s="35">
        <v>3666</v>
      </c>
      <c r="B808" s="36" t="s">
        <v>2325</v>
      </c>
      <c r="C808" t="e">
        <f>VLOOKUP(A808,'TABELA SPOLINE'!A:J,10,FALSE)</f>
        <v>#N/A</v>
      </c>
      <c r="H808">
        <v>837</v>
      </c>
      <c r="I808">
        <v>1</v>
      </c>
      <c r="J808" s="35" t="s">
        <v>3710</v>
      </c>
      <c r="K808" t="str">
        <f t="shared" si="284"/>
        <v>3666</v>
      </c>
      <c r="L808" s="36" t="s">
        <v>4834</v>
      </c>
      <c r="M808" s="35">
        <v>7629</v>
      </c>
      <c r="N808" s="36" t="s">
        <v>5269</v>
      </c>
      <c r="O808" s="35" t="s">
        <v>5344</v>
      </c>
      <c r="P808" s="35" t="s">
        <v>5345</v>
      </c>
    </row>
    <row r="809" spans="1:16">
      <c r="A809" s="35">
        <v>3677</v>
      </c>
      <c r="B809" s="36" t="s">
        <v>2297</v>
      </c>
      <c r="C809">
        <f>VLOOKUP(A809,'TABELA SPOLINE'!A:J,10,FALSE)</f>
        <v>293.83199999999999</v>
      </c>
      <c r="D809">
        <f>C809*0.1+C809</f>
        <v>323.21519999999998</v>
      </c>
      <c r="E809">
        <f>ROUNDUP(D809,2)</f>
        <v>323.21999999999997</v>
      </c>
      <c r="F809">
        <f>E809*0.0975+E809</f>
        <v>354.73394999999999</v>
      </c>
      <c r="G809">
        <f>ROUNDUP(F809,2)</f>
        <v>354.74</v>
      </c>
      <c r="H809">
        <v>449</v>
      </c>
      <c r="I809">
        <v>1</v>
      </c>
      <c r="J809" s="35" t="s">
        <v>3682</v>
      </c>
      <c r="K809" t="str">
        <f t="shared" si="284"/>
        <v>3677</v>
      </c>
      <c r="L809" s="36" t="s">
        <v>4835</v>
      </c>
      <c r="M809" s="35">
        <v>7629</v>
      </c>
      <c r="N809" s="36" t="s">
        <v>5269</v>
      </c>
      <c r="O809" s="35" t="s">
        <v>5346</v>
      </c>
      <c r="P809" s="35" t="s">
        <v>5347</v>
      </c>
    </row>
    <row r="810" spans="1:16" hidden="1">
      <c r="A810" s="35">
        <v>3706</v>
      </c>
      <c r="B810" s="36" t="s">
        <v>2700</v>
      </c>
      <c r="C810" t="e">
        <f>VLOOKUP(A810,'TABELA SPOLINE'!A:J,10,FALSE)</f>
        <v>#N/A</v>
      </c>
      <c r="H810">
        <v>855</v>
      </c>
      <c r="I810">
        <v>3</v>
      </c>
      <c r="J810" s="35" t="s">
        <v>4081</v>
      </c>
      <c r="K810" t="str">
        <f t="shared" si="284"/>
        <v>3706</v>
      </c>
      <c r="L810" s="36" t="s">
        <v>4836</v>
      </c>
      <c r="M810" s="35">
        <v>7629</v>
      </c>
      <c r="N810" s="36" t="s">
        <v>5269</v>
      </c>
      <c r="O810" s="35" t="s">
        <v>5306</v>
      </c>
      <c r="P810" s="35" t="s">
        <v>5307</v>
      </c>
    </row>
    <row r="811" spans="1:16" hidden="1">
      <c r="A811" s="35">
        <v>3723</v>
      </c>
      <c r="B811" s="36" t="s">
        <v>1804</v>
      </c>
      <c r="C811" t="e">
        <f>VLOOKUP(A811,'TABELA SPOLINE'!A:J,10,FALSE)</f>
        <v>#N/A</v>
      </c>
      <c r="H811">
        <v>723</v>
      </c>
      <c r="I811">
        <v>12</v>
      </c>
      <c r="J811" s="35" t="s">
        <v>3189</v>
      </c>
      <c r="K811" t="str">
        <f t="shared" si="284"/>
        <v>3723</v>
      </c>
      <c r="L811" s="36" t="s">
        <v>4837</v>
      </c>
      <c r="M811" s="35">
        <v>7629</v>
      </c>
      <c r="N811" s="36" t="s">
        <v>5269</v>
      </c>
      <c r="O811" s="35" t="s">
        <v>5306</v>
      </c>
      <c r="P811" s="35" t="s">
        <v>5307</v>
      </c>
    </row>
    <row r="812" spans="1:16" hidden="1">
      <c r="A812" s="35">
        <v>3727</v>
      </c>
      <c r="B812" s="36" t="s">
        <v>1947</v>
      </c>
      <c r="C812" t="e">
        <f>VLOOKUP(A812,'TABELA SPOLINE'!A:J,10,FALSE)</f>
        <v>#N/A</v>
      </c>
      <c r="H812">
        <v>804</v>
      </c>
      <c r="I812">
        <v>4</v>
      </c>
      <c r="J812" s="35" t="s">
        <v>3332</v>
      </c>
      <c r="K812" t="str">
        <f t="shared" si="284"/>
        <v>3727</v>
      </c>
      <c r="L812" s="36" t="s">
        <v>4838</v>
      </c>
      <c r="M812" s="35">
        <v>7629</v>
      </c>
      <c r="N812" s="36" t="s">
        <v>5269</v>
      </c>
      <c r="O812" s="35" t="s">
        <v>5306</v>
      </c>
      <c r="P812" s="35" t="s">
        <v>5307</v>
      </c>
    </row>
    <row r="813" spans="1:16" hidden="1">
      <c r="A813" s="35">
        <v>3731</v>
      </c>
      <c r="B813" s="36" t="s">
        <v>1735</v>
      </c>
      <c r="C813" t="e">
        <f>VLOOKUP(A813,'TABELA SPOLINE'!A:J,10,FALSE)</f>
        <v>#N/A</v>
      </c>
      <c r="H813">
        <v>432</v>
      </c>
      <c r="I813">
        <v>1</v>
      </c>
      <c r="J813" s="35" t="s">
        <v>3122</v>
      </c>
      <c r="K813" t="str">
        <f t="shared" si="284"/>
        <v>3731</v>
      </c>
      <c r="L813" s="36" t="s">
        <v>4839</v>
      </c>
      <c r="M813" s="35">
        <v>7629</v>
      </c>
      <c r="N813" s="36" t="s">
        <v>5269</v>
      </c>
      <c r="O813" s="35" t="s">
        <v>5718</v>
      </c>
      <c r="P813" s="35" t="s">
        <v>5719</v>
      </c>
    </row>
    <row r="814" spans="1:16">
      <c r="A814" s="35">
        <v>3766</v>
      </c>
      <c r="B814" s="36" t="s">
        <v>1641</v>
      </c>
      <c r="C814">
        <f>VLOOKUP(A814,'TABELA SPOLINE'!A:J,10,FALSE)</f>
        <v>267.12</v>
      </c>
      <c r="D814">
        <f>C814*0.1+C814</f>
        <v>293.83199999999999</v>
      </c>
      <c r="E814">
        <f>ROUNDUP(D814,2)</f>
        <v>293.83999999999997</v>
      </c>
      <c r="F814">
        <f>E814*0.0975+E814</f>
        <v>322.48939999999999</v>
      </c>
      <c r="G814">
        <f>ROUNDUP(F814,2)</f>
        <v>322.49</v>
      </c>
      <c r="H814">
        <v>385</v>
      </c>
      <c r="I814">
        <v>5</v>
      </c>
      <c r="J814" s="35" t="s">
        <v>3029</v>
      </c>
      <c r="K814" t="str">
        <f t="shared" si="284"/>
        <v>3766</v>
      </c>
      <c r="L814" s="36" t="s">
        <v>4840</v>
      </c>
      <c r="M814" s="35">
        <v>7629</v>
      </c>
      <c r="N814" s="36" t="s">
        <v>5269</v>
      </c>
      <c r="O814" s="35" t="s">
        <v>5718</v>
      </c>
      <c r="P814" s="35" t="s">
        <v>5719</v>
      </c>
    </row>
    <row r="815" spans="1:16" hidden="1">
      <c r="A815" s="35">
        <v>3779</v>
      </c>
      <c r="B815" s="36" t="s">
        <v>2342</v>
      </c>
      <c r="C815" t="e">
        <f>VLOOKUP(A815,'TABELA SPOLINE'!A:J,10,FALSE)</f>
        <v>#N/A</v>
      </c>
      <c r="H815">
        <v>831</v>
      </c>
      <c r="I815">
        <v>60</v>
      </c>
      <c r="J815" s="35" t="s">
        <v>3727</v>
      </c>
      <c r="K815" t="str">
        <f t="shared" si="284"/>
        <v>3779</v>
      </c>
      <c r="L815" s="36" t="s">
        <v>4841</v>
      </c>
      <c r="M815" s="35">
        <v>7629</v>
      </c>
      <c r="N815" s="36" t="s">
        <v>5269</v>
      </c>
      <c r="O815" s="35" t="s">
        <v>5718</v>
      </c>
      <c r="P815" s="35" t="s">
        <v>5719</v>
      </c>
    </row>
    <row r="816" spans="1:16" hidden="1">
      <c r="A816" s="35">
        <v>3827</v>
      </c>
      <c r="B816" s="36" t="s">
        <v>2690</v>
      </c>
      <c r="C816" t="e">
        <f>VLOOKUP(A816,'TABELA SPOLINE'!A:J,10,FALSE)</f>
        <v>#N/A</v>
      </c>
      <c r="H816">
        <v>855</v>
      </c>
      <c r="I816">
        <v>1</v>
      </c>
      <c r="J816" s="35" t="s">
        <v>4071</v>
      </c>
      <c r="K816" t="str">
        <f t="shared" si="284"/>
        <v>3827</v>
      </c>
      <c r="L816" s="36" t="s">
        <v>4842</v>
      </c>
      <c r="M816" s="35">
        <v>7629</v>
      </c>
      <c r="N816" s="36" t="s">
        <v>5269</v>
      </c>
      <c r="O816" s="35" t="s">
        <v>5718</v>
      </c>
      <c r="P816" s="35" t="s">
        <v>5719</v>
      </c>
    </row>
    <row r="817" spans="1:16" hidden="1">
      <c r="A817" s="35">
        <v>3828</v>
      </c>
      <c r="B817" s="36" t="s">
        <v>2695</v>
      </c>
      <c r="C817" t="e">
        <f>VLOOKUP(A817,'TABELA SPOLINE'!A:J,10,FALSE)</f>
        <v>#N/A</v>
      </c>
      <c r="H817">
        <v>855</v>
      </c>
      <c r="I817">
        <v>2</v>
      </c>
      <c r="J817" s="35" t="s">
        <v>4076</v>
      </c>
      <c r="K817" t="str">
        <f t="shared" si="284"/>
        <v>3828</v>
      </c>
      <c r="L817" s="36" t="s">
        <v>4843</v>
      </c>
      <c r="M817" s="35">
        <v>7629</v>
      </c>
      <c r="N817" s="36" t="s">
        <v>5269</v>
      </c>
      <c r="O817" s="35" t="s">
        <v>5620</v>
      </c>
      <c r="P817" s="35" t="s">
        <v>5621</v>
      </c>
    </row>
    <row r="818" spans="1:16" hidden="1">
      <c r="A818" s="35">
        <v>3834</v>
      </c>
      <c r="B818" s="36" t="s">
        <v>1945</v>
      </c>
      <c r="C818" t="e">
        <f>VLOOKUP(A818,'TABELA SPOLINE'!A:J,10,FALSE)</f>
        <v>#N/A</v>
      </c>
      <c r="H818">
        <v>800</v>
      </c>
      <c r="I818">
        <v>2</v>
      </c>
      <c r="J818" s="35" t="s">
        <v>3330</v>
      </c>
      <c r="K818" t="str">
        <f t="shared" si="284"/>
        <v>3834</v>
      </c>
      <c r="L818" s="36" t="s">
        <v>4844</v>
      </c>
      <c r="M818" s="35">
        <v>7629</v>
      </c>
      <c r="N818" s="36" t="s">
        <v>5269</v>
      </c>
      <c r="O818" s="35" t="s">
        <v>5620</v>
      </c>
      <c r="P818" s="35" t="s">
        <v>5621</v>
      </c>
    </row>
    <row r="819" spans="1:16" hidden="1">
      <c r="A819" s="35">
        <v>3866</v>
      </c>
      <c r="B819" s="36" t="s">
        <v>1983</v>
      </c>
      <c r="C819" t="e">
        <f>VLOOKUP(A819,'TABELA SPOLINE'!A:J,10,FALSE)</f>
        <v>#N/A</v>
      </c>
      <c r="H819">
        <v>807</v>
      </c>
      <c r="I819">
        <v>4</v>
      </c>
      <c r="J819" s="35" t="s">
        <v>3368</v>
      </c>
      <c r="K819" t="str">
        <f t="shared" si="284"/>
        <v>3866</v>
      </c>
      <c r="L819" s="36" t="s">
        <v>4845</v>
      </c>
      <c r="M819" s="35">
        <v>7629</v>
      </c>
      <c r="N819" s="36" t="s">
        <v>5269</v>
      </c>
      <c r="O819" s="35" t="s">
        <v>5622</v>
      </c>
      <c r="P819" s="35" t="s">
        <v>5623</v>
      </c>
    </row>
    <row r="820" spans="1:16" hidden="1">
      <c r="A820" s="35">
        <v>3878</v>
      </c>
      <c r="B820" s="36" t="s">
        <v>2167</v>
      </c>
      <c r="C820" t="e">
        <f>VLOOKUP(A820,'TABELA SPOLINE'!A:J,10,FALSE)</f>
        <v>#N/A</v>
      </c>
      <c r="H820">
        <v>791</v>
      </c>
      <c r="I820">
        <v>1</v>
      </c>
      <c r="J820" s="35" t="s">
        <v>3552</v>
      </c>
      <c r="K820" t="str">
        <f t="shared" si="284"/>
        <v>3878</v>
      </c>
      <c r="L820" s="36" t="s">
        <v>4846</v>
      </c>
      <c r="M820" s="35">
        <v>7629</v>
      </c>
      <c r="N820" s="36" t="s">
        <v>5269</v>
      </c>
      <c r="O820" s="35" t="s">
        <v>5622</v>
      </c>
      <c r="P820" s="35" t="s">
        <v>5623</v>
      </c>
    </row>
    <row r="821" spans="1:16" hidden="1">
      <c r="A821" s="35">
        <v>3893</v>
      </c>
      <c r="B821" s="36" t="s">
        <v>2023</v>
      </c>
      <c r="C821" t="e">
        <f>VLOOKUP(A821,'TABELA SPOLINE'!A:J,10,FALSE)</f>
        <v>#N/A</v>
      </c>
      <c r="H821">
        <v>828</v>
      </c>
      <c r="I821">
        <v>2</v>
      </c>
      <c r="J821" s="35" t="s">
        <v>3408</v>
      </c>
      <c r="K821" t="str">
        <f t="shared" si="284"/>
        <v>3893</v>
      </c>
      <c r="L821" s="36" t="s">
        <v>4847</v>
      </c>
      <c r="M821" s="35">
        <v>7629</v>
      </c>
      <c r="N821" s="36" t="s">
        <v>5269</v>
      </c>
      <c r="O821" s="35" t="s">
        <v>5720</v>
      </c>
      <c r="P821" s="35" t="s">
        <v>5721</v>
      </c>
    </row>
    <row r="822" spans="1:16" hidden="1">
      <c r="A822" s="35">
        <v>3977</v>
      </c>
      <c r="B822" s="36" t="s">
        <v>2481</v>
      </c>
      <c r="C822" t="e">
        <f>VLOOKUP(A822,'TABELA SPOLINE'!A:J,10,FALSE)</f>
        <v>#N/A</v>
      </c>
      <c r="H822">
        <v>859</v>
      </c>
      <c r="I822">
        <v>3</v>
      </c>
      <c r="J822" s="35" t="s">
        <v>3864</v>
      </c>
      <c r="K822" t="str">
        <f t="shared" si="284"/>
        <v>3977</v>
      </c>
      <c r="L822" s="36" t="s">
        <v>4848</v>
      </c>
      <c r="M822" s="35">
        <v>7629</v>
      </c>
      <c r="N822" s="36" t="s">
        <v>5269</v>
      </c>
      <c r="O822" s="35" t="s">
        <v>5720</v>
      </c>
      <c r="P822" s="35" t="s">
        <v>5721</v>
      </c>
    </row>
    <row r="823" spans="1:16">
      <c r="A823" s="35">
        <v>4039</v>
      </c>
      <c r="B823" s="36" t="s">
        <v>2607</v>
      </c>
      <c r="C823">
        <f>VLOOKUP(A823,'TABELA SPOLINE'!A:J,10,FALSE)</f>
        <v>159.15900000000002</v>
      </c>
      <c r="D823">
        <f t="shared" ref="D823:D832" si="285">C823*0.1+C823</f>
        <v>175.07490000000001</v>
      </c>
      <c r="E823">
        <f t="shared" ref="E823:E832" si="286">ROUNDUP(D823,2)</f>
        <v>175.07999999999998</v>
      </c>
      <c r="F823">
        <f t="shared" ref="F823:F832" si="287">E823*0.0975+E823</f>
        <v>192.15029999999999</v>
      </c>
      <c r="G823">
        <f t="shared" ref="G823:G832" si="288">ROUNDUP(F823,2)</f>
        <v>192.16</v>
      </c>
      <c r="H823">
        <v>892</v>
      </c>
      <c r="I823">
        <v>1</v>
      </c>
      <c r="J823" s="35" t="s">
        <v>3990</v>
      </c>
      <c r="K823" t="str">
        <f t="shared" si="284"/>
        <v>4039</v>
      </c>
      <c r="L823" s="36" t="s">
        <v>4849</v>
      </c>
      <c r="M823" s="35">
        <v>7629</v>
      </c>
      <c r="N823" s="36" t="s">
        <v>5269</v>
      </c>
      <c r="O823" s="35" t="s">
        <v>5720</v>
      </c>
      <c r="P823" s="35" t="s">
        <v>5721</v>
      </c>
    </row>
    <row r="824" spans="1:16">
      <c r="A824" s="35">
        <v>4062</v>
      </c>
      <c r="B824" s="36" t="s">
        <v>2334</v>
      </c>
      <c r="C824">
        <f>VLOOKUP(A824,'TABELA SPOLINE'!A:J,10,FALSE)</f>
        <v>349.92720000000003</v>
      </c>
      <c r="D824">
        <f t="shared" si="285"/>
        <v>384.91992000000005</v>
      </c>
      <c r="E824">
        <f t="shared" si="286"/>
        <v>384.92</v>
      </c>
      <c r="F824">
        <f t="shared" si="287"/>
        <v>422.44970000000001</v>
      </c>
      <c r="G824">
        <f t="shared" si="288"/>
        <v>422.45</v>
      </c>
      <c r="H824">
        <v>837</v>
      </c>
      <c r="I824">
        <v>1</v>
      </c>
      <c r="J824" s="35" t="s">
        <v>3719</v>
      </c>
      <c r="K824" t="str">
        <f t="shared" si="284"/>
        <v>4062</v>
      </c>
      <c r="L824" s="36" t="s">
        <v>4850</v>
      </c>
      <c r="M824" s="35">
        <v>7629</v>
      </c>
      <c r="N824" s="36" t="s">
        <v>5269</v>
      </c>
      <c r="O824" s="35" t="s">
        <v>5722</v>
      </c>
      <c r="P824" s="35" t="s">
        <v>5723</v>
      </c>
    </row>
    <row r="825" spans="1:16">
      <c r="A825" s="35">
        <v>4141</v>
      </c>
      <c r="B825" s="36" t="s">
        <v>2354</v>
      </c>
      <c r="C825">
        <f>VLOOKUP(A825,'TABELA SPOLINE'!A:J,10,FALSE)</f>
        <v>94.605000000000004</v>
      </c>
      <c r="D825">
        <f t="shared" si="285"/>
        <v>104.0655</v>
      </c>
      <c r="E825">
        <f t="shared" si="286"/>
        <v>104.07000000000001</v>
      </c>
      <c r="F825">
        <f t="shared" si="287"/>
        <v>114.21682500000001</v>
      </c>
      <c r="G825">
        <f t="shared" si="288"/>
        <v>114.22</v>
      </c>
      <c r="H825">
        <v>878</v>
      </c>
      <c r="I825">
        <v>1</v>
      </c>
      <c r="J825" s="35" t="s">
        <v>3739</v>
      </c>
      <c r="K825" t="str">
        <f t="shared" si="284"/>
        <v>4141</v>
      </c>
      <c r="L825" s="36" t="s">
        <v>4851</v>
      </c>
      <c r="M825" s="35">
        <v>7629</v>
      </c>
      <c r="N825" s="36" t="s">
        <v>5269</v>
      </c>
      <c r="O825" s="35" t="s">
        <v>5720</v>
      </c>
      <c r="P825" s="35" t="s">
        <v>5721</v>
      </c>
    </row>
    <row r="826" spans="1:16">
      <c r="A826" s="35">
        <v>4144</v>
      </c>
      <c r="B826" s="36" t="s">
        <v>2683</v>
      </c>
      <c r="C826">
        <f>VLOOKUP(A826,'TABELA SPOLINE'!A:J,10,FALSE)</f>
        <v>307.18800000000005</v>
      </c>
      <c r="D826">
        <f t="shared" si="285"/>
        <v>337.90680000000003</v>
      </c>
      <c r="E826">
        <f t="shared" si="286"/>
        <v>337.90999999999997</v>
      </c>
      <c r="F826">
        <f t="shared" si="287"/>
        <v>370.85622499999999</v>
      </c>
      <c r="G826">
        <f t="shared" si="288"/>
        <v>370.86</v>
      </c>
      <c r="H826">
        <v>894</v>
      </c>
      <c r="I826">
        <v>1</v>
      </c>
      <c r="J826" s="35" t="s">
        <v>4064</v>
      </c>
      <c r="K826" t="str">
        <f t="shared" si="284"/>
        <v>4144</v>
      </c>
      <c r="L826" s="36" t="s">
        <v>4852</v>
      </c>
      <c r="M826" s="35">
        <v>7629</v>
      </c>
      <c r="N826" s="36" t="s">
        <v>5269</v>
      </c>
      <c r="O826" s="35" t="s">
        <v>5724</v>
      </c>
      <c r="P826" s="35" t="s">
        <v>5725</v>
      </c>
    </row>
    <row r="827" spans="1:16">
      <c r="A827" s="35">
        <v>4145</v>
      </c>
      <c r="B827" s="36" t="s">
        <v>2355</v>
      </c>
      <c r="C827">
        <f>VLOOKUP(A827,'TABELA SPOLINE'!A:J,10,FALSE)</f>
        <v>94.605000000000004</v>
      </c>
      <c r="D827">
        <f t="shared" si="285"/>
        <v>104.0655</v>
      </c>
      <c r="E827">
        <f t="shared" si="286"/>
        <v>104.07000000000001</v>
      </c>
      <c r="F827">
        <f t="shared" si="287"/>
        <v>114.21682500000001</v>
      </c>
      <c r="G827">
        <f t="shared" si="288"/>
        <v>114.22</v>
      </c>
      <c r="H827">
        <v>878</v>
      </c>
      <c r="I827">
        <v>1</v>
      </c>
      <c r="J827" s="35" t="s">
        <v>3740</v>
      </c>
      <c r="K827" t="str">
        <f t="shared" si="284"/>
        <v>4145</v>
      </c>
      <c r="L827" s="36" t="s">
        <v>4853</v>
      </c>
      <c r="M827" s="35">
        <v>7629</v>
      </c>
      <c r="N827" s="36" t="s">
        <v>5269</v>
      </c>
      <c r="O827" s="35" t="s">
        <v>5724</v>
      </c>
      <c r="P827" s="35" t="s">
        <v>5725</v>
      </c>
    </row>
    <row r="828" spans="1:16">
      <c r="A828" s="35">
        <v>4146</v>
      </c>
      <c r="B828" s="36" t="s">
        <v>2684</v>
      </c>
      <c r="C828">
        <f>VLOOKUP(A828,'TABELA SPOLINE'!A:J,10,FALSE)</f>
        <v>368.62560000000002</v>
      </c>
      <c r="D828">
        <f t="shared" si="285"/>
        <v>405.48815999999999</v>
      </c>
      <c r="E828">
        <f t="shared" si="286"/>
        <v>405.49</v>
      </c>
      <c r="F828">
        <f t="shared" si="287"/>
        <v>445.02527500000002</v>
      </c>
      <c r="G828">
        <f t="shared" si="288"/>
        <v>445.03</v>
      </c>
      <c r="H828">
        <v>894</v>
      </c>
      <c r="I828">
        <v>1</v>
      </c>
      <c r="J828" s="35" t="s">
        <v>4065</v>
      </c>
      <c r="K828" t="str">
        <f t="shared" si="284"/>
        <v>4146</v>
      </c>
      <c r="L828" s="36" t="s">
        <v>4854</v>
      </c>
      <c r="M828" s="35">
        <v>7629</v>
      </c>
      <c r="N828" s="36" t="s">
        <v>5269</v>
      </c>
      <c r="O828" s="35" t="s">
        <v>5724</v>
      </c>
      <c r="P828" s="35" t="s">
        <v>5725</v>
      </c>
    </row>
    <row r="829" spans="1:16">
      <c r="A829" s="35">
        <v>4147</v>
      </c>
      <c r="B829" s="36" t="s">
        <v>2356</v>
      </c>
      <c r="C829">
        <f>VLOOKUP(A829,'TABELA SPOLINE'!A:J,10,FALSE)</f>
        <v>94.605000000000004</v>
      </c>
      <c r="D829">
        <f t="shared" si="285"/>
        <v>104.0655</v>
      </c>
      <c r="E829">
        <f t="shared" si="286"/>
        <v>104.07000000000001</v>
      </c>
      <c r="F829">
        <f t="shared" si="287"/>
        <v>114.21682500000001</v>
      </c>
      <c r="G829">
        <f t="shared" si="288"/>
        <v>114.22</v>
      </c>
      <c r="H829">
        <v>878</v>
      </c>
      <c r="I829">
        <v>1</v>
      </c>
      <c r="J829" s="35" t="s">
        <v>3741</v>
      </c>
      <c r="K829" t="str">
        <f t="shared" si="284"/>
        <v>4147</v>
      </c>
      <c r="L829" s="36" t="s">
        <v>4855</v>
      </c>
      <c r="M829" s="35">
        <v>7629</v>
      </c>
      <c r="N829" s="36" t="s">
        <v>5269</v>
      </c>
      <c r="O829" s="35" t="s">
        <v>5726</v>
      </c>
      <c r="P829" s="35" t="s">
        <v>5727</v>
      </c>
    </row>
    <row r="830" spans="1:16">
      <c r="A830" s="35">
        <v>4148</v>
      </c>
      <c r="B830" s="36" t="s">
        <v>2357</v>
      </c>
      <c r="C830">
        <f>VLOOKUP(A830,'TABELA SPOLINE'!A:J,10,FALSE)</f>
        <v>113.526</v>
      </c>
      <c r="D830">
        <f t="shared" si="285"/>
        <v>124.87859999999999</v>
      </c>
      <c r="E830">
        <f t="shared" si="286"/>
        <v>124.88000000000001</v>
      </c>
      <c r="F830">
        <f t="shared" si="287"/>
        <v>137.0558</v>
      </c>
      <c r="G830">
        <f t="shared" si="288"/>
        <v>137.06</v>
      </c>
      <c r="H830">
        <v>878</v>
      </c>
      <c r="I830">
        <v>1</v>
      </c>
      <c r="J830" s="35" t="s">
        <v>3742</v>
      </c>
      <c r="K830" t="str">
        <f t="shared" si="284"/>
        <v>4148</v>
      </c>
      <c r="L830" s="36" t="s">
        <v>4856</v>
      </c>
      <c r="M830" s="35">
        <v>7629</v>
      </c>
      <c r="N830" s="36" t="s">
        <v>5269</v>
      </c>
      <c r="O830" s="35" t="s">
        <v>5724</v>
      </c>
      <c r="P830" s="35" t="s">
        <v>5725</v>
      </c>
    </row>
    <row r="831" spans="1:16">
      <c r="A831" s="35">
        <v>4149</v>
      </c>
      <c r="B831" s="36" t="s">
        <v>2358</v>
      </c>
      <c r="C831">
        <f>VLOOKUP(A831,'TABELA SPOLINE'!A:J,10,FALSE)</f>
        <v>94.605000000000004</v>
      </c>
      <c r="D831">
        <f t="shared" si="285"/>
        <v>104.0655</v>
      </c>
      <c r="E831">
        <f t="shared" si="286"/>
        <v>104.07000000000001</v>
      </c>
      <c r="F831">
        <f t="shared" si="287"/>
        <v>114.21682500000001</v>
      </c>
      <c r="G831">
        <f t="shared" si="288"/>
        <v>114.22</v>
      </c>
      <c r="H831">
        <v>878</v>
      </c>
      <c r="I831">
        <v>1</v>
      </c>
      <c r="J831" s="35" t="s">
        <v>3743</v>
      </c>
      <c r="K831" t="str">
        <f t="shared" si="284"/>
        <v>4149</v>
      </c>
      <c r="L831" s="36" t="s">
        <v>4857</v>
      </c>
      <c r="M831" s="35">
        <v>7629</v>
      </c>
      <c r="N831" s="36" t="s">
        <v>5269</v>
      </c>
      <c r="O831" s="35" t="s">
        <v>5724</v>
      </c>
      <c r="P831" s="35" t="s">
        <v>5725</v>
      </c>
    </row>
    <row r="832" spans="1:16">
      <c r="A832" s="35">
        <v>4150</v>
      </c>
      <c r="B832" s="36" t="s">
        <v>2359</v>
      </c>
      <c r="C832">
        <f>VLOOKUP(A832,'TABELA SPOLINE'!A:J,10,FALSE)</f>
        <v>94.605000000000004</v>
      </c>
      <c r="D832">
        <f t="shared" si="285"/>
        <v>104.0655</v>
      </c>
      <c r="E832">
        <f t="shared" si="286"/>
        <v>104.07000000000001</v>
      </c>
      <c r="F832">
        <f t="shared" si="287"/>
        <v>114.21682500000001</v>
      </c>
      <c r="G832">
        <f t="shared" si="288"/>
        <v>114.22</v>
      </c>
      <c r="H832">
        <v>878</v>
      </c>
      <c r="I832">
        <v>1</v>
      </c>
      <c r="J832" s="35" t="s">
        <v>3744</v>
      </c>
      <c r="K832" t="str">
        <f t="shared" si="284"/>
        <v>4150</v>
      </c>
      <c r="L832" s="36" t="s">
        <v>4858</v>
      </c>
      <c r="M832" s="35">
        <v>7629</v>
      </c>
      <c r="N832" s="36" t="s">
        <v>5269</v>
      </c>
      <c r="O832" s="35" t="s">
        <v>5728</v>
      </c>
      <c r="P832" s="35" t="s">
        <v>5729</v>
      </c>
    </row>
    <row r="833" spans="1:16" hidden="1">
      <c r="A833" s="35">
        <v>4152</v>
      </c>
      <c r="B833" s="36" t="s">
        <v>2486</v>
      </c>
      <c r="C833" t="e">
        <f>VLOOKUP(A833,'TABELA SPOLINE'!A:J,10,FALSE)</f>
        <v>#N/A</v>
      </c>
      <c r="H833">
        <v>879</v>
      </c>
      <c r="I833">
        <v>1</v>
      </c>
      <c r="J833" s="35" t="s">
        <v>3869</v>
      </c>
      <c r="K833" t="str">
        <f t="shared" si="284"/>
        <v>4152</v>
      </c>
      <c r="L833" s="36" t="s">
        <v>4859</v>
      </c>
      <c r="M833" s="35">
        <v>7629</v>
      </c>
      <c r="N833" s="36" t="s">
        <v>5269</v>
      </c>
      <c r="O833" s="35" t="s">
        <v>5728</v>
      </c>
      <c r="P833" s="35" t="s">
        <v>5729</v>
      </c>
    </row>
    <row r="834" spans="1:16" hidden="1">
      <c r="A834" s="35">
        <v>4153</v>
      </c>
      <c r="B834" s="36" t="s">
        <v>2487</v>
      </c>
      <c r="C834" t="e">
        <f>VLOOKUP(A834,'TABELA SPOLINE'!A:J,10,FALSE)</f>
        <v>#N/A</v>
      </c>
      <c r="H834">
        <v>879</v>
      </c>
      <c r="I834">
        <v>1</v>
      </c>
      <c r="J834" s="35" t="s">
        <v>3870</v>
      </c>
      <c r="K834" t="str">
        <f t="shared" si="284"/>
        <v>4153</v>
      </c>
      <c r="L834" s="36" t="s">
        <v>4860</v>
      </c>
      <c r="M834" s="35">
        <v>7629</v>
      </c>
      <c r="N834" s="36" t="s">
        <v>5269</v>
      </c>
      <c r="O834" s="35" t="s">
        <v>5728</v>
      </c>
      <c r="P834" s="35" t="s">
        <v>5729</v>
      </c>
    </row>
    <row r="835" spans="1:16" hidden="1">
      <c r="A835" s="35">
        <v>4154</v>
      </c>
      <c r="B835" s="36" t="s">
        <v>2488</v>
      </c>
      <c r="C835" t="e">
        <f>VLOOKUP(A835,'TABELA SPOLINE'!A:J,10,FALSE)</f>
        <v>#N/A</v>
      </c>
      <c r="H835">
        <v>879</v>
      </c>
      <c r="I835">
        <v>1</v>
      </c>
      <c r="J835" s="35" t="s">
        <v>3871</v>
      </c>
      <c r="K835" t="str">
        <f t="shared" ref="K835:K898" si="289">TRIM(A835)</f>
        <v>4154</v>
      </c>
      <c r="L835" s="36" t="s">
        <v>4861</v>
      </c>
      <c r="M835" s="35">
        <v>7629</v>
      </c>
      <c r="N835" s="36" t="s">
        <v>5269</v>
      </c>
      <c r="O835" s="35" t="s">
        <v>5274</v>
      </c>
      <c r="P835" s="35" t="s">
        <v>5275</v>
      </c>
    </row>
    <row r="836" spans="1:16" hidden="1">
      <c r="A836" s="35">
        <v>4155</v>
      </c>
      <c r="B836" s="36" t="s">
        <v>2489</v>
      </c>
      <c r="C836" t="e">
        <f>VLOOKUP(A836,'TABELA SPOLINE'!A:J,10,FALSE)</f>
        <v>#N/A</v>
      </c>
      <c r="H836">
        <v>879</v>
      </c>
      <c r="I836">
        <v>1</v>
      </c>
      <c r="J836" s="35" t="s">
        <v>3872</v>
      </c>
      <c r="K836" t="str">
        <f t="shared" si="289"/>
        <v>4155</v>
      </c>
      <c r="L836" s="36" t="s">
        <v>4862</v>
      </c>
      <c r="M836" s="35">
        <v>7629</v>
      </c>
      <c r="N836" s="36" t="s">
        <v>5269</v>
      </c>
      <c r="O836" s="35" t="s">
        <v>5730</v>
      </c>
      <c r="P836" s="35" t="s">
        <v>5731</v>
      </c>
    </row>
    <row r="837" spans="1:16" hidden="1">
      <c r="A837" s="35">
        <v>4156</v>
      </c>
      <c r="B837" s="36" t="s">
        <v>2388</v>
      </c>
      <c r="C837" t="e">
        <f>VLOOKUP(A837,'TABELA SPOLINE'!A:J,10,FALSE)</f>
        <v>#N/A</v>
      </c>
      <c r="H837">
        <v>896</v>
      </c>
      <c r="I837">
        <v>1</v>
      </c>
      <c r="J837" s="35" t="s">
        <v>3773</v>
      </c>
      <c r="K837" t="str">
        <f t="shared" si="289"/>
        <v>4156</v>
      </c>
      <c r="L837" s="36" t="s">
        <v>4863</v>
      </c>
      <c r="M837" s="35">
        <v>7629</v>
      </c>
      <c r="N837" s="36" t="s">
        <v>5269</v>
      </c>
      <c r="O837" s="35" t="s">
        <v>5730</v>
      </c>
      <c r="P837" s="35" t="s">
        <v>5731</v>
      </c>
    </row>
    <row r="838" spans="1:16" hidden="1">
      <c r="A838" s="35">
        <v>4157</v>
      </c>
      <c r="B838" s="36" t="s">
        <v>2490</v>
      </c>
      <c r="C838" t="e">
        <f>VLOOKUP(A838,'TABELA SPOLINE'!A:J,10,FALSE)</f>
        <v>#N/A</v>
      </c>
      <c r="H838">
        <v>879</v>
      </c>
      <c r="I838">
        <v>1</v>
      </c>
      <c r="J838" s="35" t="s">
        <v>3873</v>
      </c>
      <c r="K838" t="str">
        <f t="shared" si="289"/>
        <v>4157</v>
      </c>
      <c r="L838" s="36" t="s">
        <v>4864</v>
      </c>
      <c r="M838" s="35">
        <v>7629</v>
      </c>
      <c r="N838" s="36" t="s">
        <v>5269</v>
      </c>
      <c r="O838" s="35" t="s">
        <v>5730</v>
      </c>
      <c r="P838" s="35" t="s">
        <v>5731</v>
      </c>
    </row>
    <row r="839" spans="1:16">
      <c r="A839" s="35">
        <v>4158</v>
      </c>
      <c r="B839" s="36" t="s">
        <v>2389</v>
      </c>
      <c r="C839">
        <f>VLOOKUP(A839,'TABELA SPOLINE'!A:J,10,FALSE)</f>
        <v>107.961</v>
      </c>
      <c r="D839">
        <f>C839*0.1+C839</f>
        <v>118.75709999999999</v>
      </c>
      <c r="E839">
        <f>ROUNDUP(D839,2)</f>
        <v>118.76</v>
      </c>
      <c r="F839">
        <f>E839*0.0975+E839</f>
        <v>130.3391</v>
      </c>
      <c r="G839">
        <f>ROUNDUP(F839,2)</f>
        <v>130.34</v>
      </c>
      <c r="H839">
        <v>896</v>
      </c>
      <c r="I839">
        <v>1</v>
      </c>
      <c r="J839" s="35" t="s">
        <v>3774</v>
      </c>
      <c r="K839" t="str">
        <f t="shared" si="289"/>
        <v>4158</v>
      </c>
      <c r="L839" s="36" t="s">
        <v>4865</v>
      </c>
      <c r="M839" s="35">
        <v>7629</v>
      </c>
      <c r="N839" s="36" t="s">
        <v>5269</v>
      </c>
      <c r="O839" s="35" t="s">
        <v>5274</v>
      </c>
      <c r="P839" s="35" t="s">
        <v>5275</v>
      </c>
    </row>
    <row r="840" spans="1:16" hidden="1">
      <c r="A840" s="35">
        <v>4159</v>
      </c>
      <c r="B840" s="36" t="s">
        <v>2491</v>
      </c>
      <c r="C840" t="e">
        <f>VLOOKUP(A840,'TABELA SPOLINE'!A:J,10,FALSE)</f>
        <v>#N/A</v>
      </c>
      <c r="H840">
        <v>879</v>
      </c>
      <c r="I840">
        <v>1</v>
      </c>
      <c r="J840" s="35" t="s">
        <v>3874</v>
      </c>
      <c r="K840" t="str">
        <f t="shared" si="289"/>
        <v>4159</v>
      </c>
      <c r="L840" s="36" t="s">
        <v>4866</v>
      </c>
      <c r="M840" s="35">
        <v>7629</v>
      </c>
      <c r="N840" s="36" t="s">
        <v>5269</v>
      </c>
      <c r="O840" s="35" t="s">
        <v>5732</v>
      </c>
      <c r="P840" s="35" t="s">
        <v>5733</v>
      </c>
    </row>
    <row r="841" spans="1:16" hidden="1">
      <c r="A841" s="35">
        <v>4160</v>
      </c>
      <c r="B841" s="36" t="s">
        <v>2492</v>
      </c>
      <c r="C841" t="e">
        <f>VLOOKUP(A841,'TABELA SPOLINE'!A:J,10,FALSE)</f>
        <v>#N/A</v>
      </c>
      <c r="H841">
        <v>879</v>
      </c>
      <c r="I841">
        <v>1</v>
      </c>
      <c r="J841" s="35" t="s">
        <v>3875</v>
      </c>
      <c r="K841" t="str">
        <f t="shared" si="289"/>
        <v>4160</v>
      </c>
      <c r="L841" s="36" t="s">
        <v>4867</v>
      </c>
      <c r="M841" s="35">
        <v>7629</v>
      </c>
      <c r="N841" s="36" t="s">
        <v>5269</v>
      </c>
      <c r="O841" s="35" t="s">
        <v>5732</v>
      </c>
      <c r="P841" s="35" t="s">
        <v>5733</v>
      </c>
    </row>
    <row r="842" spans="1:16">
      <c r="A842" s="35">
        <v>4161</v>
      </c>
      <c r="B842" s="36" t="s">
        <v>2390</v>
      </c>
      <c r="C842">
        <f>VLOOKUP(A842,'TABELA SPOLINE'!A:J,10,FALSE)</f>
        <v>107.961</v>
      </c>
      <c r="D842">
        <f t="shared" ref="D842:D848" si="290">C842*0.1+C842</f>
        <v>118.75709999999999</v>
      </c>
      <c r="E842">
        <f t="shared" ref="E842:E848" si="291">ROUNDUP(D842,2)</f>
        <v>118.76</v>
      </c>
      <c r="F842">
        <f t="shared" ref="F842:F848" si="292">E842*0.0975+E842</f>
        <v>130.3391</v>
      </c>
      <c r="G842">
        <f t="shared" ref="G842:G848" si="293">ROUNDUP(F842,2)</f>
        <v>130.34</v>
      </c>
      <c r="H842">
        <v>896</v>
      </c>
      <c r="I842">
        <v>1</v>
      </c>
      <c r="J842" s="35" t="s">
        <v>3775</v>
      </c>
      <c r="K842" t="str">
        <f t="shared" si="289"/>
        <v>4161</v>
      </c>
      <c r="L842" s="36" t="s">
        <v>4868</v>
      </c>
      <c r="M842" s="35">
        <v>7629</v>
      </c>
      <c r="N842" s="36" t="s">
        <v>5269</v>
      </c>
      <c r="O842" s="35" t="s">
        <v>5732</v>
      </c>
      <c r="P842" s="35" t="s">
        <v>5733</v>
      </c>
    </row>
    <row r="843" spans="1:16">
      <c r="A843" s="35">
        <v>4162</v>
      </c>
      <c r="B843" s="36" t="s">
        <v>2493</v>
      </c>
      <c r="C843">
        <f>VLOOKUP(A843,'TABELA SPOLINE'!A:J,10,FALSE)</f>
        <v>126.88200000000001</v>
      </c>
      <c r="D843">
        <f t="shared" si="290"/>
        <v>139.5702</v>
      </c>
      <c r="E843">
        <f t="shared" si="291"/>
        <v>139.57999999999998</v>
      </c>
      <c r="F843">
        <f t="shared" si="292"/>
        <v>153.18904999999998</v>
      </c>
      <c r="G843">
        <f t="shared" si="293"/>
        <v>153.19</v>
      </c>
      <c r="H843">
        <v>880</v>
      </c>
      <c r="I843">
        <v>1</v>
      </c>
      <c r="J843" s="35" t="s">
        <v>3876</v>
      </c>
      <c r="K843" t="str">
        <f t="shared" si="289"/>
        <v>4162</v>
      </c>
      <c r="L843" s="36" t="s">
        <v>4869</v>
      </c>
      <c r="M843" s="35">
        <v>7629</v>
      </c>
      <c r="N843" s="36" t="s">
        <v>5269</v>
      </c>
      <c r="O843" s="35" t="s">
        <v>5274</v>
      </c>
      <c r="P843" s="35" t="s">
        <v>5275</v>
      </c>
    </row>
    <row r="844" spans="1:16">
      <c r="A844" s="35">
        <v>4163</v>
      </c>
      <c r="B844" s="36" t="s">
        <v>2391</v>
      </c>
      <c r="C844">
        <f>VLOOKUP(A844,'TABELA SPOLINE'!A:J,10,FALSE)</f>
        <v>129.5532</v>
      </c>
      <c r="D844">
        <f t="shared" si="290"/>
        <v>142.50852</v>
      </c>
      <c r="E844">
        <f t="shared" si="291"/>
        <v>142.51</v>
      </c>
      <c r="F844">
        <f t="shared" si="292"/>
        <v>156.40472499999998</v>
      </c>
      <c r="G844">
        <f t="shared" si="293"/>
        <v>156.41</v>
      </c>
      <c r="H844">
        <v>896</v>
      </c>
      <c r="I844">
        <v>1</v>
      </c>
      <c r="J844" s="35" t="s">
        <v>3776</v>
      </c>
      <c r="K844" t="str">
        <f t="shared" si="289"/>
        <v>4163</v>
      </c>
      <c r="L844" s="36" t="s">
        <v>4870</v>
      </c>
      <c r="M844" s="35">
        <v>7629</v>
      </c>
      <c r="N844" s="36" t="s">
        <v>5269</v>
      </c>
      <c r="O844" s="35" t="s">
        <v>5734</v>
      </c>
      <c r="P844" s="35" t="s">
        <v>5735</v>
      </c>
    </row>
    <row r="845" spans="1:16">
      <c r="A845" s="35">
        <v>4164</v>
      </c>
      <c r="B845" s="36" t="s">
        <v>2494</v>
      </c>
      <c r="C845">
        <f>VLOOKUP(A845,'TABELA SPOLINE'!A:J,10,FALSE)</f>
        <v>105.735</v>
      </c>
      <c r="D845">
        <f t="shared" si="290"/>
        <v>116.3085</v>
      </c>
      <c r="E845">
        <f t="shared" si="291"/>
        <v>116.31</v>
      </c>
      <c r="F845">
        <f t="shared" si="292"/>
        <v>127.65022500000001</v>
      </c>
      <c r="G845">
        <f t="shared" si="293"/>
        <v>127.66000000000001</v>
      </c>
      <c r="H845">
        <v>880</v>
      </c>
      <c r="I845">
        <v>1</v>
      </c>
      <c r="J845" s="35" t="s">
        <v>3877</v>
      </c>
      <c r="K845" t="str">
        <f t="shared" si="289"/>
        <v>4164</v>
      </c>
      <c r="L845" s="36" t="s">
        <v>4871</v>
      </c>
      <c r="M845" s="35">
        <v>7629</v>
      </c>
      <c r="N845" s="36" t="s">
        <v>5269</v>
      </c>
      <c r="O845" s="35" t="s">
        <v>5734</v>
      </c>
      <c r="P845" s="35" t="s">
        <v>5735</v>
      </c>
    </row>
    <row r="846" spans="1:16">
      <c r="A846" s="35">
        <v>4165</v>
      </c>
      <c r="B846" s="36" t="s">
        <v>2495</v>
      </c>
      <c r="C846">
        <f>VLOOKUP(A846,'TABELA SPOLINE'!A:J,10,FALSE)</f>
        <v>105.735</v>
      </c>
      <c r="D846">
        <f t="shared" si="290"/>
        <v>116.3085</v>
      </c>
      <c r="E846">
        <f t="shared" si="291"/>
        <v>116.31</v>
      </c>
      <c r="F846">
        <f t="shared" si="292"/>
        <v>127.65022500000001</v>
      </c>
      <c r="G846">
        <f t="shared" si="293"/>
        <v>127.66000000000001</v>
      </c>
      <c r="H846">
        <v>880</v>
      </c>
      <c r="I846">
        <v>1</v>
      </c>
      <c r="J846" s="35" t="s">
        <v>3878</v>
      </c>
      <c r="K846" t="str">
        <f t="shared" si="289"/>
        <v>4165</v>
      </c>
      <c r="L846" s="36" t="s">
        <v>4872</v>
      </c>
      <c r="M846" s="35">
        <v>7629</v>
      </c>
      <c r="N846" s="36" t="s">
        <v>5269</v>
      </c>
      <c r="O846" s="35" t="s">
        <v>5734</v>
      </c>
      <c r="P846" s="35" t="s">
        <v>5735</v>
      </c>
    </row>
    <row r="847" spans="1:16">
      <c r="A847" s="35">
        <v>4166</v>
      </c>
      <c r="B847" s="36" t="s">
        <v>2629</v>
      </c>
      <c r="C847">
        <f>VLOOKUP(A847,'TABELA SPOLINE'!A:J,10,FALSE)</f>
        <v>185.87100000000001</v>
      </c>
      <c r="D847">
        <f t="shared" si="290"/>
        <v>204.4581</v>
      </c>
      <c r="E847">
        <f t="shared" si="291"/>
        <v>204.45999999999998</v>
      </c>
      <c r="F847">
        <f t="shared" si="292"/>
        <v>224.39484999999996</v>
      </c>
      <c r="G847">
        <f t="shared" si="293"/>
        <v>224.39999999999998</v>
      </c>
      <c r="H847">
        <v>895</v>
      </c>
      <c r="I847">
        <v>1</v>
      </c>
      <c r="J847" s="35" t="s">
        <v>4012</v>
      </c>
      <c r="K847" t="str">
        <f t="shared" si="289"/>
        <v>4166</v>
      </c>
      <c r="L847" s="36" t="s">
        <v>4873</v>
      </c>
      <c r="M847" s="35">
        <v>7629</v>
      </c>
      <c r="N847" s="36" t="s">
        <v>5269</v>
      </c>
      <c r="O847" s="35" t="s">
        <v>5274</v>
      </c>
      <c r="P847" s="35" t="s">
        <v>5275</v>
      </c>
    </row>
    <row r="848" spans="1:16">
      <c r="A848" s="35">
        <v>4167</v>
      </c>
      <c r="B848" s="36" t="s">
        <v>2496</v>
      </c>
      <c r="C848">
        <f>VLOOKUP(A848,'TABELA SPOLINE'!A:J,10,FALSE)</f>
        <v>105.735</v>
      </c>
      <c r="D848">
        <f t="shared" si="290"/>
        <v>116.3085</v>
      </c>
      <c r="E848">
        <f t="shared" si="291"/>
        <v>116.31</v>
      </c>
      <c r="F848">
        <f t="shared" si="292"/>
        <v>127.65022500000001</v>
      </c>
      <c r="G848">
        <f t="shared" si="293"/>
        <v>127.66000000000001</v>
      </c>
      <c r="H848">
        <v>880</v>
      </c>
      <c r="I848">
        <v>1</v>
      </c>
      <c r="J848" s="35" t="s">
        <v>3879</v>
      </c>
      <c r="K848" t="str">
        <f t="shared" si="289"/>
        <v>4167</v>
      </c>
      <c r="L848" s="36" t="s">
        <v>4874</v>
      </c>
      <c r="M848" s="35">
        <v>7629</v>
      </c>
      <c r="N848" s="36" t="s">
        <v>5269</v>
      </c>
      <c r="O848" s="35" t="s">
        <v>5736</v>
      </c>
      <c r="P848" s="35" t="s">
        <v>5737</v>
      </c>
    </row>
    <row r="849" spans="1:16" hidden="1">
      <c r="A849" s="35">
        <v>4168</v>
      </c>
      <c r="B849" s="36" t="s">
        <v>2497</v>
      </c>
      <c r="C849" t="e">
        <f>VLOOKUP(A849,'TABELA SPOLINE'!A:J,10,FALSE)</f>
        <v>#N/A</v>
      </c>
      <c r="H849">
        <v>880</v>
      </c>
      <c r="I849">
        <v>1</v>
      </c>
      <c r="J849" s="35" t="s">
        <v>3880</v>
      </c>
      <c r="K849" t="str">
        <f t="shared" si="289"/>
        <v>4168</v>
      </c>
      <c r="L849" s="36" t="s">
        <v>4875</v>
      </c>
      <c r="M849" s="35">
        <v>7629</v>
      </c>
      <c r="N849" s="36" t="s">
        <v>5269</v>
      </c>
      <c r="O849" s="35" t="s">
        <v>5736</v>
      </c>
      <c r="P849" s="35" t="s">
        <v>5737</v>
      </c>
    </row>
    <row r="850" spans="1:16">
      <c r="A850" s="35">
        <v>4170</v>
      </c>
      <c r="B850" s="36" t="s">
        <v>2635</v>
      </c>
      <c r="C850">
        <f>VLOOKUP(A850,'TABELA SPOLINE'!A:J,10,FALSE)</f>
        <v>137.5668</v>
      </c>
      <c r="D850">
        <f t="shared" ref="D850:D851" si="294">C850*0.1+C850</f>
        <v>151.32347999999999</v>
      </c>
      <c r="E850">
        <f t="shared" ref="E850:E851" si="295">ROUNDUP(D850,2)</f>
        <v>151.32999999999998</v>
      </c>
      <c r="F850">
        <f t="shared" ref="F850:F851" si="296">E850*0.0975+E850</f>
        <v>166.08467499999998</v>
      </c>
      <c r="G850">
        <f t="shared" ref="G850:G851" si="297">ROUNDUP(F850,2)</f>
        <v>166.09</v>
      </c>
      <c r="H850">
        <v>897</v>
      </c>
      <c r="I850">
        <v>1</v>
      </c>
      <c r="J850" s="35" t="s">
        <v>4018</v>
      </c>
      <c r="K850" t="str">
        <f t="shared" si="289"/>
        <v>4170</v>
      </c>
      <c r="L850" s="36" t="s">
        <v>4876</v>
      </c>
      <c r="M850" s="35">
        <v>7629</v>
      </c>
      <c r="N850" s="36" t="s">
        <v>5269</v>
      </c>
      <c r="O850" s="35" t="s">
        <v>5738</v>
      </c>
      <c r="P850" s="35" t="s">
        <v>5739</v>
      </c>
    </row>
    <row r="851" spans="1:16">
      <c r="A851" s="35">
        <v>4171</v>
      </c>
      <c r="B851" s="36" t="s">
        <v>2630</v>
      </c>
      <c r="C851">
        <f>VLOOKUP(A851,'TABELA SPOLINE'!A:J,10,FALSE)</f>
        <v>185.87100000000001</v>
      </c>
      <c r="D851">
        <f t="shared" si="294"/>
        <v>204.4581</v>
      </c>
      <c r="E851">
        <f t="shared" si="295"/>
        <v>204.45999999999998</v>
      </c>
      <c r="F851">
        <f t="shared" si="296"/>
        <v>224.39484999999996</v>
      </c>
      <c r="G851">
        <f t="shared" si="297"/>
        <v>224.39999999999998</v>
      </c>
      <c r="H851">
        <v>895</v>
      </c>
      <c r="I851">
        <v>1</v>
      </c>
      <c r="J851" s="35" t="s">
        <v>4013</v>
      </c>
      <c r="K851" t="str">
        <f t="shared" si="289"/>
        <v>4171</v>
      </c>
      <c r="L851" s="36" t="s">
        <v>4877</v>
      </c>
      <c r="M851" s="35">
        <v>7629</v>
      </c>
      <c r="N851" s="36" t="s">
        <v>5269</v>
      </c>
      <c r="O851" s="35" t="s">
        <v>5738</v>
      </c>
      <c r="P851" s="35" t="s">
        <v>5739</v>
      </c>
    </row>
    <row r="852" spans="1:16" hidden="1">
      <c r="A852" s="35">
        <v>4172</v>
      </c>
      <c r="B852" s="36" t="s">
        <v>2499</v>
      </c>
      <c r="C852" t="e">
        <f>VLOOKUP(A852,'TABELA SPOLINE'!A:J,10,FALSE)</f>
        <v>#N/A</v>
      </c>
      <c r="H852">
        <v>881</v>
      </c>
      <c r="I852">
        <v>1</v>
      </c>
      <c r="J852" s="35" t="s">
        <v>3882</v>
      </c>
      <c r="K852" t="str">
        <f t="shared" si="289"/>
        <v>4172</v>
      </c>
      <c r="L852" s="36" t="s">
        <v>4878</v>
      </c>
      <c r="M852" s="35">
        <v>7629</v>
      </c>
      <c r="N852" s="36" t="s">
        <v>5269</v>
      </c>
      <c r="O852" s="35" t="s">
        <v>5740</v>
      </c>
      <c r="P852" s="35" t="s">
        <v>5741</v>
      </c>
    </row>
    <row r="853" spans="1:16">
      <c r="A853" s="35">
        <v>4173</v>
      </c>
      <c r="B853" s="36" t="s">
        <v>2631</v>
      </c>
      <c r="C853">
        <f>VLOOKUP(A853,'TABELA SPOLINE'!A:J,10,FALSE)</f>
        <v>185.87100000000001</v>
      </c>
      <c r="D853">
        <f>C853*0.1+C853</f>
        <v>204.4581</v>
      </c>
      <c r="E853">
        <f>ROUNDUP(D853,2)</f>
        <v>204.45999999999998</v>
      </c>
      <c r="F853">
        <f>E853*0.0975+E853</f>
        <v>224.39484999999996</v>
      </c>
      <c r="G853">
        <f>ROUNDUP(F853,2)</f>
        <v>224.39999999999998</v>
      </c>
      <c r="H853">
        <v>895</v>
      </c>
      <c r="I853">
        <v>1</v>
      </c>
      <c r="J853" s="35" t="s">
        <v>4014</v>
      </c>
      <c r="K853" t="str">
        <f t="shared" si="289"/>
        <v>4173</v>
      </c>
      <c r="L853" s="36" t="s">
        <v>4879</v>
      </c>
      <c r="M853" s="35">
        <v>7629</v>
      </c>
      <c r="N853" s="36" t="s">
        <v>5269</v>
      </c>
      <c r="O853" s="35" t="s">
        <v>5742</v>
      </c>
      <c r="P853" s="35" t="s">
        <v>5743</v>
      </c>
    </row>
    <row r="854" spans="1:16" hidden="1">
      <c r="A854" s="35">
        <v>4174</v>
      </c>
      <c r="B854" s="36" t="s">
        <v>2500</v>
      </c>
      <c r="C854" t="e">
        <f>VLOOKUP(A854,'TABELA SPOLINE'!A:J,10,FALSE)</f>
        <v>#N/A</v>
      </c>
      <c r="H854">
        <v>881</v>
      </c>
      <c r="I854">
        <v>1</v>
      </c>
      <c r="J854" s="35" t="s">
        <v>3883</v>
      </c>
      <c r="K854" t="str">
        <f t="shared" si="289"/>
        <v>4174</v>
      </c>
      <c r="L854" s="36" t="s">
        <v>4880</v>
      </c>
      <c r="M854" s="35">
        <v>7629</v>
      </c>
      <c r="N854" s="36" t="s">
        <v>5269</v>
      </c>
      <c r="O854" s="35" t="s">
        <v>5740</v>
      </c>
      <c r="P854" s="35" t="s">
        <v>5741</v>
      </c>
    </row>
    <row r="855" spans="1:16" hidden="1">
      <c r="A855" s="35">
        <v>4175</v>
      </c>
      <c r="B855" s="36" t="s">
        <v>2501</v>
      </c>
      <c r="C855" t="e">
        <f>VLOOKUP(A855,'TABELA SPOLINE'!A:J,10,FALSE)</f>
        <v>#N/A</v>
      </c>
      <c r="H855">
        <v>881</v>
      </c>
      <c r="I855">
        <v>1</v>
      </c>
      <c r="J855" s="35" t="s">
        <v>3884</v>
      </c>
      <c r="K855" t="str">
        <f t="shared" si="289"/>
        <v>4175</v>
      </c>
      <c r="L855" s="36" t="s">
        <v>4880</v>
      </c>
      <c r="M855" s="35">
        <v>7629</v>
      </c>
      <c r="N855" s="36" t="s">
        <v>5269</v>
      </c>
      <c r="O855" s="35" t="s">
        <v>5744</v>
      </c>
      <c r="P855" s="35" t="s">
        <v>5745</v>
      </c>
    </row>
    <row r="856" spans="1:16">
      <c r="A856" s="35">
        <v>4176</v>
      </c>
      <c r="B856" s="36" t="s">
        <v>2633</v>
      </c>
      <c r="C856">
        <f>VLOOKUP(A856,'TABELA SPOLINE'!A:J,10,FALSE)</f>
        <v>222.60000000000002</v>
      </c>
      <c r="D856">
        <f>C856*0.1+C856</f>
        <v>244.86</v>
      </c>
      <c r="E856">
        <f>ROUNDUP(D856,2)</f>
        <v>244.86</v>
      </c>
      <c r="F856">
        <f>E856*0.0975+E856</f>
        <v>268.73385000000002</v>
      </c>
      <c r="G856">
        <f>ROUNDUP(F856,2)</f>
        <v>268.74</v>
      </c>
      <c r="H856">
        <v>895</v>
      </c>
      <c r="I856">
        <v>1</v>
      </c>
      <c r="J856" s="35" t="s">
        <v>4016</v>
      </c>
      <c r="K856" t="str">
        <f t="shared" si="289"/>
        <v>4176</v>
      </c>
      <c r="L856" s="36" t="s">
        <v>4881</v>
      </c>
      <c r="M856" s="35">
        <v>7629</v>
      </c>
      <c r="N856" s="36" t="s">
        <v>5269</v>
      </c>
      <c r="O856" s="35" t="s">
        <v>5744</v>
      </c>
      <c r="P856" s="35" t="s">
        <v>5745</v>
      </c>
    </row>
    <row r="857" spans="1:16" hidden="1">
      <c r="A857" s="35">
        <v>4177</v>
      </c>
      <c r="B857" s="36" t="s">
        <v>2502</v>
      </c>
      <c r="C857" t="e">
        <f>VLOOKUP(A857,'TABELA SPOLINE'!A:J,10,FALSE)</f>
        <v>#N/A</v>
      </c>
      <c r="H857">
        <v>881</v>
      </c>
      <c r="I857">
        <v>1</v>
      </c>
      <c r="J857" s="35" t="s">
        <v>3885</v>
      </c>
      <c r="K857" t="str">
        <f t="shared" si="289"/>
        <v>4177</v>
      </c>
      <c r="L857" s="36" t="s">
        <v>4882</v>
      </c>
      <c r="M857" s="35">
        <v>7629</v>
      </c>
      <c r="N857" s="36" t="s">
        <v>5269</v>
      </c>
      <c r="O857" s="35" t="s">
        <v>5746</v>
      </c>
      <c r="P857" s="35" t="s">
        <v>5747</v>
      </c>
    </row>
    <row r="858" spans="1:16" hidden="1">
      <c r="A858" s="35">
        <v>4178</v>
      </c>
      <c r="B858" s="36" t="s">
        <v>2503</v>
      </c>
      <c r="C858" t="e">
        <f>VLOOKUP(A858,'TABELA SPOLINE'!A:J,10,FALSE)</f>
        <v>#N/A</v>
      </c>
      <c r="H858">
        <v>881</v>
      </c>
      <c r="I858">
        <v>1</v>
      </c>
      <c r="J858" s="35" t="s">
        <v>3886</v>
      </c>
      <c r="K858" t="str">
        <f t="shared" si="289"/>
        <v>4178</v>
      </c>
      <c r="L858" s="36" t="s">
        <v>4882</v>
      </c>
      <c r="M858" s="35">
        <v>7629</v>
      </c>
      <c r="N858" s="36" t="s">
        <v>5269</v>
      </c>
      <c r="O858" s="35" t="s">
        <v>5746</v>
      </c>
      <c r="P858" s="35" t="s">
        <v>5747</v>
      </c>
    </row>
    <row r="859" spans="1:16" hidden="1">
      <c r="A859" s="35">
        <v>4179</v>
      </c>
      <c r="B859" s="36" t="s">
        <v>2504</v>
      </c>
      <c r="C859" t="e">
        <f>VLOOKUP(A859,'TABELA SPOLINE'!A:J,10,FALSE)</f>
        <v>#N/A</v>
      </c>
      <c r="H859">
        <v>881</v>
      </c>
      <c r="I859">
        <v>1</v>
      </c>
      <c r="J859" s="35" t="s">
        <v>3887</v>
      </c>
      <c r="K859" t="str">
        <f t="shared" si="289"/>
        <v>4179</v>
      </c>
      <c r="L859" s="36" t="s">
        <v>4883</v>
      </c>
      <c r="M859" s="35">
        <v>7629</v>
      </c>
      <c r="N859" s="36" t="s">
        <v>5269</v>
      </c>
      <c r="O859" s="35" t="s">
        <v>5746</v>
      </c>
      <c r="P859" s="35" t="s">
        <v>5747</v>
      </c>
    </row>
    <row r="860" spans="1:16" hidden="1">
      <c r="A860" s="35">
        <v>4180</v>
      </c>
      <c r="B860" s="36" t="s">
        <v>2505</v>
      </c>
      <c r="C860" t="e">
        <f>VLOOKUP(A860,'TABELA SPOLINE'!A:J,10,FALSE)</f>
        <v>#N/A</v>
      </c>
      <c r="H860">
        <v>881</v>
      </c>
      <c r="I860">
        <v>1</v>
      </c>
      <c r="J860" s="35" t="s">
        <v>3888</v>
      </c>
      <c r="K860" t="str">
        <f t="shared" si="289"/>
        <v>4180</v>
      </c>
      <c r="L860" s="36" t="s">
        <v>4884</v>
      </c>
      <c r="M860" s="35">
        <v>7629</v>
      </c>
      <c r="N860" s="36" t="s">
        <v>5269</v>
      </c>
      <c r="O860" s="35" t="s">
        <v>5746</v>
      </c>
      <c r="P860" s="35" t="s">
        <v>5747</v>
      </c>
    </row>
    <row r="861" spans="1:16" hidden="1">
      <c r="A861" s="35">
        <v>4181</v>
      </c>
      <c r="B861" s="36" t="s">
        <v>2636</v>
      </c>
      <c r="C861" t="e">
        <f>VLOOKUP(A861,'TABELA SPOLINE'!A:J,10,FALSE)</f>
        <v>#N/A</v>
      </c>
      <c r="H861">
        <v>897</v>
      </c>
      <c r="I861">
        <v>1</v>
      </c>
      <c r="J861" s="35" t="s">
        <v>4019</v>
      </c>
      <c r="K861" t="str">
        <f t="shared" si="289"/>
        <v>4181</v>
      </c>
      <c r="L861" s="36" t="s">
        <v>4885</v>
      </c>
      <c r="M861" s="35">
        <v>7629</v>
      </c>
      <c r="N861" s="36" t="s">
        <v>5269</v>
      </c>
      <c r="O861" s="35" t="s">
        <v>5746</v>
      </c>
      <c r="P861" s="35" t="s">
        <v>5747</v>
      </c>
    </row>
    <row r="862" spans="1:16" hidden="1">
      <c r="A862" s="35">
        <v>4182</v>
      </c>
      <c r="B862" s="36" t="s">
        <v>2506</v>
      </c>
      <c r="C862" t="e">
        <f>VLOOKUP(A862,'TABELA SPOLINE'!A:J,10,FALSE)</f>
        <v>#N/A</v>
      </c>
      <c r="H862">
        <v>882</v>
      </c>
      <c r="I862">
        <v>1</v>
      </c>
      <c r="J862" s="35" t="s">
        <v>3889</v>
      </c>
      <c r="K862" t="str">
        <f t="shared" si="289"/>
        <v>4182</v>
      </c>
      <c r="L862" s="36" t="s">
        <v>4886</v>
      </c>
      <c r="M862" s="35">
        <v>7629</v>
      </c>
      <c r="N862" s="36" t="s">
        <v>5269</v>
      </c>
      <c r="O862" s="35" t="s">
        <v>5726</v>
      </c>
      <c r="P862" s="35" t="s">
        <v>5727</v>
      </c>
    </row>
    <row r="863" spans="1:16" hidden="1">
      <c r="A863" s="35">
        <v>4183</v>
      </c>
      <c r="B863" s="36" t="s">
        <v>2637</v>
      </c>
      <c r="C863" t="e">
        <f>VLOOKUP(A863,'TABELA SPOLINE'!A:J,10,FALSE)</f>
        <v>#N/A</v>
      </c>
      <c r="H863">
        <v>897</v>
      </c>
      <c r="I863">
        <v>1</v>
      </c>
      <c r="J863" s="35" t="s">
        <v>4020</v>
      </c>
      <c r="K863" t="str">
        <f t="shared" si="289"/>
        <v>4183</v>
      </c>
      <c r="L863" s="36" t="s">
        <v>4887</v>
      </c>
      <c r="M863" s="35">
        <v>7629</v>
      </c>
      <c r="N863" s="36" t="s">
        <v>5269</v>
      </c>
      <c r="O863" s="35" t="s">
        <v>5726</v>
      </c>
      <c r="P863" s="35" t="s">
        <v>5727</v>
      </c>
    </row>
    <row r="864" spans="1:16" hidden="1">
      <c r="A864" s="35">
        <v>4189</v>
      </c>
      <c r="B864" s="36" t="s">
        <v>2638</v>
      </c>
      <c r="C864" t="e">
        <f>VLOOKUP(A864,'TABELA SPOLINE'!A:J,10,FALSE)</f>
        <v>#N/A</v>
      </c>
      <c r="H864">
        <v>897</v>
      </c>
      <c r="I864">
        <v>1</v>
      </c>
      <c r="J864" s="35" t="s">
        <v>4021</v>
      </c>
      <c r="K864" t="str">
        <f t="shared" si="289"/>
        <v>4189</v>
      </c>
      <c r="L864" s="36" t="s">
        <v>4888</v>
      </c>
      <c r="M864" s="35">
        <v>7629</v>
      </c>
      <c r="N864" s="36" t="s">
        <v>5269</v>
      </c>
      <c r="O864" s="35" t="s">
        <v>5748</v>
      </c>
      <c r="P864" s="35" t="s">
        <v>5749</v>
      </c>
    </row>
    <row r="865" spans="1:16">
      <c r="A865" s="35">
        <v>4190</v>
      </c>
      <c r="B865" s="36" t="s">
        <v>2639</v>
      </c>
      <c r="C865">
        <f>VLOOKUP(A865,'TABELA SPOLINE'!A:J,10,FALSE)</f>
        <v>137.5668</v>
      </c>
      <c r="D865">
        <f t="shared" ref="D865:D872" si="298">C865*0.1+C865</f>
        <v>151.32347999999999</v>
      </c>
      <c r="E865">
        <f t="shared" ref="E865:E872" si="299">ROUNDUP(D865,2)</f>
        <v>151.32999999999998</v>
      </c>
      <c r="F865">
        <f t="shared" ref="F865:F872" si="300">E865*0.0975+E865</f>
        <v>166.08467499999998</v>
      </c>
      <c r="G865">
        <f t="shared" ref="G865:G872" si="301">ROUNDUP(F865,2)</f>
        <v>166.09</v>
      </c>
      <c r="H865">
        <v>897</v>
      </c>
      <c r="I865">
        <v>1</v>
      </c>
      <c r="J865" s="35" t="s">
        <v>4022</v>
      </c>
      <c r="K865" t="str">
        <f t="shared" si="289"/>
        <v>4190</v>
      </c>
      <c r="L865" s="36" t="s">
        <v>4889</v>
      </c>
      <c r="M865" s="35">
        <v>7629</v>
      </c>
      <c r="N865" s="36" t="s">
        <v>5269</v>
      </c>
      <c r="O865" s="35" t="s">
        <v>5748</v>
      </c>
      <c r="P865" s="35" t="s">
        <v>5749</v>
      </c>
    </row>
    <row r="866" spans="1:16">
      <c r="A866" s="35">
        <v>4191</v>
      </c>
      <c r="B866" s="36" t="s">
        <v>2640</v>
      </c>
      <c r="C866">
        <f>VLOOKUP(A866,'TABELA SPOLINE'!A:J,10,FALSE)</f>
        <v>114.63900000000001</v>
      </c>
      <c r="D866">
        <f t="shared" si="298"/>
        <v>126.10290000000001</v>
      </c>
      <c r="E866">
        <f t="shared" si="299"/>
        <v>126.11</v>
      </c>
      <c r="F866">
        <f t="shared" si="300"/>
        <v>138.40572499999999</v>
      </c>
      <c r="G866">
        <f t="shared" si="301"/>
        <v>138.41</v>
      </c>
      <c r="H866">
        <v>897</v>
      </c>
      <c r="I866">
        <v>1</v>
      </c>
      <c r="J866" s="35" t="s">
        <v>4023</v>
      </c>
      <c r="K866" t="str">
        <f t="shared" si="289"/>
        <v>4191</v>
      </c>
      <c r="L866" s="36" t="s">
        <v>4890</v>
      </c>
      <c r="M866" s="35">
        <v>7629</v>
      </c>
      <c r="N866" s="36" t="s">
        <v>5269</v>
      </c>
      <c r="O866" s="35" t="s">
        <v>5750</v>
      </c>
      <c r="P866" s="35" t="s">
        <v>5751</v>
      </c>
    </row>
    <row r="867" spans="1:16">
      <c r="A867" s="35">
        <v>4192</v>
      </c>
      <c r="B867" s="36" t="s">
        <v>2641</v>
      </c>
      <c r="C867">
        <f>VLOOKUP(A867,'TABELA SPOLINE'!A:J,10,FALSE)</f>
        <v>149.58720000000002</v>
      </c>
      <c r="D867">
        <f t="shared" si="298"/>
        <v>164.54592000000002</v>
      </c>
      <c r="E867">
        <f t="shared" si="299"/>
        <v>164.54999999999998</v>
      </c>
      <c r="F867">
        <f t="shared" si="300"/>
        <v>180.59362499999997</v>
      </c>
      <c r="G867">
        <f t="shared" si="301"/>
        <v>180.6</v>
      </c>
      <c r="H867">
        <v>988</v>
      </c>
      <c r="I867">
        <v>1</v>
      </c>
      <c r="J867" s="35" t="s">
        <v>4024</v>
      </c>
      <c r="K867" t="str">
        <f t="shared" si="289"/>
        <v>4192</v>
      </c>
      <c r="L867" s="36" t="s">
        <v>4891</v>
      </c>
      <c r="M867" s="35">
        <v>7629</v>
      </c>
      <c r="N867" s="36" t="s">
        <v>5269</v>
      </c>
      <c r="O867" s="35" t="s">
        <v>5748</v>
      </c>
      <c r="P867" s="35" t="s">
        <v>5749</v>
      </c>
    </row>
    <row r="868" spans="1:16">
      <c r="A868" s="35">
        <v>4193</v>
      </c>
      <c r="B868" s="36" t="s">
        <v>2642</v>
      </c>
      <c r="C868">
        <f>VLOOKUP(A868,'TABELA SPOLINE'!A:J,10,FALSE)</f>
        <v>149.58720000000002</v>
      </c>
      <c r="D868">
        <f t="shared" si="298"/>
        <v>164.54592000000002</v>
      </c>
      <c r="E868">
        <f t="shared" si="299"/>
        <v>164.54999999999998</v>
      </c>
      <c r="F868">
        <f t="shared" si="300"/>
        <v>180.59362499999997</v>
      </c>
      <c r="G868">
        <f t="shared" si="301"/>
        <v>180.6</v>
      </c>
      <c r="H868">
        <v>988</v>
      </c>
      <c r="I868">
        <v>1</v>
      </c>
      <c r="J868" s="35" t="s">
        <v>4025</v>
      </c>
      <c r="K868" t="str">
        <f t="shared" si="289"/>
        <v>4193</v>
      </c>
      <c r="L868" s="36" t="s">
        <v>4891</v>
      </c>
      <c r="M868" s="35">
        <v>7629</v>
      </c>
      <c r="N868" s="36" t="s">
        <v>5269</v>
      </c>
      <c r="O868" s="35" t="s">
        <v>5748</v>
      </c>
      <c r="P868" s="35" t="s">
        <v>5749</v>
      </c>
    </row>
    <row r="869" spans="1:16">
      <c r="A869" s="35">
        <v>4194</v>
      </c>
      <c r="B869" s="36" t="s">
        <v>2643</v>
      </c>
      <c r="C869">
        <f>VLOOKUP(A869,'TABELA SPOLINE'!A:J,10,FALSE)</f>
        <v>124.65600000000001</v>
      </c>
      <c r="D869">
        <f t="shared" si="298"/>
        <v>137.1216</v>
      </c>
      <c r="E869">
        <f t="shared" si="299"/>
        <v>137.13</v>
      </c>
      <c r="F869">
        <f t="shared" si="300"/>
        <v>150.50017499999998</v>
      </c>
      <c r="G869">
        <f t="shared" si="301"/>
        <v>150.51</v>
      </c>
      <c r="H869">
        <v>988</v>
      </c>
      <c r="I869">
        <v>1</v>
      </c>
      <c r="J869" s="35" t="s">
        <v>4026</v>
      </c>
      <c r="K869" t="str">
        <f t="shared" si="289"/>
        <v>4194</v>
      </c>
      <c r="L869" s="36" t="s">
        <v>4892</v>
      </c>
      <c r="M869" s="35">
        <v>7629</v>
      </c>
      <c r="N869" s="36" t="s">
        <v>5269</v>
      </c>
      <c r="O869" s="35" t="s">
        <v>5748</v>
      </c>
      <c r="P869" s="35" t="s">
        <v>5749</v>
      </c>
    </row>
    <row r="870" spans="1:16">
      <c r="A870" s="35">
        <v>4195</v>
      </c>
      <c r="B870" s="36" t="s">
        <v>2644</v>
      </c>
      <c r="C870">
        <f>VLOOKUP(A870,'TABELA SPOLINE'!A:J,10,FALSE)</f>
        <v>124.65600000000001</v>
      </c>
      <c r="D870">
        <f t="shared" si="298"/>
        <v>137.1216</v>
      </c>
      <c r="E870">
        <f t="shared" si="299"/>
        <v>137.13</v>
      </c>
      <c r="F870">
        <f t="shared" si="300"/>
        <v>150.50017499999998</v>
      </c>
      <c r="G870">
        <f t="shared" si="301"/>
        <v>150.51</v>
      </c>
      <c r="H870">
        <v>988</v>
      </c>
      <c r="I870">
        <v>1</v>
      </c>
      <c r="J870" s="35" t="s">
        <v>4027</v>
      </c>
      <c r="K870" t="str">
        <f t="shared" si="289"/>
        <v>4195</v>
      </c>
      <c r="L870" s="36" t="s">
        <v>4893</v>
      </c>
      <c r="M870" s="35">
        <v>7629</v>
      </c>
      <c r="N870" s="36" t="s">
        <v>5269</v>
      </c>
      <c r="O870" s="35" t="s">
        <v>5752</v>
      </c>
      <c r="P870" s="35" t="s">
        <v>5753</v>
      </c>
    </row>
    <row r="871" spans="1:16">
      <c r="A871" s="35">
        <v>4196</v>
      </c>
      <c r="B871" s="36" t="s">
        <v>2645</v>
      </c>
      <c r="C871">
        <f>VLOOKUP(A871,'TABELA SPOLINE'!A:J,10,FALSE)</f>
        <v>124.65600000000001</v>
      </c>
      <c r="D871">
        <f t="shared" si="298"/>
        <v>137.1216</v>
      </c>
      <c r="E871">
        <f t="shared" si="299"/>
        <v>137.13</v>
      </c>
      <c r="F871">
        <f t="shared" si="300"/>
        <v>150.50017499999998</v>
      </c>
      <c r="G871">
        <f t="shared" si="301"/>
        <v>150.51</v>
      </c>
      <c r="H871">
        <v>988</v>
      </c>
      <c r="I871">
        <v>1</v>
      </c>
      <c r="J871" s="35" t="s">
        <v>4028</v>
      </c>
      <c r="K871" t="str">
        <f t="shared" si="289"/>
        <v>4196</v>
      </c>
      <c r="L871" s="36" t="s">
        <v>4894</v>
      </c>
      <c r="M871" s="35">
        <v>7629</v>
      </c>
      <c r="N871" s="36" t="s">
        <v>5269</v>
      </c>
      <c r="O871" s="35" t="s">
        <v>5752</v>
      </c>
      <c r="P871" s="35" t="s">
        <v>5753</v>
      </c>
    </row>
    <row r="872" spans="1:16">
      <c r="A872" s="35">
        <v>4197</v>
      </c>
      <c r="B872" s="36" t="s">
        <v>2646</v>
      </c>
      <c r="C872">
        <f>VLOOKUP(A872,'TABELA SPOLINE'!A:J,10,FALSE)</f>
        <v>124.65600000000001</v>
      </c>
      <c r="D872">
        <f t="shared" si="298"/>
        <v>137.1216</v>
      </c>
      <c r="E872">
        <f t="shared" si="299"/>
        <v>137.13</v>
      </c>
      <c r="F872">
        <f t="shared" si="300"/>
        <v>150.50017499999998</v>
      </c>
      <c r="G872">
        <f t="shared" si="301"/>
        <v>150.51</v>
      </c>
      <c r="H872">
        <v>988</v>
      </c>
      <c r="I872">
        <v>1</v>
      </c>
      <c r="J872" s="35" t="s">
        <v>4029</v>
      </c>
      <c r="K872" t="str">
        <f t="shared" si="289"/>
        <v>4197</v>
      </c>
      <c r="L872" s="36" t="s">
        <v>4895</v>
      </c>
      <c r="M872" s="35">
        <v>7629</v>
      </c>
      <c r="N872" s="36" t="s">
        <v>5269</v>
      </c>
      <c r="O872" s="35" t="s">
        <v>5752</v>
      </c>
      <c r="P872" s="35" t="s">
        <v>5753</v>
      </c>
    </row>
    <row r="873" spans="1:16" hidden="1">
      <c r="A873" s="35">
        <v>4200</v>
      </c>
      <c r="B873" s="36" t="s">
        <v>2507</v>
      </c>
      <c r="C873" t="e">
        <f>VLOOKUP(A873,'TABELA SPOLINE'!A:J,10,FALSE)</f>
        <v>#N/A</v>
      </c>
      <c r="H873">
        <v>882</v>
      </c>
      <c r="I873">
        <v>1</v>
      </c>
      <c r="J873" s="35" t="s">
        <v>3890</v>
      </c>
      <c r="K873" t="str">
        <f t="shared" si="289"/>
        <v>4200</v>
      </c>
      <c r="L873" s="36" t="s">
        <v>4896</v>
      </c>
      <c r="M873" s="35">
        <v>7629</v>
      </c>
      <c r="N873" s="36" t="s">
        <v>5269</v>
      </c>
      <c r="O873" s="35" t="s">
        <v>5752</v>
      </c>
      <c r="P873" s="35" t="s">
        <v>5753</v>
      </c>
    </row>
    <row r="874" spans="1:16" hidden="1">
      <c r="A874" s="35">
        <v>4201</v>
      </c>
      <c r="B874" s="36" t="s">
        <v>2508</v>
      </c>
      <c r="C874" t="e">
        <f>VLOOKUP(A874,'TABELA SPOLINE'!A:J,10,FALSE)</f>
        <v>#N/A</v>
      </c>
      <c r="H874">
        <v>882</v>
      </c>
      <c r="I874">
        <v>1</v>
      </c>
      <c r="J874" s="35" t="s">
        <v>3891</v>
      </c>
      <c r="K874" t="str">
        <f t="shared" si="289"/>
        <v>4201</v>
      </c>
      <c r="L874" s="36" t="s">
        <v>4897</v>
      </c>
      <c r="M874" s="35">
        <v>7629</v>
      </c>
      <c r="N874" s="36" t="s">
        <v>5269</v>
      </c>
      <c r="O874" s="35" t="s">
        <v>5754</v>
      </c>
      <c r="P874" s="35" t="s">
        <v>5755</v>
      </c>
    </row>
    <row r="875" spans="1:16" hidden="1">
      <c r="A875" s="35">
        <v>4202</v>
      </c>
      <c r="B875" s="36" t="s">
        <v>2509</v>
      </c>
      <c r="C875" t="e">
        <f>VLOOKUP(A875,'TABELA SPOLINE'!A:J,10,FALSE)</f>
        <v>#N/A</v>
      </c>
      <c r="H875">
        <v>882</v>
      </c>
      <c r="I875">
        <v>1</v>
      </c>
      <c r="J875" s="35" t="s">
        <v>3892</v>
      </c>
      <c r="K875" t="str">
        <f t="shared" si="289"/>
        <v>4202</v>
      </c>
      <c r="L875" s="36" t="s">
        <v>4898</v>
      </c>
      <c r="M875" s="35">
        <v>7629</v>
      </c>
      <c r="N875" s="36" t="s">
        <v>5269</v>
      </c>
      <c r="O875" s="35" t="s">
        <v>5754</v>
      </c>
      <c r="P875" s="35" t="s">
        <v>5755</v>
      </c>
    </row>
    <row r="876" spans="1:16" hidden="1">
      <c r="A876" s="35">
        <v>4203</v>
      </c>
      <c r="B876" s="36" t="s">
        <v>2510</v>
      </c>
      <c r="C876" t="e">
        <f>VLOOKUP(A876,'TABELA SPOLINE'!A:J,10,FALSE)</f>
        <v>#N/A</v>
      </c>
      <c r="H876">
        <v>882</v>
      </c>
      <c r="I876">
        <v>1</v>
      </c>
      <c r="J876" s="35" t="s">
        <v>3893</v>
      </c>
      <c r="K876" t="str">
        <f t="shared" si="289"/>
        <v>4203</v>
      </c>
      <c r="L876" s="36" t="s">
        <v>4898</v>
      </c>
      <c r="M876" s="35">
        <v>7629</v>
      </c>
      <c r="N876" s="36" t="s">
        <v>5269</v>
      </c>
      <c r="O876" s="35" t="s">
        <v>5754</v>
      </c>
      <c r="P876" s="35" t="s">
        <v>5755</v>
      </c>
    </row>
    <row r="877" spans="1:16" hidden="1">
      <c r="A877" s="35">
        <v>4204</v>
      </c>
      <c r="B877" s="36" t="s">
        <v>2511</v>
      </c>
      <c r="C877" t="e">
        <f>VLOOKUP(A877,'TABELA SPOLINE'!A:J,10,FALSE)</f>
        <v>#N/A</v>
      </c>
      <c r="H877">
        <v>882</v>
      </c>
      <c r="I877">
        <v>1</v>
      </c>
      <c r="J877" s="35" t="s">
        <v>3894</v>
      </c>
      <c r="K877" t="str">
        <f t="shared" si="289"/>
        <v>4204</v>
      </c>
      <c r="L877" s="36" t="s">
        <v>4899</v>
      </c>
      <c r="M877" s="35">
        <v>7629</v>
      </c>
      <c r="N877" s="36" t="s">
        <v>5269</v>
      </c>
      <c r="O877" s="35" t="s">
        <v>5754</v>
      </c>
      <c r="P877" s="35" t="s">
        <v>5755</v>
      </c>
    </row>
    <row r="878" spans="1:16" hidden="1">
      <c r="A878" s="35">
        <v>4205</v>
      </c>
      <c r="B878" s="36" t="s">
        <v>2512</v>
      </c>
      <c r="C878" t="e">
        <f>VLOOKUP(A878,'TABELA SPOLINE'!A:J,10,FALSE)</f>
        <v>#N/A</v>
      </c>
      <c r="H878">
        <v>882</v>
      </c>
      <c r="I878">
        <v>1</v>
      </c>
      <c r="J878" s="35" t="s">
        <v>3895</v>
      </c>
      <c r="K878" t="str">
        <f t="shared" si="289"/>
        <v>4205</v>
      </c>
      <c r="L878" s="36" t="s">
        <v>4898</v>
      </c>
      <c r="M878" s="35">
        <v>7629</v>
      </c>
      <c r="N878" s="36" t="s">
        <v>5269</v>
      </c>
      <c r="O878" s="35" t="s">
        <v>5754</v>
      </c>
      <c r="P878" s="35" t="s">
        <v>5755</v>
      </c>
    </row>
    <row r="879" spans="1:16" hidden="1">
      <c r="A879" s="35">
        <v>4206</v>
      </c>
      <c r="B879" s="36" t="s">
        <v>2360</v>
      </c>
      <c r="C879" t="e">
        <f>VLOOKUP(A879,'TABELA SPOLINE'!A:J,10,FALSE)</f>
        <v>#N/A</v>
      </c>
      <c r="H879">
        <v>883</v>
      </c>
      <c r="I879">
        <v>1</v>
      </c>
      <c r="J879" s="35" t="s">
        <v>3745</v>
      </c>
      <c r="K879" t="str">
        <f t="shared" si="289"/>
        <v>4206</v>
      </c>
      <c r="L879" s="36" t="s">
        <v>4898</v>
      </c>
      <c r="M879" s="35">
        <v>7629</v>
      </c>
      <c r="N879" s="36" t="s">
        <v>5269</v>
      </c>
      <c r="O879" s="35" t="s">
        <v>5754</v>
      </c>
      <c r="P879" s="35" t="s">
        <v>5755</v>
      </c>
    </row>
    <row r="880" spans="1:16">
      <c r="A880" s="35">
        <v>4207</v>
      </c>
      <c r="B880" s="36" t="s">
        <v>2539</v>
      </c>
      <c r="C880">
        <f>VLOOKUP(A880,'TABELA SPOLINE'!A:J,10,FALSE)</f>
        <v>120.20400000000001</v>
      </c>
      <c r="D880">
        <f>C880*0.1+C880</f>
        <v>132.2244</v>
      </c>
      <c r="E880">
        <f>ROUNDUP(D880,2)</f>
        <v>132.22999999999999</v>
      </c>
      <c r="F880">
        <f>E880*0.0975+E880</f>
        <v>145.12242499999999</v>
      </c>
      <c r="G880">
        <f>ROUNDUP(F880,2)</f>
        <v>145.13</v>
      </c>
      <c r="H880">
        <v>1018</v>
      </c>
      <c r="I880">
        <v>1</v>
      </c>
      <c r="J880" s="35" t="s">
        <v>3922</v>
      </c>
      <c r="K880" t="str">
        <f t="shared" si="289"/>
        <v>4207</v>
      </c>
      <c r="L880" s="36" t="s">
        <v>4900</v>
      </c>
      <c r="M880" s="35">
        <v>7629</v>
      </c>
      <c r="N880" s="36" t="s">
        <v>5269</v>
      </c>
      <c r="O880" s="35" t="s">
        <v>5754</v>
      </c>
      <c r="P880" s="35" t="s">
        <v>5755</v>
      </c>
    </row>
    <row r="881" spans="1:16" hidden="1">
      <c r="A881" s="35">
        <v>4208</v>
      </c>
      <c r="B881" s="36" t="s">
        <v>2361</v>
      </c>
      <c r="C881" t="e">
        <f>VLOOKUP(A881,'TABELA SPOLINE'!A:J,10,FALSE)</f>
        <v>#N/A</v>
      </c>
      <c r="H881">
        <v>883</v>
      </c>
      <c r="I881">
        <v>1</v>
      </c>
      <c r="J881" s="35" t="s">
        <v>3746</v>
      </c>
      <c r="K881" t="str">
        <f t="shared" si="289"/>
        <v>4208</v>
      </c>
      <c r="L881" s="36" t="s">
        <v>4900</v>
      </c>
      <c r="M881" s="35">
        <v>7629</v>
      </c>
      <c r="N881" s="36" t="s">
        <v>5269</v>
      </c>
      <c r="O881" s="35" t="s">
        <v>5754</v>
      </c>
      <c r="P881" s="35" t="s">
        <v>5755</v>
      </c>
    </row>
    <row r="882" spans="1:16" hidden="1">
      <c r="A882" s="35">
        <v>4209</v>
      </c>
      <c r="B882" s="36" t="s">
        <v>2362</v>
      </c>
      <c r="C882" t="e">
        <f>VLOOKUP(A882,'TABELA SPOLINE'!A:J,10,FALSE)</f>
        <v>#N/A</v>
      </c>
      <c r="H882">
        <v>883</v>
      </c>
      <c r="I882">
        <v>1</v>
      </c>
      <c r="J882" s="35" t="s">
        <v>3747</v>
      </c>
      <c r="K882" t="str">
        <f t="shared" si="289"/>
        <v>4209</v>
      </c>
      <c r="L882" s="36" t="s">
        <v>4901</v>
      </c>
      <c r="M882" s="35">
        <v>7629</v>
      </c>
      <c r="N882" s="36" t="s">
        <v>5269</v>
      </c>
      <c r="O882" s="35" t="s">
        <v>5754</v>
      </c>
      <c r="P882" s="35" t="s">
        <v>5755</v>
      </c>
    </row>
    <row r="883" spans="1:16">
      <c r="A883" s="35">
        <v>4210</v>
      </c>
      <c r="B883" s="36" t="s">
        <v>2363</v>
      </c>
      <c r="C883">
        <f>VLOOKUP(A883,'TABELA SPOLINE'!A:J,10,FALSE)</f>
        <v>122.43</v>
      </c>
      <c r="D883">
        <f t="shared" ref="D883:D886" si="302">C883*0.1+C883</f>
        <v>134.673</v>
      </c>
      <c r="E883">
        <f t="shared" ref="E883:E886" si="303">ROUNDUP(D883,2)</f>
        <v>134.67999999999998</v>
      </c>
      <c r="F883">
        <f t="shared" ref="F883:F886" si="304">E883*0.0975+E883</f>
        <v>147.81129999999999</v>
      </c>
      <c r="G883">
        <f t="shared" ref="G883:G886" si="305">ROUNDUP(F883,2)</f>
        <v>147.82</v>
      </c>
      <c r="H883">
        <v>884</v>
      </c>
      <c r="I883">
        <v>1</v>
      </c>
      <c r="J883" s="35" t="s">
        <v>3748</v>
      </c>
      <c r="K883" t="str">
        <f t="shared" si="289"/>
        <v>4210</v>
      </c>
      <c r="L883" s="36" t="s">
        <v>4900</v>
      </c>
      <c r="M883" s="35">
        <v>7629</v>
      </c>
      <c r="N883" s="36" t="s">
        <v>5269</v>
      </c>
      <c r="O883" s="35" t="s">
        <v>5754</v>
      </c>
      <c r="P883" s="35" t="s">
        <v>5755</v>
      </c>
    </row>
    <row r="884" spans="1:16">
      <c r="A884" s="35">
        <v>4211</v>
      </c>
      <c r="B884" s="36" t="s">
        <v>2364</v>
      </c>
      <c r="C884">
        <f>VLOOKUP(A884,'TABELA SPOLINE'!A:J,10,FALSE)</f>
        <v>122.43</v>
      </c>
      <c r="D884">
        <f t="shared" si="302"/>
        <v>134.673</v>
      </c>
      <c r="E884">
        <f t="shared" si="303"/>
        <v>134.67999999999998</v>
      </c>
      <c r="F884">
        <f t="shared" si="304"/>
        <v>147.81129999999999</v>
      </c>
      <c r="G884">
        <f t="shared" si="305"/>
        <v>147.82</v>
      </c>
      <c r="H884">
        <v>884</v>
      </c>
      <c r="I884">
        <v>1</v>
      </c>
      <c r="J884" s="35" t="s">
        <v>3749</v>
      </c>
      <c r="K884" t="str">
        <f t="shared" si="289"/>
        <v>4211</v>
      </c>
      <c r="L884" s="36" t="s">
        <v>4900</v>
      </c>
      <c r="M884" s="35">
        <v>7629</v>
      </c>
      <c r="N884" s="36" t="s">
        <v>5269</v>
      </c>
      <c r="O884" s="35" t="s">
        <v>5754</v>
      </c>
      <c r="P884" s="35" t="s">
        <v>5755</v>
      </c>
    </row>
    <row r="885" spans="1:16">
      <c r="A885" s="35">
        <v>4212</v>
      </c>
      <c r="B885" s="36" t="s">
        <v>2365</v>
      </c>
      <c r="C885">
        <f>VLOOKUP(A885,'TABELA SPOLINE'!A:J,10,FALSE)</f>
        <v>122.43</v>
      </c>
      <c r="D885">
        <f t="shared" si="302"/>
        <v>134.673</v>
      </c>
      <c r="E885">
        <f t="shared" si="303"/>
        <v>134.67999999999998</v>
      </c>
      <c r="F885">
        <f t="shared" si="304"/>
        <v>147.81129999999999</v>
      </c>
      <c r="G885">
        <f t="shared" si="305"/>
        <v>147.82</v>
      </c>
      <c r="H885">
        <v>884</v>
      </c>
      <c r="I885">
        <v>1</v>
      </c>
      <c r="J885" s="35" t="s">
        <v>3750</v>
      </c>
      <c r="K885" t="str">
        <f t="shared" si="289"/>
        <v>4212</v>
      </c>
      <c r="L885" s="36" t="s">
        <v>4902</v>
      </c>
      <c r="M885" s="35">
        <v>7629</v>
      </c>
      <c r="N885" s="36" t="s">
        <v>5269</v>
      </c>
      <c r="O885" s="35" t="s">
        <v>5414</v>
      </c>
      <c r="P885" s="35" t="s">
        <v>5415</v>
      </c>
    </row>
    <row r="886" spans="1:16">
      <c r="A886" s="35">
        <v>4213</v>
      </c>
      <c r="B886" s="36" t="s">
        <v>2366</v>
      </c>
      <c r="C886">
        <f>VLOOKUP(A886,'TABELA SPOLINE'!A:J,10,FALSE)</f>
        <v>122.43</v>
      </c>
      <c r="D886">
        <f t="shared" si="302"/>
        <v>134.673</v>
      </c>
      <c r="E886">
        <f t="shared" si="303"/>
        <v>134.67999999999998</v>
      </c>
      <c r="F886">
        <f t="shared" si="304"/>
        <v>147.81129999999999</v>
      </c>
      <c r="G886">
        <f t="shared" si="305"/>
        <v>147.82</v>
      </c>
      <c r="H886">
        <v>884</v>
      </c>
      <c r="I886">
        <v>1</v>
      </c>
      <c r="J886" s="35" t="s">
        <v>3751</v>
      </c>
      <c r="K886" t="str">
        <f t="shared" si="289"/>
        <v>4213</v>
      </c>
      <c r="L886" s="36" t="s">
        <v>4903</v>
      </c>
      <c r="M886" s="35">
        <v>7629</v>
      </c>
      <c r="N886" s="36" t="s">
        <v>5269</v>
      </c>
      <c r="O886" s="35" t="s">
        <v>5414</v>
      </c>
      <c r="P886" s="35" t="s">
        <v>5415</v>
      </c>
    </row>
    <row r="887" spans="1:16" hidden="1">
      <c r="A887" s="35">
        <v>4214</v>
      </c>
      <c r="B887" s="36" t="s">
        <v>2367</v>
      </c>
      <c r="C887" t="e">
        <f>VLOOKUP(A887,'TABELA SPOLINE'!A:J,10,FALSE)</f>
        <v>#N/A</v>
      </c>
      <c r="H887">
        <v>884</v>
      </c>
      <c r="I887">
        <v>1</v>
      </c>
      <c r="J887" s="35" t="s">
        <v>3752</v>
      </c>
      <c r="K887" t="str">
        <f t="shared" si="289"/>
        <v>4214</v>
      </c>
      <c r="L887" s="36" t="s">
        <v>4904</v>
      </c>
      <c r="M887" s="35">
        <v>7629</v>
      </c>
      <c r="N887" s="36" t="s">
        <v>5269</v>
      </c>
      <c r="O887" s="35" t="s">
        <v>5412</v>
      </c>
      <c r="P887" s="35" t="s">
        <v>5413</v>
      </c>
    </row>
    <row r="888" spans="1:16" hidden="1">
      <c r="A888" s="35">
        <v>4215</v>
      </c>
      <c r="B888" s="36" t="s">
        <v>2368</v>
      </c>
      <c r="C888" t="e">
        <f>VLOOKUP(A888,'TABELA SPOLINE'!A:J,10,FALSE)</f>
        <v>#N/A</v>
      </c>
      <c r="H888">
        <v>884</v>
      </c>
      <c r="I888">
        <v>1</v>
      </c>
      <c r="J888" s="35" t="s">
        <v>3753</v>
      </c>
      <c r="K888" t="str">
        <f t="shared" si="289"/>
        <v>4215</v>
      </c>
      <c r="L888" s="36" t="s">
        <v>4905</v>
      </c>
      <c r="M888" s="35">
        <v>7629</v>
      </c>
      <c r="N888" s="36" t="s">
        <v>5269</v>
      </c>
      <c r="O888" s="35" t="s">
        <v>5414</v>
      </c>
      <c r="P888" s="35" t="s">
        <v>5415</v>
      </c>
    </row>
    <row r="889" spans="1:16" hidden="1">
      <c r="A889" s="35">
        <v>4216</v>
      </c>
      <c r="B889" s="36" t="s">
        <v>2369</v>
      </c>
      <c r="C889" t="e">
        <f>VLOOKUP(A889,'TABELA SPOLINE'!A:J,10,FALSE)</f>
        <v>#N/A</v>
      </c>
      <c r="H889">
        <v>884</v>
      </c>
      <c r="I889">
        <v>1</v>
      </c>
      <c r="J889" s="35" t="s">
        <v>3754</v>
      </c>
      <c r="K889" t="str">
        <f t="shared" si="289"/>
        <v>4216</v>
      </c>
      <c r="L889" s="36" t="s">
        <v>4906</v>
      </c>
      <c r="M889" s="35">
        <v>7629</v>
      </c>
      <c r="N889" s="36" t="s">
        <v>5269</v>
      </c>
      <c r="O889" s="35" t="s">
        <v>5414</v>
      </c>
      <c r="P889" s="35" t="s">
        <v>5415</v>
      </c>
    </row>
    <row r="890" spans="1:16" hidden="1">
      <c r="A890" s="35">
        <v>4217</v>
      </c>
      <c r="B890" s="36" t="s">
        <v>2370</v>
      </c>
      <c r="C890" t="e">
        <f>VLOOKUP(A890,'TABELA SPOLINE'!A:J,10,FALSE)</f>
        <v>#N/A</v>
      </c>
      <c r="H890">
        <v>884</v>
      </c>
      <c r="I890">
        <v>1</v>
      </c>
      <c r="J890" s="35" t="s">
        <v>3755</v>
      </c>
      <c r="K890" t="str">
        <f t="shared" si="289"/>
        <v>4217</v>
      </c>
      <c r="L890" s="36" t="s">
        <v>4907</v>
      </c>
      <c r="M890" s="35">
        <v>7629</v>
      </c>
      <c r="N890" s="36" t="s">
        <v>5269</v>
      </c>
      <c r="O890" s="35" t="s">
        <v>5414</v>
      </c>
      <c r="P890" s="35" t="s">
        <v>5415</v>
      </c>
    </row>
    <row r="891" spans="1:16">
      <c r="A891" s="35">
        <v>4218</v>
      </c>
      <c r="B891" s="36" t="s">
        <v>2371</v>
      </c>
      <c r="C891">
        <f>VLOOKUP(A891,'TABELA SPOLINE'!A:J,10,FALSE)</f>
        <v>105.735</v>
      </c>
      <c r="D891">
        <f t="shared" ref="D891:D904" si="306">C891*0.1+C891</f>
        <v>116.3085</v>
      </c>
      <c r="E891">
        <f t="shared" ref="E891:E904" si="307">ROUNDUP(D891,2)</f>
        <v>116.31</v>
      </c>
      <c r="F891">
        <f t="shared" ref="F891:F904" si="308">E891*0.0975+E891</f>
        <v>127.65022500000001</v>
      </c>
      <c r="G891">
        <f t="shared" ref="G891:G904" si="309">ROUNDUP(F891,2)</f>
        <v>127.66000000000001</v>
      </c>
      <c r="H891">
        <v>885</v>
      </c>
      <c r="I891">
        <v>1</v>
      </c>
      <c r="J891" s="35" t="s">
        <v>3756</v>
      </c>
      <c r="K891" t="str">
        <f t="shared" si="289"/>
        <v>4218</v>
      </c>
      <c r="L891" s="36" t="s">
        <v>4908</v>
      </c>
      <c r="M891" s="35">
        <v>7629</v>
      </c>
      <c r="N891" s="36" t="s">
        <v>5269</v>
      </c>
      <c r="O891" s="35" t="s">
        <v>5414</v>
      </c>
      <c r="P891" s="35" t="s">
        <v>5415</v>
      </c>
    </row>
    <row r="892" spans="1:16">
      <c r="A892" s="35">
        <v>4219</v>
      </c>
      <c r="B892" s="36" t="s">
        <v>2372</v>
      </c>
      <c r="C892">
        <f>VLOOKUP(A892,'TABELA SPOLINE'!A:J,10,FALSE)</f>
        <v>105.735</v>
      </c>
      <c r="D892">
        <f t="shared" si="306"/>
        <v>116.3085</v>
      </c>
      <c r="E892">
        <f t="shared" si="307"/>
        <v>116.31</v>
      </c>
      <c r="F892">
        <f t="shared" si="308"/>
        <v>127.65022500000001</v>
      </c>
      <c r="G892">
        <f t="shared" si="309"/>
        <v>127.66000000000001</v>
      </c>
      <c r="H892">
        <v>885</v>
      </c>
      <c r="I892">
        <v>1</v>
      </c>
      <c r="J892" s="35" t="s">
        <v>3757</v>
      </c>
      <c r="K892" t="str">
        <f t="shared" si="289"/>
        <v>4219</v>
      </c>
      <c r="L892" s="36" t="s">
        <v>4909</v>
      </c>
      <c r="M892" s="35">
        <v>7629</v>
      </c>
      <c r="N892" s="36" t="s">
        <v>5269</v>
      </c>
      <c r="O892" s="35" t="s">
        <v>5714</v>
      </c>
      <c r="P892" s="35" t="s">
        <v>5715</v>
      </c>
    </row>
    <row r="893" spans="1:16">
      <c r="A893" s="35">
        <v>4220</v>
      </c>
      <c r="B893" s="36" t="s">
        <v>2375</v>
      </c>
      <c r="C893">
        <f>VLOOKUP(A893,'TABELA SPOLINE'!A:J,10,FALSE)</f>
        <v>126.88200000000001</v>
      </c>
      <c r="D893">
        <f t="shared" si="306"/>
        <v>139.5702</v>
      </c>
      <c r="E893">
        <f t="shared" si="307"/>
        <v>139.57999999999998</v>
      </c>
      <c r="F893">
        <f t="shared" si="308"/>
        <v>153.18904999999998</v>
      </c>
      <c r="G893">
        <f t="shared" si="309"/>
        <v>153.19</v>
      </c>
      <c r="H893">
        <v>885</v>
      </c>
      <c r="I893">
        <v>1</v>
      </c>
      <c r="J893" s="35" t="s">
        <v>3760</v>
      </c>
      <c r="K893" t="str">
        <f t="shared" si="289"/>
        <v>4220</v>
      </c>
      <c r="L893" s="36" t="s">
        <v>4910</v>
      </c>
      <c r="M893" s="35">
        <v>7629</v>
      </c>
      <c r="N893" s="36" t="s">
        <v>5269</v>
      </c>
      <c r="O893" s="35" t="s">
        <v>5712</v>
      </c>
      <c r="P893" s="35" t="s">
        <v>5713</v>
      </c>
    </row>
    <row r="894" spans="1:16">
      <c r="A894" s="35">
        <v>4221</v>
      </c>
      <c r="B894" s="36" t="s">
        <v>2373</v>
      </c>
      <c r="C894">
        <f>VLOOKUP(A894,'TABELA SPOLINE'!A:J,10,FALSE)</f>
        <v>105.735</v>
      </c>
      <c r="D894">
        <f t="shared" si="306"/>
        <v>116.3085</v>
      </c>
      <c r="E894">
        <f t="shared" si="307"/>
        <v>116.31</v>
      </c>
      <c r="F894">
        <f t="shared" si="308"/>
        <v>127.65022500000001</v>
      </c>
      <c r="G894">
        <f t="shared" si="309"/>
        <v>127.66000000000001</v>
      </c>
      <c r="H894">
        <v>885</v>
      </c>
      <c r="I894">
        <v>1</v>
      </c>
      <c r="J894" s="35" t="s">
        <v>3758</v>
      </c>
      <c r="K894" t="str">
        <f t="shared" si="289"/>
        <v>4221</v>
      </c>
      <c r="L894" s="36" t="s">
        <v>4911</v>
      </c>
      <c r="M894" s="35">
        <v>7629</v>
      </c>
      <c r="N894" s="36" t="s">
        <v>5269</v>
      </c>
      <c r="O894" s="35" t="s">
        <v>5712</v>
      </c>
      <c r="P894" s="35" t="s">
        <v>5713</v>
      </c>
    </row>
    <row r="895" spans="1:16">
      <c r="A895" s="35">
        <v>4222</v>
      </c>
      <c r="B895" s="36" t="s">
        <v>2376</v>
      </c>
      <c r="C895">
        <f>VLOOKUP(A895,'TABELA SPOLINE'!A:J,10,FALSE)</f>
        <v>81.249000000000009</v>
      </c>
      <c r="D895">
        <f t="shared" si="306"/>
        <v>89.373900000000006</v>
      </c>
      <c r="E895">
        <f t="shared" si="307"/>
        <v>89.38000000000001</v>
      </c>
      <c r="F895">
        <f t="shared" si="308"/>
        <v>98.094550000000012</v>
      </c>
      <c r="G895">
        <f t="shared" si="309"/>
        <v>98.100000000000009</v>
      </c>
      <c r="H895">
        <v>886</v>
      </c>
      <c r="I895">
        <v>2</v>
      </c>
      <c r="J895" s="35" t="s">
        <v>3761</v>
      </c>
      <c r="K895" t="str">
        <f t="shared" si="289"/>
        <v>4222</v>
      </c>
      <c r="L895" s="36" t="s">
        <v>4912</v>
      </c>
      <c r="M895" s="35">
        <v>7629</v>
      </c>
      <c r="N895" s="36" t="s">
        <v>5269</v>
      </c>
      <c r="O895" s="35" t="s">
        <v>5712</v>
      </c>
      <c r="P895" s="35" t="s">
        <v>5713</v>
      </c>
    </row>
    <row r="896" spans="1:16">
      <c r="A896" s="35">
        <v>4223</v>
      </c>
      <c r="B896" s="36" t="s">
        <v>2377</v>
      </c>
      <c r="C896">
        <f>VLOOKUP(A896,'TABELA SPOLINE'!A:J,10,FALSE)</f>
        <v>81.249000000000009</v>
      </c>
      <c r="D896">
        <f t="shared" si="306"/>
        <v>89.373900000000006</v>
      </c>
      <c r="E896">
        <f t="shared" si="307"/>
        <v>89.38000000000001</v>
      </c>
      <c r="F896">
        <f t="shared" si="308"/>
        <v>98.094550000000012</v>
      </c>
      <c r="G896">
        <f t="shared" si="309"/>
        <v>98.100000000000009</v>
      </c>
      <c r="H896">
        <v>886</v>
      </c>
      <c r="I896">
        <v>2</v>
      </c>
      <c r="J896" s="35" t="s">
        <v>3762</v>
      </c>
      <c r="K896" t="str">
        <f t="shared" si="289"/>
        <v>4223</v>
      </c>
      <c r="L896" s="36" t="s">
        <v>4913</v>
      </c>
      <c r="M896" s="35">
        <v>7629</v>
      </c>
      <c r="N896" s="36" t="s">
        <v>5269</v>
      </c>
      <c r="O896" s="35" t="s">
        <v>5756</v>
      </c>
      <c r="P896" s="35" t="s">
        <v>5757</v>
      </c>
    </row>
    <row r="897" spans="1:16">
      <c r="A897" s="35">
        <v>4224</v>
      </c>
      <c r="B897" s="36" t="s">
        <v>2378</v>
      </c>
      <c r="C897">
        <f>VLOOKUP(A897,'TABELA SPOLINE'!A:J,10,FALSE)</f>
        <v>81.249000000000009</v>
      </c>
      <c r="D897">
        <f t="shared" si="306"/>
        <v>89.373900000000006</v>
      </c>
      <c r="E897">
        <f t="shared" si="307"/>
        <v>89.38000000000001</v>
      </c>
      <c r="F897">
        <f t="shared" si="308"/>
        <v>98.094550000000012</v>
      </c>
      <c r="G897">
        <f t="shared" si="309"/>
        <v>98.100000000000009</v>
      </c>
      <c r="H897">
        <v>886</v>
      </c>
      <c r="I897">
        <v>2</v>
      </c>
      <c r="J897" s="35" t="s">
        <v>3763</v>
      </c>
      <c r="K897" t="str">
        <f t="shared" si="289"/>
        <v>4224</v>
      </c>
      <c r="L897" s="36" t="s">
        <v>4914</v>
      </c>
      <c r="M897" s="35">
        <v>7629</v>
      </c>
      <c r="N897" s="36" t="s">
        <v>5269</v>
      </c>
      <c r="O897" s="35" t="s">
        <v>5714</v>
      </c>
      <c r="P897" s="35" t="s">
        <v>5715</v>
      </c>
    </row>
    <row r="898" spans="1:16">
      <c r="A898" s="35">
        <v>4225</v>
      </c>
      <c r="B898" s="36" t="s">
        <v>2379</v>
      </c>
      <c r="C898">
        <f>VLOOKUP(A898,'TABELA SPOLINE'!A:J,10,FALSE)</f>
        <v>81.249000000000009</v>
      </c>
      <c r="D898">
        <f t="shared" si="306"/>
        <v>89.373900000000006</v>
      </c>
      <c r="E898">
        <f t="shared" si="307"/>
        <v>89.38000000000001</v>
      </c>
      <c r="F898">
        <f t="shared" si="308"/>
        <v>98.094550000000012</v>
      </c>
      <c r="G898">
        <f t="shared" si="309"/>
        <v>98.100000000000009</v>
      </c>
      <c r="H898">
        <v>886</v>
      </c>
      <c r="I898">
        <v>2</v>
      </c>
      <c r="J898" s="35" t="s">
        <v>3764</v>
      </c>
      <c r="K898" t="str">
        <f t="shared" si="289"/>
        <v>4225</v>
      </c>
      <c r="L898" s="36" t="s">
        <v>4915</v>
      </c>
      <c r="M898" s="35">
        <v>7629</v>
      </c>
      <c r="N898" s="36" t="s">
        <v>5269</v>
      </c>
      <c r="O898" s="35" t="s">
        <v>5758</v>
      </c>
      <c r="P898" s="35" t="s">
        <v>5759</v>
      </c>
    </row>
    <row r="899" spans="1:16">
      <c r="A899" s="35">
        <v>4226</v>
      </c>
      <c r="B899" s="36" t="s">
        <v>2380</v>
      </c>
      <c r="C899">
        <f>VLOOKUP(A899,'TABELA SPOLINE'!A:J,10,FALSE)</f>
        <v>81.249000000000009</v>
      </c>
      <c r="D899">
        <f t="shared" si="306"/>
        <v>89.373900000000006</v>
      </c>
      <c r="E899">
        <f t="shared" si="307"/>
        <v>89.38000000000001</v>
      </c>
      <c r="F899">
        <f t="shared" si="308"/>
        <v>98.094550000000012</v>
      </c>
      <c r="G899">
        <f t="shared" si="309"/>
        <v>98.100000000000009</v>
      </c>
      <c r="H899">
        <v>886</v>
      </c>
      <c r="I899">
        <v>2</v>
      </c>
      <c r="J899" s="35" t="s">
        <v>3765</v>
      </c>
      <c r="K899" t="str">
        <f t="shared" ref="K899:K962" si="310">TRIM(A899)</f>
        <v>4226</v>
      </c>
      <c r="L899" s="36" t="s">
        <v>4916</v>
      </c>
      <c r="M899" s="35">
        <v>7629</v>
      </c>
      <c r="N899" s="36" t="s">
        <v>5269</v>
      </c>
      <c r="O899" s="35" t="s">
        <v>5758</v>
      </c>
      <c r="P899" s="35" t="s">
        <v>5759</v>
      </c>
    </row>
    <row r="900" spans="1:16">
      <c r="A900" s="35">
        <v>4229</v>
      </c>
      <c r="B900" s="36" t="s">
        <v>2383</v>
      </c>
      <c r="C900">
        <f>VLOOKUP(A900,'TABELA SPOLINE'!A:J,10,FALSE)</f>
        <v>143.577</v>
      </c>
      <c r="D900">
        <f t="shared" si="306"/>
        <v>157.93469999999999</v>
      </c>
      <c r="E900">
        <f t="shared" si="307"/>
        <v>157.94</v>
      </c>
      <c r="F900">
        <f t="shared" si="308"/>
        <v>173.33914999999999</v>
      </c>
      <c r="G900">
        <f t="shared" si="309"/>
        <v>173.34</v>
      </c>
      <c r="H900">
        <v>887</v>
      </c>
      <c r="I900">
        <v>1</v>
      </c>
      <c r="J900" s="35" t="s">
        <v>3768</v>
      </c>
      <c r="K900" t="str">
        <f t="shared" si="310"/>
        <v>4229</v>
      </c>
      <c r="L900" s="36" t="s">
        <v>4917</v>
      </c>
      <c r="M900" s="35">
        <v>7629</v>
      </c>
      <c r="N900" s="36" t="s">
        <v>5269</v>
      </c>
      <c r="O900" s="35" t="s">
        <v>5760</v>
      </c>
      <c r="P900" s="35" t="s">
        <v>5761</v>
      </c>
    </row>
    <row r="901" spans="1:16">
      <c r="A901" s="35">
        <v>4230</v>
      </c>
      <c r="B901" s="36" t="s">
        <v>2384</v>
      </c>
      <c r="C901">
        <f>VLOOKUP(A901,'TABELA SPOLINE'!A:J,10,FALSE)</f>
        <v>171.40199999999999</v>
      </c>
      <c r="D901">
        <f t="shared" si="306"/>
        <v>188.54219999999998</v>
      </c>
      <c r="E901">
        <f t="shared" si="307"/>
        <v>188.54999999999998</v>
      </c>
      <c r="F901">
        <f t="shared" si="308"/>
        <v>206.93362499999998</v>
      </c>
      <c r="G901">
        <f t="shared" si="309"/>
        <v>206.94</v>
      </c>
      <c r="H901">
        <v>887</v>
      </c>
      <c r="I901">
        <v>1</v>
      </c>
      <c r="J901" s="35" t="s">
        <v>3769</v>
      </c>
      <c r="K901" t="str">
        <f t="shared" si="310"/>
        <v>4230</v>
      </c>
      <c r="L901" s="36" t="s">
        <v>4918</v>
      </c>
      <c r="M901" s="35">
        <v>7629</v>
      </c>
      <c r="N901" s="36" t="s">
        <v>5269</v>
      </c>
      <c r="O901" s="35" t="s">
        <v>5758</v>
      </c>
      <c r="P901" s="35" t="s">
        <v>5759</v>
      </c>
    </row>
    <row r="902" spans="1:16">
      <c r="A902" s="35">
        <v>4231</v>
      </c>
      <c r="B902" s="36" t="s">
        <v>2385</v>
      </c>
      <c r="C902">
        <f>VLOOKUP(A902,'TABELA SPOLINE'!A:J,10,FALSE)</f>
        <v>143.577</v>
      </c>
      <c r="D902">
        <f t="shared" si="306"/>
        <v>157.93469999999999</v>
      </c>
      <c r="E902">
        <f t="shared" si="307"/>
        <v>157.94</v>
      </c>
      <c r="F902">
        <f t="shared" si="308"/>
        <v>173.33914999999999</v>
      </c>
      <c r="G902">
        <f t="shared" si="309"/>
        <v>173.34</v>
      </c>
      <c r="H902">
        <v>887</v>
      </c>
      <c r="I902">
        <v>1</v>
      </c>
      <c r="J902" s="35" t="s">
        <v>3770</v>
      </c>
      <c r="K902" t="str">
        <f t="shared" si="310"/>
        <v>4231</v>
      </c>
      <c r="L902" s="36" t="s">
        <v>4919</v>
      </c>
      <c r="M902" s="35">
        <v>7629</v>
      </c>
      <c r="N902" s="36" t="s">
        <v>5269</v>
      </c>
      <c r="O902" s="35" t="s">
        <v>5758</v>
      </c>
      <c r="P902" s="35" t="s">
        <v>5759</v>
      </c>
    </row>
    <row r="903" spans="1:16">
      <c r="A903" s="35">
        <v>4232</v>
      </c>
      <c r="B903" s="36" t="s">
        <v>2386</v>
      </c>
      <c r="C903">
        <f>VLOOKUP(A903,'TABELA SPOLINE'!A:J,10,FALSE)</f>
        <v>143.577</v>
      </c>
      <c r="D903">
        <f t="shared" si="306"/>
        <v>157.93469999999999</v>
      </c>
      <c r="E903">
        <f t="shared" si="307"/>
        <v>157.94</v>
      </c>
      <c r="F903">
        <f t="shared" si="308"/>
        <v>173.33914999999999</v>
      </c>
      <c r="G903">
        <f t="shared" si="309"/>
        <v>173.34</v>
      </c>
      <c r="H903">
        <v>887</v>
      </c>
      <c r="I903">
        <v>1</v>
      </c>
      <c r="J903" s="35" t="s">
        <v>3771</v>
      </c>
      <c r="K903" t="str">
        <f t="shared" si="310"/>
        <v>4232</v>
      </c>
      <c r="L903" s="36" t="s">
        <v>4920</v>
      </c>
      <c r="M903" s="35">
        <v>7629</v>
      </c>
      <c r="N903" s="36" t="s">
        <v>5269</v>
      </c>
      <c r="O903" s="35" t="s">
        <v>5758</v>
      </c>
      <c r="P903" s="35" t="s">
        <v>5759</v>
      </c>
    </row>
    <row r="904" spans="1:16">
      <c r="A904" s="35">
        <v>4233</v>
      </c>
      <c r="B904" s="36" t="s">
        <v>2387</v>
      </c>
      <c r="C904">
        <f>VLOOKUP(A904,'TABELA SPOLINE'!A:J,10,FALSE)</f>
        <v>171.40199999999999</v>
      </c>
      <c r="D904">
        <f t="shared" si="306"/>
        <v>188.54219999999998</v>
      </c>
      <c r="E904">
        <f t="shared" si="307"/>
        <v>188.54999999999998</v>
      </c>
      <c r="F904">
        <f t="shared" si="308"/>
        <v>206.93362499999998</v>
      </c>
      <c r="G904">
        <f t="shared" si="309"/>
        <v>206.94</v>
      </c>
      <c r="H904">
        <v>887</v>
      </c>
      <c r="I904">
        <v>1</v>
      </c>
      <c r="J904" s="35" t="s">
        <v>3772</v>
      </c>
      <c r="K904" t="str">
        <f t="shared" si="310"/>
        <v>4233</v>
      </c>
      <c r="L904" s="36" t="s">
        <v>4921</v>
      </c>
      <c r="M904" s="35">
        <v>7629</v>
      </c>
      <c r="N904" s="36" t="s">
        <v>5269</v>
      </c>
      <c r="O904" s="35" t="s">
        <v>5758</v>
      </c>
      <c r="P904" s="35" t="s">
        <v>5759</v>
      </c>
    </row>
    <row r="905" spans="1:16" hidden="1">
      <c r="A905" s="35">
        <v>4234</v>
      </c>
      <c r="B905" s="36" t="s">
        <v>2513</v>
      </c>
      <c r="C905" t="e">
        <f>VLOOKUP(A905,'TABELA SPOLINE'!A:J,10,FALSE)</f>
        <v>#N/A</v>
      </c>
      <c r="H905">
        <v>888</v>
      </c>
      <c r="I905">
        <v>1</v>
      </c>
      <c r="J905" s="35" t="s">
        <v>3896</v>
      </c>
      <c r="K905" t="str">
        <f t="shared" si="310"/>
        <v>4234</v>
      </c>
      <c r="L905" s="36" t="s">
        <v>4922</v>
      </c>
      <c r="M905" s="35">
        <v>7629</v>
      </c>
      <c r="N905" s="36" t="s">
        <v>5269</v>
      </c>
      <c r="O905" s="35" t="s">
        <v>5758</v>
      </c>
      <c r="P905" s="35" t="s">
        <v>5759</v>
      </c>
    </row>
    <row r="906" spans="1:16" hidden="1">
      <c r="A906" s="35">
        <v>4235</v>
      </c>
      <c r="B906" s="36" t="s">
        <v>2514</v>
      </c>
      <c r="C906" t="e">
        <f>VLOOKUP(A906,'TABELA SPOLINE'!A:J,10,FALSE)</f>
        <v>#N/A</v>
      </c>
      <c r="H906">
        <v>888</v>
      </c>
      <c r="I906">
        <v>1</v>
      </c>
      <c r="J906" s="35" t="s">
        <v>3897</v>
      </c>
      <c r="K906" t="str">
        <f t="shared" si="310"/>
        <v>4235</v>
      </c>
      <c r="L906" s="36" t="s">
        <v>4923</v>
      </c>
      <c r="M906" s="35">
        <v>7629</v>
      </c>
      <c r="N906" s="36" t="s">
        <v>5269</v>
      </c>
      <c r="O906" s="35" t="s">
        <v>5758</v>
      </c>
      <c r="P906" s="35" t="s">
        <v>5759</v>
      </c>
    </row>
    <row r="907" spans="1:16" hidden="1">
      <c r="A907" s="35">
        <v>4237</v>
      </c>
      <c r="B907" s="36" t="s">
        <v>2515</v>
      </c>
      <c r="C907" t="e">
        <f>VLOOKUP(A907,'TABELA SPOLINE'!A:J,10,FALSE)</f>
        <v>#N/A</v>
      </c>
      <c r="H907">
        <v>888</v>
      </c>
      <c r="I907">
        <v>1</v>
      </c>
      <c r="J907" s="35" t="s">
        <v>3898</v>
      </c>
      <c r="K907" t="str">
        <f t="shared" si="310"/>
        <v>4237</v>
      </c>
      <c r="L907" s="36" t="s">
        <v>4924</v>
      </c>
      <c r="M907" s="35">
        <v>7629</v>
      </c>
      <c r="N907" s="36" t="s">
        <v>5269</v>
      </c>
      <c r="O907" s="35" t="s">
        <v>5760</v>
      </c>
      <c r="P907" s="35" t="s">
        <v>5761</v>
      </c>
    </row>
    <row r="908" spans="1:16" hidden="1">
      <c r="A908" s="35">
        <v>4238</v>
      </c>
      <c r="B908" s="36" t="s">
        <v>2516</v>
      </c>
      <c r="C908" t="e">
        <f>VLOOKUP(A908,'TABELA SPOLINE'!A:J,10,FALSE)</f>
        <v>#N/A</v>
      </c>
      <c r="H908">
        <v>888</v>
      </c>
      <c r="I908">
        <v>1</v>
      </c>
      <c r="J908" s="35" t="s">
        <v>3899</v>
      </c>
      <c r="K908" t="str">
        <f t="shared" si="310"/>
        <v>4238</v>
      </c>
      <c r="L908" s="36" t="s">
        <v>4925</v>
      </c>
      <c r="M908" s="35">
        <v>7629</v>
      </c>
      <c r="N908" s="36" t="s">
        <v>5269</v>
      </c>
      <c r="O908" s="35" t="s">
        <v>5758</v>
      </c>
      <c r="P908" s="35" t="s">
        <v>5759</v>
      </c>
    </row>
    <row r="909" spans="1:16" hidden="1">
      <c r="A909" s="35">
        <v>4239</v>
      </c>
      <c r="B909" s="36" t="s">
        <v>2517</v>
      </c>
      <c r="C909" t="e">
        <f>VLOOKUP(A909,'TABELA SPOLINE'!A:J,10,FALSE)</f>
        <v>#N/A</v>
      </c>
      <c r="H909">
        <v>888</v>
      </c>
      <c r="I909">
        <v>1</v>
      </c>
      <c r="J909" s="35" t="s">
        <v>3900</v>
      </c>
      <c r="K909" t="str">
        <f t="shared" si="310"/>
        <v>4239</v>
      </c>
      <c r="L909" s="36" t="s">
        <v>4926</v>
      </c>
      <c r="M909" s="35">
        <v>7629</v>
      </c>
      <c r="N909" s="36" t="s">
        <v>5269</v>
      </c>
      <c r="O909" s="35" t="s">
        <v>5758</v>
      </c>
      <c r="P909" s="35" t="s">
        <v>5759</v>
      </c>
    </row>
    <row r="910" spans="1:16" hidden="1">
      <c r="A910" s="35">
        <v>4241</v>
      </c>
      <c r="B910" s="36" t="s">
        <v>2518</v>
      </c>
      <c r="C910" t="e">
        <f>VLOOKUP(A910,'TABELA SPOLINE'!A:J,10,FALSE)</f>
        <v>#N/A</v>
      </c>
      <c r="H910">
        <v>888</v>
      </c>
      <c r="I910">
        <v>1</v>
      </c>
      <c r="J910" s="35" t="s">
        <v>3901</v>
      </c>
      <c r="K910" t="str">
        <f t="shared" si="310"/>
        <v>4241</v>
      </c>
      <c r="L910" s="36" t="s">
        <v>4927</v>
      </c>
      <c r="M910" s="35">
        <v>7629</v>
      </c>
      <c r="N910" s="36" t="s">
        <v>5269</v>
      </c>
      <c r="O910" s="35" t="s">
        <v>5758</v>
      </c>
      <c r="P910" s="35" t="s">
        <v>5759</v>
      </c>
    </row>
    <row r="911" spans="1:16" hidden="1">
      <c r="A911" s="35">
        <v>4242</v>
      </c>
      <c r="B911" s="36" t="s">
        <v>2519</v>
      </c>
      <c r="C911" t="e">
        <f>VLOOKUP(A911,'TABELA SPOLINE'!A:J,10,FALSE)</f>
        <v>#N/A</v>
      </c>
      <c r="H911">
        <v>888</v>
      </c>
      <c r="I911">
        <v>1</v>
      </c>
      <c r="J911" s="35" t="s">
        <v>3902</v>
      </c>
      <c r="K911" t="str">
        <f t="shared" si="310"/>
        <v>4242</v>
      </c>
      <c r="L911" s="36" t="s">
        <v>4928</v>
      </c>
      <c r="M911" s="35">
        <v>7629</v>
      </c>
      <c r="N911" s="36" t="s">
        <v>5269</v>
      </c>
      <c r="O911" s="35" t="s">
        <v>5758</v>
      </c>
      <c r="P911" s="35" t="s">
        <v>5759</v>
      </c>
    </row>
    <row r="912" spans="1:16">
      <c r="A912" s="35">
        <v>4257</v>
      </c>
      <c r="B912" s="36" t="s">
        <v>2685</v>
      </c>
      <c r="C912">
        <f>VLOOKUP(A912,'TABELA SPOLINE'!A:J,10,FALSE)</f>
        <v>368.62560000000002</v>
      </c>
      <c r="D912">
        <f t="shared" ref="D912:D917" si="311">C912*0.1+C912</f>
        <v>405.48815999999999</v>
      </c>
      <c r="E912">
        <f t="shared" ref="E912:E917" si="312">ROUNDUP(D912,2)</f>
        <v>405.49</v>
      </c>
      <c r="F912">
        <f t="shared" ref="F912:F917" si="313">E912*0.0975+E912</f>
        <v>445.02527500000002</v>
      </c>
      <c r="G912">
        <f t="shared" ref="G912:G917" si="314">ROUNDUP(F912,2)</f>
        <v>445.03</v>
      </c>
      <c r="H912">
        <v>894</v>
      </c>
      <c r="I912">
        <v>1</v>
      </c>
      <c r="J912" s="35" t="s">
        <v>4066</v>
      </c>
      <c r="K912" t="str">
        <f t="shared" si="310"/>
        <v>4257</v>
      </c>
      <c r="L912" s="36" t="s">
        <v>4929</v>
      </c>
      <c r="M912" s="35">
        <v>7629</v>
      </c>
      <c r="N912" s="36" t="s">
        <v>5269</v>
      </c>
      <c r="O912" s="35" t="s">
        <v>5762</v>
      </c>
      <c r="P912" s="35" t="s">
        <v>5763</v>
      </c>
    </row>
    <row r="913" spans="1:16">
      <c r="A913" s="35">
        <v>4261</v>
      </c>
      <c r="B913" s="36" t="s">
        <v>2686</v>
      </c>
      <c r="C913">
        <f>VLOOKUP(A913,'TABELA SPOLINE'!A:J,10,FALSE)</f>
        <v>307.18800000000005</v>
      </c>
      <c r="D913">
        <f t="shared" si="311"/>
        <v>337.90680000000003</v>
      </c>
      <c r="E913">
        <f t="shared" si="312"/>
        <v>337.90999999999997</v>
      </c>
      <c r="F913">
        <f t="shared" si="313"/>
        <v>370.85622499999999</v>
      </c>
      <c r="G913">
        <f t="shared" si="314"/>
        <v>370.86</v>
      </c>
      <c r="H913">
        <v>894</v>
      </c>
      <c r="I913">
        <v>1</v>
      </c>
      <c r="J913" s="35" t="s">
        <v>4067</v>
      </c>
      <c r="K913" t="str">
        <f t="shared" si="310"/>
        <v>4261</v>
      </c>
      <c r="L913" s="36" t="s">
        <v>4930</v>
      </c>
      <c r="M913" s="35">
        <v>7629</v>
      </c>
      <c r="N913" s="36" t="s">
        <v>5269</v>
      </c>
      <c r="O913" s="35" t="s">
        <v>5762</v>
      </c>
      <c r="P913" s="35" t="s">
        <v>5763</v>
      </c>
    </row>
    <row r="914" spans="1:16">
      <c r="A914" s="35">
        <v>4262</v>
      </c>
      <c r="B914" s="36" t="s">
        <v>2649</v>
      </c>
      <c r="C914">
        <f>VLOOKUP(A914,'TABELA SPOLINE'!A:J,10,FALSE)</f>
        <v>132.447</v>
      </c>
      <c r="D914">
        <f t="shared" si="311"/>
        <v>145.6917</v>
      </c>
      <c r="E914">
        <f t="shared" si="312"/>
        <v>145.69999999999999</v>
      </c>
      <c r="F914">
        <f t="shared" si="313"/>
        <v>159.90574999999998</v>
      </c>
      <c r="G914">
        <f t="shared" si="314"/>
        <v>159.91</v>
      </c>
      <c r="H914">
        <v>991</v>
      </c>
      <c r="I914">
        <v>1</v>
      </c>
      <c r="J914" s="35" t="s">
        <v>4032</v>
      </c>
      <c r="K914" t="str">
        <f t="shared" si="310"/>
        <v>4262</v>
      </c>
      <c r="L914" s="36" t="s">
        <v>4931</v>
      </c>
      <c r="M914" s="35">
        <v>7629</v>
      </c>
      <c r="N914" s="36" t="s">
        <v>5269</v>
      </c>
      <c r="O914" s="35" t="s">
        <v>5764</v>
      </c>
      <c r="P914" s="35" t="s">
        <v>5765</v>
      </c>
    </row>
    <row r="915" spans="1:16">
      <c r="A915" s="35">
        <v>4263</v>
      </c>
      <c r="B915" s="36" t="s">
        <v>2650</v>
      </c>
      <c r="C915">
        <f>VLOOKUP(A915,'TABELA SPOLINE'!A:J,10,FALSE)</f>
        <v>132.447</v>
      </c>
      <c r="D915">
        <f t="shared" si="311"/>
        <v>145.6917</v>
      </c>
      <c r="E915">
        <f t="shared" si="312"/>
        <v>145.69999999999999</v>
      </c>
      <c r="F915">
        <f t="shared" si="313"/>
        <v>159.90574999999998</v>
      </c>
      <c r="G915">
        <f t="shared" si="314"/>
        <v>159.91</v>
      </c>
      <c r="H915">
        <v>991</v>
      </c>
      <c r="I915">
        <v>1</v>
      </c>
      <c r="J915" s="35" t="s">
        <v>4033</v>
      </c>
      <c r="K915" t="str">
        <f t="shared" si="310"/>
        <v>4263</v>
      </c>
      <c r="L915" s="36" t="s">
        <v>4932</v>
      </c>
      <c r="M915" s="35">
        <v>7629</v>
      </c>
      <c r="N915" s="36" t="s">
        <v>5269</v>
      </c>
      <c r="O915" s="35" t="s">
        <v>5762</v>
      </c>
      <c r="P915" s="35" t="s">
        <v>5763</v>
      </c>
    </row>
    <row r="916" spans="1:16">
      <c r="A916" s="35">
        <v>4265</v>
      </c>
      <c r="B916" s="36" t="s">
        <v>2651</v>
      </c>
      <c r="C916">
        <f>VLOOKUP(A916,'TABELA SPOLINE'!A:J,10,FALSE)</f>
        <v>132.447</v>
      </c>
      <c r="D916">
        <f t="shared" si="311"/>
        <v>145.6917</v>
      </c>
      <c r="E916">
        <f t="shared" si="312"/>
        <v>145.69999999999999</v>
      </c>
      <c r="F916">
        <f t="shared" si="313"/>
        <v>159.90574999999998</v>
      </c>
      <c r="G916">
        <f t="shared" si="314"/>
        <v>159.91</v>
      </c>
      <c r="H916">
        <v>991</v>
      </c>
      <c r="I916">
        <v>1</v>
      </c>
      <c r="J916" s="35" t="s">
        <v>4034</v>
      </c>
      <c r="K916" t="str">
        <f t="shared" si="310"/>
        <v>4265</v>
      </c>
      <c r="L916" s="36" t="s">
        <v>4933</v>
      </c>
      <c r="M916" s="35">
        <v>7629</v>
      </c>
      <c r="N916" s="36" t="s">
        <v>5269</v>
      </c>
      <c r="O916" s="35" t="s">
        <v>5762</v>
      </c>
      <c r="P916" s="35" t="s">
        <v>5763</v>
      </c>
    </row>
    <row r="917" spans="1:16">
      <c r="A917" s="35">
        <v>4266</v>
      </c>
      <c r="B917" s="36" t="s">
        <v>2687</v>
      </c>
      <c r="C917">
        <f>VLOOKUP(A917,'TABELA SPOLINE'!A:J,10,FALSE)</f>
        <v>307.18800000000005</v>
      </c>
      <c r="D917">
        <f t="shared" si="311"/>
        <v>337.90680000000003</v>
      </c>
      <c r="E917">
        <f t="shared" si="312"/>
        <v>337.90999999999997</v>
      </c>
      <c r="F917">
        <f t="shared" si="313"/>
        <v>370.85622499999999</v>
      </c>
      <c r="G917">
        <f t="shared" si="314"/>
        <v>370.86</v>
      </c>
      <c r="H917">
        <v>894</v>
      </c>
      <c r="I917">
        <v>1</v>
      </c>
      <c r="J917" s="35" t="s">
        <v>4068</v>
      </c>
      <c r="K917" t="str">
        <f t="shared" si="310"/>
        <v>4266</v>
      </c>
      <c r="L917" s="36" t="s">
        <v>4934</v>
      </c>
      <c r="M917" s="35">
        <v>7629</v>
      </c>
      <c r="N917" s="36" t="s">
        <v>5269</v>
      </c>
      <c r="O917" s="35" t="s">
        <v>5762</v>
      </c>
      <c r="P917" s="35" t="s">
        <v>5763</v>
      </c>
    </row>
    <row r="918" spans="1:16" hidden="1">
      <c r="A918" s="35">
        <v>4269</v>
      </c>
      <c r="B918" s="36" t="s">
        <v>2616</v>
      </c>
      <c r="C918" t="e">
        <f>VLOOKUP(A918,'TABELA SPOLINE'!A:J,10,FALSE)</f>
        <v>#N/A</v>
      </c>
      <c r="H918">
        <v>893</v>
      </c>
      <c r="I918">
        <v>1</v>
      </c>
      <c r="J918" s="35" t="s">
        <v>3999</v>
      </c>
      <c r="K918" t="str">
        <f t="shared" si="310"/>
        <v>4269</v>
      </c>
      <c r="L918" s="36" t="s">
        <v>4935</v>
      </c>
      <c r="M918" s="35">
        <v>7629</v>
      </c>
      <c r="N918" s="36" t="s">
        <v>5269</v>
      </c>
      <c r="O918" s="35" t="s">
        <v>5762</v>
      </c>
      <c r="P918" s="35" t="s">
        <v>5763</v>
      </c>
    </row>
    <row r="919" spans="1:16" hidden="1">
      <c r="A919" s="35">
        <v>4270</v>
      </c>
      <c r="B919" s="36" t="s">
        <v>2617</v>
      </c>
      <c r="C919" t="e">
        <f>VLOOKUP(A919,'TABELA SPOLINE'!A:J,10,FALSE)</f>
        <v>#N/A</v>
      </c>
      <c r="H919">
        <v>893</v>
      </c>
      <c r="I919">
        <v>1</v>
      </c>
      <c r="J919" s="35" t="s">
        <v>4000</v>
      </c>
      <c r="K919" t="str">
        <f t="shared" si="310"/>
        <v>4270</v>
      </c>
      <c r="L919" s="36" t="s">
        <v>4936</v>
      </c>
      <c r="M919" s="35">
        <v>7629</v>
      </c>
      <c r="N919" s="36" t="s">
        <v>5269</v>
      </c>
      <c r="O919" s="35" t="s">
        <v>5766</v>
      </c>
      <c r="P919" s="35" t="s">
        <v>5767</v>
      </c>
    </row>
    <row r="920" spans="1:16" hidden="1">
      <c r="A920" s="35">
        <v>4271</v>
      </c>
      <c r="B920" s="36" t="s">
        <v>2618</v>
      </c>
      <c r="C920" t="e">
        <f>VLOOKUP(A920,'TABELA SPOLINE'!A:J,10,FALSE)</f>
        <v>#N/A</v>
      </c>
      <c r="H920">
        <v>893</v>
      </c>
      <c r="I920">
        <v>1</v>
      </c>
      <c r="J920" s="35" t="s">
        <v>4001</v>
      </c>
      <c r="K920" t="str">
        <f t="shared" si="310"/>
        <v>4271</v>
      </c>
      <c r="L920" s="36" t="s">
        <v>4937</v>
      </c>
      <c r="M920" s="35">
        <v>7629</v>
      </c>
      <c r="N920" s="36" t="s">
        <v>5269</v>
      </c>
      <c r="O920" s="35" t="s">
        <v>5766</v>
      </c>
      <c r="P920" s="35" t="s">
        <v>5767</v>
      </c>
    </row>
    <row r="921" spans="1:16" hidden="1">
      <c r="A921" s="35">
        <v>4274</v>
      </c>
      <c r="B921" s="36" t="s">
        <v>2619</v>
      </c>
      <c r="C921" t="e">
        <f>VLOOKUP(A921,'TABELA SPOLINE'!A:J,10,FALSE)</f>
        <v>#N/A</v>
      </c>
      <c r="H921">
        <v>893</v>
      </c>
      <c r="I921">
        <v>1</v>
      </c>
      <c r="J921" s="35" t="s">
        <v>4002</v>
      </c>
      <c r="K921" t="str">
        <f t="shared" si="310"/>
        <v>4274</v>
      </c>
      <c r="L921" s="36" t="s">
        <v>4938</v>
      </c>
      <c r="M921" s="35">
        <v>7629</v>
      </c>
      <c r="N921" s="36" t="s">
        <v>5269</v>
      </c>
      <c r="O921" s="35" t="s">
        <v>5766</v>
      </c>
      <c r="P921" s="35" t="s">
        <v>5767</v>
      </c>
    </row>
    <row r="922" spans="1:16">
      <c r="A922" s="35">
        <v>4276</v>
      </c>
      <c r="B922" s="36" t="s">
        <v>2392</v>
      </c>
      <c r="C922">
        <f>VLOOKUP(A922,'TABELA SPOLINE'!A:J,10,FALSE)</f>
        <v>146.916</v>
      </c>
      <c r="D922">
        <f t="shared" ref="D922:D929" si="315">C922*0.1+C922</f>
        <v>161.60759999999999</v>
      </c>
      <c r="E922">
        <f t="shared" ref="E922:E929" si="316">ROUNDUP(D922,2)</f>
        <v>161.60999999999999</v>
      </c>
      <c r="F922">
        <f t="shared" ref="F922:F929" si="317">E922*0.0975+E922</f>
        <v>177.366975</v>
      </c>
      <c r="G922">
        <f t="shared" ref="G922:G929" si="318">ROUNDUP(F922,2)</f>
        <v>177.37</v>
      </c>
      <c r="H922">
        <v>993</v>
      </c>
      <c r="I922">
        <v>40</v>
      </c>
      <c r="J922" s="35" t="s">
        <v>3777</v>
      </c>
      <c r="K922" t="str">
        <f t="shared" si="310"/>
        <v>4276</v>
      </c>
      <c r="L922" s="36" t="s">
        <v>4891</v>
      </c>
      <c r="M922" s="35">
        <v>7629</v>
      </c>
      <c r="N922" s="36" t="s">
        <v>5269</v>
      </c>
      <c r="O922" s="35" t="s">
        <v>5766</v>
      </c>
      <c r="P922" s="35" t="s">
        <v>5767</v>
      </c>
    </row>
    <row r="923" spans="1:16">
      <c r="A923" s="35">
        <v>4277</v>
      </c>
      <c r="B923" s="36" t="s">
        <v>2393</v>
      </c>
      <c r="C923">
        <f>VLOOKUP(A923,'TABELA SPOLINE'!A:J,10,FALSE)</f>
        <v>146.916</v>
      </c>
      <c r="D923">
        <f t="shared" si="315"/>
        <v>161.60759999999999</v>
      </c>
      <c r="E923">
        <f t="shared" si="316"/>
        <v>161.60999999999999</v>
      </c>
      <c r="F923">
        <f t="shared" si="317"/>
        <v>177.366975</v>
      </c>
      <c r="G923">
        <f t="shared" si="318"/>
        <v>177.37</v>
      </c>
      <c r="H923">
        <v>993</v>
      </c>
      <c r="I923">
        <v>40</v>
      </c>
      <c r="J923" s="35" t="s">
        <v>3778</v>
      </c>
      <c r="K923" t="str">
        <f t="shared" si="310"/>
        <v>4277</v>
      </c>
      <c r="L923" s="36" t="s">
        <v>4939</v>
      </c>
      <c r="M923" s="35">
        <v>7629</v>
      </c>
      <c r="N923" s="36" t="s">
        <v>5269</v>
      </c>
      <c r="O923" s="35" t="s">
        <v>5768</v>
      </c>
      <c r="P923" s="35" t="s">
        <v>5769</v>
      </c>
    </row>
    <row r="924" spans="1:16">
      <c r="A924" s="35">
        <v>4278</v>
      </c>
      <c r="B924" s="36" t="s">
        <v>2394</v>
      </c>
      <c r="C924">
        <f>VLOOKUP(A924,'TABELA SPOLINE'!A:J,10,FALSE)</f>
        <v>146.916</v>
      </c>
      <c r="D924">
        <f t="shared" si="315"/>
        <v>161.60759999999999</v>
      </c>
      <c r="E924">
        <f t="shared" si="316"/>
        <v>161.60999999999999</v>
      </c>
      <c r="F924">
        <f t="shared" si="317"/>
        <v>177.366975</v>
      </c>
      <c r="G924">
        <f t="shared" si="318"/>
        <v>177.37</v>
      </c>
      <c r="H924">
        <v>993</v>
      </c>
      <c r="I924">
        <v>40</v>
      </c>
      <c r="J924" s="35" t="s">
        <v>3779</v>
      </c>
      <c r="K924" t="str">
        <f t="shared" si="310"/>
        <v>4278</v>
      </c>
      <c r="L924" s="36" t="s">
        <v>4940</v>
      </c>
      <c r="M924" s="35">
        <v>7629</v>
      </c>
      <c r="N924" s="36" t="s">
        <v>5269</v>
      </c>
      <c r="O924" s="35" t="s">
        <v>5768</v>
      </c>
      <c r="P924" s="35" t="s">
        <v>5769</v>
      </c>
    </row>
    <row r="925" spans="1:16">
      <c r="A925" s="35">
        <v>4279</v>
      </c>
      <c r="B925" s="36" t="s">
        <v>2395</v>
      </c>
      <c r="C925">
        <f>VLOOKUP(A925,'TABELA SPOLINE'!A:J,10,FALSE)</f>
        <v>146.916</v>
      </c>
      <c r="D925">
        <f t="shared" si="315"/>
        <v>161.60759999999999</v>
      </c>
      <c r="E925">
        <f t="shared" si="316"/>
        <v>161.60999999999999</v>
      </c>
      <c r="F925">
        <f t="shared" si="317"/>
        <v>177.366975</v>
      </c>
      <c r="G925">
        <f t="shared" si="318"/>
        <v>177.37</v>
      </c>
      <c r="H925">
        <v>993</v>
      </c>
      <c r="I925">
        <v>40</v>
      </c>
      <c r="J925" s="35" t="s">
        <v>3780</v>
      </c>
      <c r="K925" t="str">
        <f t="shared" si="310"/>
        <v>4279</v>
      </c>
      <c r="L925" s="36" t="s">
        <v>4941</v>
      </c>
      <c r="M925" s="35">
        <v>7629</v>
      </c>
      <c r="N925" s="36" t="s">
        <v>5269</v>
      </c>
      <c r="O925" s="35" t="s">
        <v>5770</v>
      </c>
      <c r="P925" s="35" t="s">
        <v>5771</v>
      </c>
    </row>
    <row r="926" spans="1:16">
      <c r="A926" s="35">
        <v>4280</v>
      </c>
      <c r="B926" s="36" t="s">
        <v>2701</v>
      </c>
      <c r="C926">
        <f>VLOOKUP(A926,'TABELA SPOLINE'!A:J,10,FALSE)</f>
        <v>78.80040000000001</v>
      </c>
      <c r="D926">
        <f t="shared" si="315"/>
        <v>86.680440000000004</v>
      </c>
      <c r="E926">
        <f t="shared" si="316"/>
        <v>86.690000000000012</v>
      </c>
      <c r="F926">
        <f t="shared" si="317"/>
        <v>95.142275000000012</v>
      </c>
      <c r="G926">
        <f t="shared" si="318"/>
        <v>95.15</v>
      </c>
      <c r="H926">
        <v>994</v>
      </c>
      <c r="I926">
        <v>1</v>
      </c>
      <c r="J926" s="35" t="s">
        <v>4082</v>
      </c>
      <c r="K926" t="str">
        <f t="shared" si="310"/>
        <v>4280</v>
      </c>
      <c r="L926" s="36" t="s">
        <v>4942</v>
      </c>
      <c r="M926" s="35">
        <v>7629</v>
      </c>
      <c r="N926" s="36" t="s">
        <v>5269</v>
      </c>
      <c r="O926" s="35" t="s">
        <v>5772</v>
      </c>
      <c r="P926" s="35" t="s">
        <v>5773</v>
      </c>
    </row>
    <row r="927" spans="1:16">
      <c r="A927" s="35">
        <v>4281</v>
      </c>
      <c r="B927" s="36" t="s">
        <v>2702</v>
      </c>
      <c r="C927">
        <f>VLOOKUP(A927,'TABELA SPOLINE'!A:J,10,FALSE)</f>
        <v>65.667000000000002</v>
      </c>
      <c r="D927">
        <f t="shared" si="315"/>
        <v>72.233699999999999</v>
      </c>
      <c r="E927">
        <f t="shared" si="316"/>
        <v>72.240000000000009</v>
      </c>
      <c r="F927">
        <f t="shared" si="317"/>
        <v>79.283400000000015</v>
      </c>
      <c r="G927">
        <f t="shared" si="318"/>
        <v>79.290000000000006</v>
      </c>
      <c r="H927">
        <v>994</v>
      </c>
      <c r="I927">
        <v>1</v>
      </c>
      <c r="J927" s="35" t="s">
        <v>4083</v>
      </c>
      <c r="K927" t="str">
        <f t="shared" si="310"/>
        <v>4281</v>
      </c>
      <c r="L927" s="36" t="s">
        <v>4943</v>
      </c>
      <c r="M927" s="35">
        <v>7629</v>
      </c>
      <c r="N927" s="36" t="s">
        <v>5269</v>
      </c>
      <c r="O927" s="35" t="s">
        <v>5768</v>
      </c>
      <c r="P927" s="35" t="s">
        <v>5769</v>
      </c>
    </row>
    <row r="928" spans="1:16">
      <c r="A928" s="35">
        <v>4282</v>
      </c>
      <c r="B928" s="36" t="s">
        <v>2704</v>
      </c>
      <c r="C928">
        <f>VLOOKUP(A928,'TABELA SPOLINE'!A:J,10,FALSE)</f>
        <v>65.667000000000002</v>
      </c>
      <c r="D928">
        <f t="shared" si="315"/>
        <v>72.233699999999999</v>
      </c>
      <c r="E928">
        <f t="shared" si="316"/>
        <v>72.240000000000009</v>
      </c>
      <c r="F928">
        <f t="shared" si="317"/>
        <v>79.283400000000015</v>
      </c>
      <c r="G928">
        <f t="shared" si="318"/>
        <v>79.290000000000006</v>
      </c>
      <c r="H928">
        <v>994</v>
      </c>
      <c r="I928">
        <v>1</v>
      </c>
      <c r="J928" s="35" t="s">
        <v>4085</v>
      </c>
      <c r="K928" t="str">
        <f t="shared" si="310"/>
        <v>4282</v>
      </c>
      <c r="L928" s="36" t="s">
        <v>4944</v>
      </c>
      <c r="M928" s="35">
        <v>7629</v>
      </c>
      <c r="N928" s="36" t="s">
        <v>5269</v>
      </c>
      <c r="O928" s="35" t="s">
        <v>5768</v>
      </c>
      <c r="P928" s="35" t="s">
        <v>5769</v>
      </c>
    </row>
    <row r="929" spans="1:16">
      <c r="A929" s="35">
        <v>4283</v>
      </c>
      <c r="B929" s="36" t="s">
        <v>2705</v>
      </c>
      <c r="C929">
        <f>VLOOKUP(A929,'TABELA SPOLINE'!A:J,10,FALSE)</f>
        <v>65.667000000000002</v>
      </c>
      <c r="D929">
        <f t="shared" si="315"/>
        <v>72.233699999999999</v>
      </c>
      <c r="E929">
        <f t="shared" si="316"/>
        <v>72.240000000000009</v>
      </c>
      <c r="F929">
        <f t="shared" si="317"/>
        <v>79.283400000000015</v>
      </c>
      <c r="G929">
        <f t="shared" si="318"/>
        <v>79.290000000000006</v>
      </c>
      <c r="H929">
        <v>994</v>
      </c>
      <c r="I929">
        <v>1</v>
      </c>
      <c r="J929" s="35" t="s">
        <v>4086</v>
      </c>
      <c r="K929" t="str">
        <f t="shared" si="310"/>
        <v>4283</v>
      </c>
      <c r="L929" s="36" t="s">
        <v>4945</v>
      </c>
      <c r="M929" s="35">
        <v>7629</v>
      </c>
      <c r="N929" s="36" t="s">
        <v>5269</v>
      </c>
      <c r="O929" s="35" t="s">
        <v>5770</v>
      </c>
      <c r="P929" s="35" t="s">
        <v>5771</v>
      </c>
    </row>
    <row r="930" spans="1:16" hidden="1">
      <c r="A930" s="35">
        <v>4284</v>
      </c>
      <c r="B930" s="36" t="s">
        <v>2706</v>
      </c>
      <c r="C930" t="e">
        <f>VLOOKUP(A930,'TABELA SPOLINE'!A:J,10,FALSE)</f>
        <v>#N/A</v>
      </c>
      <c r="H930">
        <v>994</v>
      </c>
      <c r="I930">
        <v>1</v>
      </c>
      <c r="J930" s="35" t="s">
        <v>4087</v>
      </c>
      <c r="K930" t="str">
        <f t="shared" si="310"/>
        <v>4284</v>
      </c>
      <c r="L930" s="36" t="s">
        <v>4946</v>
      </c>
      <c r="M930" s="35">
        <v>7629</v>
      </c>
      <c r="N930" s="36" t="s">
        <v>5269</v>
      </c>
      <c r="O930" s="35" t="s">
        <v>5772</v>
      </c>
      <c r="P930" s="35" t="s">
        <v>5773</v>
      </c>
    </row>
    <row r="931" spans="1:16">
      <c r="A931" s="35">
        <v>4285</v>
      </c>
      <c r="B931" s="36" t="s">
        <v>2708</v>
      </c>
      <c r="C931">
        <f>VLOOKUP(A931,'TABELA SPOLINE'!A:J,10,FALSE)</f>
        <v>99.057000000000002</v>
      </c>
      <c r="D931">
        <f t="shared" ref="D931:D933" si="319">C931*0.1+C931</f>
        <v>108.9627</v>
      </c>
      <c r="E931">
        <f t="shared" ref="E931:E933" si="320">ROUNDUP(D931,2)</f>
        <v>108.97</v>
      </c>
      <c r="F931">
        <f t="shared" ref="F931:F933" si="321">E931*0.0975+E931</f>
        <v>119.59457499999999</v>
      </c>
      <c r="G931">
        <f t="shared" ref="G931:G933" si="322">ROUNDUP(F931,2)</f>
        <v>119.60000000000001</v>
      </c>
      <c r="H931">
        <v>995</v>
      </c>
      <c r="I931">
        <v>1</v>
      </c>
      <c r="J931" s="35" t="s">
        <v>4089</v>
      </c>
      <c r="K931" t="str">
        <f t="shared" si="310"/>
        <v>4285</v>
      </c>
      <c r="L931" s="36" t="s">
        <v>4947</v>
      </c>
      <c r="M931" s="35">
        <v>7629</v>
      </c>
      <c r="N931" s="36" t="s">
        <v>5269</v>
      </c>
      <c r="O931" s="35" t="s">
        <v>5772</v>
      </c>
      <c r="P931" s="35" t="s">
        <v>5773</v>
      </c>
    </row>
    <row r="932" spans="1:16">
      <c r="A932" s="35">
        <v>4286</v>
      </c>
      <c r="B932" s="36" t="s">
        <v>2709</v>
      </c>
      <c r="C932">
        <f>VLOOKUP(A932,'TABELA SPOLINE'!A:J,10,FALSE)</f>
        <v>99.057000000000002</v>
      </c>
      <c r="D932">
        <f t="shared" si="319"/>
        <v>108.9627</v>
      </c>
      <c r="E932">
        <f t="shared" si="320"/>
        <v>108.97</v>
      </c>
      <c r="F932">
        <f t="shared" si="321"/>
        <v>119.59457499999999</v>
      </c>
      <c r="G932">
        <f t="shared" si="322"/>
        <v>119.60000000000001</v>
      </c>
      <c r="H932">
        <v>995</v>
      </c>
      <c r="I932">
        <v>1</v>
      </c>
      <c r="J932" s="35" t="s">
        <v>4090</v>
      </c>
      <c r="K932" t="str">
        <f t="shared" si="310"/>
        <v>4286</v>
      </c>
      <c r="L932" s="36" t="s">
        <v>4942</v>
      </c>
      <c r="M932" s="35">
        <v>7629</v>
      </c>
      <c r="N932" s="36" t="s">
        <v>5269</v>
      </c>
      <c r="O932" s="35" t="s">
        <v>5772</v>
      </c>
      <c r="P932" s="35" t="s">
        <v>5773</v>
      </c>
    </row>
    <row r="933" spans="1:16">
      <c r="A933" s="35">
        <v>4287</v>
      </c>
      <c r="B933" s="36" t="s">
        <v>2710</v>
      </c>
      <c r="C933">
        <f>VLOOKUP(A933,'TABELA SPOLINE'!A:J,10,FALSE)</f>
        <v>118.86840000000001</v>
      </c>
      <c r="D933">
        <f t="shared" si="319"/>
        <v>130.75524000000001</v>
      </c>
      <c r="E933">
        <f t="shared" si="320"/>
        <v>130.76</v>
      </c>
      <c r="F933">
        <f t="shared" si="321"/>
        <v>143.50909999999999</v>
      </c>
      <c r="G933">
        <f t="shared" si="322"/>
        <v>143.51</v>
      </c>
      <c r="H933">
        <v>995</v>
      </c>
      <c r="I933">
        <v>1</v>
      </c>
      <c r="J933" s="35" t="s">
        <v>4091</v>
      </c>
      <c r="K933" t="str">
        <f t="shared" si="310"/>
        <v>4287</v>
      </c>
      <c r="L933" s="36" t="s">
        <v>4948</v>
      </c>
      <c r="M933" s="35">
        <v>7629</v>
      </c>
      <c r="N933" s="36" t="s">
        <v>5269</v>
      </c>
      <c r="O933" s="35" t="s">
        <v>5774</v>
      </c>
      <c r="P933" s="35" t="s">
        <v>5775</v>
      </c>
    </row>
    <row r="934" spans="1:16" hidden="1">
      <c r="A934" s="35">
        <v>4288</v>
      </c>
      <c r="B934" s="36" t="s">
        <v>2711</v>
      </c>
      <c r="C934" t="e">
        <f>VLOOKUP(A934,'TABELA SPOLINE'!A:J,10,FALSE)</f>
        <v>#N/A</v>
      </c>
      <c r="H934">
        <v>995</v>
      </c>
      <c r="I934">
        <v>1</v>
      </c>
      <c r="J934" s="35" t="s">
        <v>4092</v>
      </c>
      <c r="K934" t="str">
        <f t="shared" si="310"/>
        <v>4288</v>
      </c>
      <c r="L934" s="36" t="s">
        <v>4949</v>
      </c>
      <c r="M934" s="35">
        <v>7629</v>
      </c>
      <c r="N934" s="36" t="s">
        <v>5269</v>
      </c>
      <c r="O934" s="35" t="s">
        <v>5774</v>
      </c>
      <c r="P934" s="35" t="s">
        <v>5775</v>
      </c>
    </row>
    <row r="935" spans="1:16" hidden="1">
      <c r="A935" s="35">
        <v>4289</v>
      </c>
      <c r="B935" s="36" t="s">
        <v>2712</v>
      </c>
      <c r="C935" t="e">
        <f>VLOOKUP(A935,'TABELA SPOLINE'!A:J,10,FALSE)</f>
        <v>#N/A</v>
      </c>
      <c r="H935">
        <v>995</v>
      </c>
      <c r="I935">
        <v>1</v>
      </c>
      <c r="J935" s="35" t="s">
        <v>4093</v>
      </c>
      <c r="K935" t="str">
        <f t="shared" si="310"/>
        <v>4289</v>
      </c>
      <c r="L935" s="36" t="s">
        <v>4950</v>
      </c>
      <c r="M935" s="35">
        <v>7629</v>
      </c>
      <c r="N935" s="36" t="s">
        <v>5269</v>
      </c>
      <c r="O935" s="35" t="s">
        <v>5774</v>
      </c>
      <c r="P935" s="35" t="s">
        <v>5775</v>
      </c>
    </row>
    <row r="936" spans="1:16" hidden="1">
      <c r="A936" s="35">
        <v>4290</v>
      </c>
      <c r="B936" s="36" t="s">
        <v>2713</v>
      </c>
      <c r="C936" t="e">
        <f>VLOOKUP(A936,'TABELA SPOLINE'!A:J,10,FALSE)</f>
        <v>#N/A</v>
      </c>
      <c r="H936">
        <v>995</v>
      </c>
      <c r="I936">
        <v>1</v>
      </c>
      <c r="J936" s="35" t="s">
        <v>4094</v>
      </c>
      <c r="K936" t="str">
        <f t="shared" si="310"/>
        <v>4290</v>
      </c>
      <c r="L936" s="36" t="s">
        <v>4951</v>
      </c>
      <c r="M936" s="35">
        <v>7629</v>
      </c>
      <c r="N936" s="36" t="s">
        <v>5269</v>
      </c>
      <c r="O936" s="35" t="s">
        <v>5774</v>
      </c>
      <c r="P936" s="35" t="s">
        <v>5775</v>
      </c>
    </row>
    <row r="937" spans="1:16">
      <c r="A937" s="35">
        <v>4291</v>
      </c>
      <c r="B937" s="36" t="s">
        <v>2603</v>
      </c>
      <c r="C937">
        <f>VLOOKUP(A937,'TABELA SPOLINE'!A:J,10,FALSE)</f>
        <v>87.927000000000007</v>
      </c>
      <c r="D937">
        <f t="shared" ref="D937:D946" si="323">C937*0.1+C937</f>
        <v>96.719700000000003</v>
      </c>
      <c r="E937">
        <f t="shared" ref="E937:E946" si="324">ROUNDUP(D937,2)</f>
        <v>96.72</v>
      </c>
      <c r="F937">
        <f t="shared" ref="F937:F946" si="325">E937*0.0975+E937</f>
        <v>106.1502</v>
      </c>
      <c r="G937">
        <f t="shared" ref="G937:G946" si="326">ROUNDUP(F937,2)</f>
        <v>106.16000000000001</v>
      </c>
      <c r="H937">
        <v>891</v>
      </c>
      <c r="I937">
        <v>1</v>
      </c>
      <c r="J937" s="35" t="s">
        <v>3986</v>
      </c>
      <c r="K937" t="str">
        <f t="shared" si="310"/>
        <v>4291</v>
      </c>
      <c r="L937" s="36" t="s">
        <v>4949</v>
      </c>
      <c r="M937" s="35">
        <v>7629</v>
      </c>
      <c r="N937" s="36" t="s">
        <v>5269</v>
      </c>
      <c r="O937" s="35" t="s">
        <v>5776</v>
      </c>
      <c r="P937" s="35" t="s">
        <v>5777</v>
      </c>
    </row>
    <row r="938" spans="1:16">
      <c r="A938" s="35">
        <v>4292</v>
      </c>
      <c r="B938" s="36" t="s">
        <v>2604</v>
      </c>
      <c r="C938">
        <f>VLOOKUP(A938,'TABELA SPOLINE'!A:J,10,FALSE)</f>
        <v>87.927000000000007</v>
      </c>
      <c r="D938">
        <f t="shared" si="323"/>
        <v>96.719700000000003</v>
      </c>
      <c r="E938">
        <f t="shared" si="324"/>
        <v>96.72</v>
      </c>
      <c r="F938">
        <f t="shared" si="325"/>
        <v>106.1502</v>
      </c>
      <c r="G938">
        <f t="shared" si="326"/>
        <v>106.16000000000001</v>
      </c>
      <c r="H938">
        <v>891</v>
      </c>
      <c r="I938">
        <v>1</v>
      </c>
      <c r="J938" s="35" t="s">
        <v>3987</v>
      </c>
      <c r="K938" t="str">
        <f t="shared" si="310"/>
        <v>4292</v>
      </c>
      <c r="L938" s="36" t="s">
        <v>4952</v>
      </c>
      <c r="M938" s="35">
        <v>7629</v>
      </c>
      <c r="N938" s="36" t="s">
        <v>5269</v>
      </c>
      <c r="O938" s="35" t="s">
        <v>5778</v>
      </c>
      <c r="P938" s="35" t="s">
        <v>5779</v>
      </c>
    </row>
    <row r="939" spans="1:16">
      <c r="A939" s="35">
        <v>4293</v>
      </c>
      <c r="B939" s="36" t="s">
        <v>2605</v>
      </c>
      <c r="C939">
        <f>VLOOKUP(A939,'TABELA SPOLINE'!A:J,10,FALSE)</f>
        <v>105.5124</v>
      </c>
      <c r="D939">
        <f t="shared" si="323"/>
        <v>116.06363999999999</v>
      </c>
      <c r="E939">
        <f t="shared" si="324"/>
        <v>116.07000000000001</v>
      </c>
      <c r="F939">
        <f t="shared" si="325"/>
        <v>127.38682500000002</v>
      </c>
      <c r="G939">
        <f t="shared" si="326"/>
        <v>127.39</v>
      </c>
      <c r="H939">
        <v>891</v>
      </c>
      <c r="I939">
        <v>1</v>
      </c>
      <c r="J939" s="35" t="s">
        <v>3988</v>
      </c>
      <c r="K939" t="str">
        <f t="shared" si="310"/>
        <v>4293</v>
      </c>
      <c r="L939" s="36" t="s">
        <v>4953</v>
      </c>
      <c r="M939" s="35">
        <v>7629</v>
      </c>
      <c r="N939" s="36" t="s">
        <v>5269</v>
      </c>
      <c r="O939" s="35" t="s">
        <v>5780</v>
      </c>
      <c r="P939" s="35" t="s">
        <v>5781</v>
      </c>
    </row>
    <row r="940" spans="1:16">
      <c r="A940" s="35">
        <v>4294</v>
      </c>
      <c r="B940" s="36" t="s">
        <v>2606</v>
      </c>
      <c r="C940">
        <f>VLOOKUP(A940,'TABELA SPOLINE'!A:J,10,FALSE)</f>
        <v>87.927000000000007</v>
      </c>
      <c r="D940">
        <f t="shared" si="323"/>
        <v>96.719700000000003</v>
      </c>
      <c r="E940">
        <f t="shared" si="324"/>
        <v>96.72</v>
      </c>
      <c r="F940">
        <f t="shared" si="325"/>
        <v>106.1502</v>
      </c>
      <c r="G940">
        <f t="shared" si="326"/>
        <v>106.16000000000001</v>
      </c>
      <c r="H940">
        <v>891</v>
      </c>
      <c r="I940">
        <v>1</v>
      </c>
      <c r="J940" s="35" t="s">
        <v>3989</v>
      </c>
      <c r="K940" t="str">
        <f t="shared" si="310"/>
        <v>4294</v>
      </c>
      <c r="L940" s="36" t="s">
        <v>4954</v>
      </c>
      <c r="M940" s="35">
        <v>7629</v>
      </c>
      <c r="N940" s="36" t="s">
        <v>5269</v>
      </c>
      <c r="O940" s="35" t="s">
        <v>5780</v>
      </c>
      <c r="P940" s="35" t="s">
        <v>5781</v>
      </c>
    </row>
    <row r="941" spans="1:16">
      <c r="A941" s="35">
        <v>4295</v>
      </c>
      <c r="B941" s="36" t="s">
        <v>2608</v>
      </c>
      <c r="C941">
        <f>VLOOKUP(A941,'TABELA SPOLINE'!A:J,10,FALSE)</f>
        <v>190.99080000000001</v>
      </c>
      <c r="D941">
        <f t="shared" si="323"/>
        <v>210.08987999999999</v>
      </c>
      <c r="E941">
        <f t="shared" si="324"/>
        <v>210.09</v>
      </c>
      <c r="F941">
        <f t="shared" si="325"/>
        <v>230.57377500000001</v>
      </c>
      <c r="G941">
        <f t="shared" si="326"/>
        <v>230.57999999999998</v>
      </c>
      <c r="H941">
        <v>892</v>
      </c>
      <c r="I941">
        <v>1</v>
      </c>
      <c r="J941" s="35" t="s">
        <v>3991</v>
      </c>
      <c r="K941" t="str">
        <f t="shared" si="310"/>
        <v>4295</v>
      </c>
      <c r="L941" s="36" t="s">
        <v>4955</v>
      </c>
      <c r="M941" s="35">
        <v>7629</v>
      </c>
      <c r="N941" s="36" t="s">
        <v>5269</v>
      </c>
      <c r="O941" s="35" t="s">
        <v>5780</v>
      </c>
      <c r="P941" s="35" t="s">
        <v>5781</v>
      </c>
    </row>
    <row r="942" spans="1:16">
      <c r="A942" s="35">
        <v>4296</v>
      </c>
      <c r="B942" s="36" t="s">
        <v>2609</v>
      </c>
      <c r="C942">
        <f>VLOOKUP(A942,'TABELA SPOLINE'!A:J,10,FALSE)</f>
        <v>190.99080000000001</v>
      </c>
      <c r="D942">
        <f t="shared" si="323"/>
        <v>210.08987999999999</v>
      </c>
      <c r="E942">
        <f t="shared" si="324"/>
        <v>210.09</v>
      </c>
      <c r="F942">
        <f t="shared" si="325"/>
        <v>230.57377500000001</v>
      </c>
      <c r="G942">
        <f t="shared" si="326"/>
        <v>230.57999999999998</v>
      </c>
      <c r="H942">
        <v>892</v>
      </c>
      <c r="I942">
        <v>1</v>
      </c>
      <c r="J942" s="35" t="s">
        <v>3992</v>
      </c>
      <c r="K942" t="str">
        <f t="shared" si="310"/>
        <v>4296</v>
      </c>
      <c r="L942" s="36" t="s">
        <v>4956</v>
      </c>
      <c r="M942" s="35">
        <v>7629</v>
      </c>
      <c r="N942" s="36" t="s">
        <v>5269</v>
      </c>
      <c r="O942" s="35" t="s">
        <v>5782</v>
      </c>
      <c r="P942" s="35" t="s">
        <v>5783</v>
      </c>
    </row>
    <row r="943" spans="1:16">
      <c r="A943" s="35">
        <v>4297</v>
      </c>
      <c r="B943" s="36" t="s">
        <v>2610</v>
      </c>
      <c r="C943">
        <f>VLOOKUP(A943,'TABELA SPOLINE'!A:J,10,FALSE)</f>
        <v>159.15900000000002</v>
      </c>
      <c r="D943">
        <f t="shared" si="323"/>
        <v>175.07490000000001</v>
      </c>
      <c r="E943">
        <f t="shared" si="324"/>
        <v>175.07999999999998</v>
      </c>
      <c r="F943">
        <f t="shared" si="325"/>
        <v>192.15029999999999</v>
      </c>
      <c r="G943">
        <f t="shared" si="326"/>
        <v>192.16</v>
      </c>
      <c r="H943">
        <v>892</v>
      </c>
      <c r="I943">
        <v>1</v>
      </c>
      <c r="J943" s="35" t="s">
        <v>3993</v>
      </c>
      <c r="K943" t="str">
        <f t="shared" si="310"/>
        <v>4297</v>
      </c>
      <c r="L943" s="36" t="s">
        <v>4957</v>
      </c>
      <c r="M943" s="35">
        <v>7629</v>
      </c>
      <c r="N943" s="36" t="s">
        <v>5269</v>
      </c>
      <c r="O943" s="35" t="s">
        <v>5778</v>
      </c>
      <c r="P943" s="35" t="s">
        <v>5779</v>
      </c>
    </row>
    <row r="944" spans="1:16">
      <c r="A944" s="35">
        <v>4298</v>
      </c>
      <c r="B944" s="36" t="s">
        <v>2611</v>
      </c>
      <c r="C944">
        <f>VLOOKUP(A944,'TABELA SPOLINE'!A:J,10,FALSE)</f>
        <v>159.15900000000002</v>
      </c>
      <c r="D944">
        <f t="shared" si="323"/>
        <v>175.07490000000001</v>
      </c>
      <c r="E944">
        <f t="shared" si="324"/>
        <v>175.07999999999998</v>
      </c>
      <c r="F944">
        <f t="shared" si="325"/>
        <v>192.15029999999999</v>
      </c>
      <c r="G944">
        <f t="shared" si="326"/>
        <v>192.16</v>
      </c>
      <c r="H944">
        <v>892</v>
      </c>
      <c r="I944">
        <v>1</v>
      </c>
      <c r="J944" s="35" t="s">
        <v>3994</v>
      </c>
      <c r="K944" t="str">
        <f t="shared" si="310"/>
        <v>4298</v>
      </c>
      <c r="L944" s="36" t="s">
        <v>4958</v>
      </c>
      <c r="M944" s="35">
        <v>7629</v>
      </c>
      <c r="N944" s="36" t="s">
        <v>5269</v>
      </c>
      <c r="O944" s="35" t="s">
        <v>5784</v>
      </c>
      <c r="P944" s="35" t="s">
        <v>5785</v>
      </c>
    </row>
    <row r="945" spans="1:16">
      <c r="A945" s="35">
        <v>4299</v>
      </c>
      <c r="B945" s="36" t="s">
        <v>2612</v>
      </c>
      <c r="C945">
        <f>VLOOKUP(A945,'TABELA SPOLINE'!A:J,10,FALSE)</f>
        <v>190.99080000000001</v>
      </c>
      <c r="D945">
        <f t="shared" si="323"/>
        <v>210.08987999999999</v>
      </c>
      <c r="E945">
        <f t="shared" si="324"/>
        <v>210.09</v>
      </c>
      <c r="F945">
        <f t="shared" si="325"/>
        <v>230.57377500000001</v>
      </c>
      <c r="G945">
        <f t="shared" si="326"/>
        <v>230.57999999999998</v>
      </c>
      <c r="H945">
        <v>892</v>
      </c>
      <c r="I945">
        <v>1</v>
      </c>
      <c r="J945" s="35" t="s">
        <v>3995</v>
      </c>
      <c r="K945" t="str">
        <f t="shared" si="310"/>
        <v>4299</v>
      </c>
      <c r="L945" s="36" t="s">
        <v>4959</v>
      </c>
      <c r="M945" s="35">
        <v>7629</v>
      </c>
      <c r="N945" s="36" t="s">
        <v>5269</v>
      </c>
      <c r="O945" s="35" t="s">
        <v>5784</v>
      </c>
      <c r="P945" s="35" t="s">
        <v>5785</v>
      </c>
    </row>
    <row r="946" spans="1:16">
      <c r="A946" s="35">
        <v>4300</v>
      </c>
      <c r="B946" s="36" t="s">
        <v>2613</v>
      </c>
      <c r="C946">
        <f>VLOOKUP(A946,'TABELA SPOLINE'!A:J,10,FALSE)</f>
        <v>159.15900000000002</v>
      </c>
      <c r="D946">
        <f t="shared" si="323"/>
        <v>175.07490000000001</v>
      </c>
      <c r="E946">
        <f t="shared" si="324"/>
        <v>175.07999999999998</v>
      </c>
      <c r="F946">
        <f t="shared" si="325"/>
        <v>192.15029999999999</v>
      </c>
      <c r="G946">
        <f t="shared" si="326"/>
        <v>192.16</v>
      </c>
      <c r="H946">
        <v>892</v>
      </c>
      <c r="I946">
        <v>1</v>
      </c>
      <c r="J946" s="35" t="s">
        <v>3996</v>
      </c>
      <c r="K946" t="str">
        <f t="shared" si="310"/>
        <v>4300</v>
      </c>
      <c r="L946" s="36" t="s">
        <v>4960</v>
      </c>
      <c r="M946" s="35">
        <v>7629</v>
      </c>
      <c r="N946" s="36" t="s">
        <v>5269</v>
      </c>
      <c r="O946" s="35" t="s">
        <v>5784</v>
      </c>
      <c r="P946" s="35" t="s">
        <v>5785</v>
      </c>
    </row>
    <row r="947" spans="1:16" hidden="1">
      <c r="A947" s="35">
        <v>4301</v>
      </c>
      <c r="B947" s="36" t="s">
        <v>2620</v>
      </c>
      <c r="C947" t="e">
        <f>VLOOKUP(A947,'TABELA SPOLINE'!A:J,10,FALSE)</f>
        <v>#N/A</v>
      </c>
      <c r="H947">
        <v>893</v>
      </c>
      <c r="I947">
        <v>1</v>
      </c>
      <c r="J947" s="35" t="s">
        <v>4003</v>
      </c>
      <c r="K947" t="str">
        <f t="shared" si="310"/>
        <v>4301</v>
      </c>
      <c r="L947" s="36" t="s">
        <v>4961</v>
      </c>
      <c r="M947" s="35">
        <v>7629</v>
      </c>
      <c r="N947" s="36" t="s">
        <v>5269</v>
      </c>
      <c r="O947" s="35" t="s">
        <v>5784</v>
      </c>
      <c r="P947" s="35" t="s">
        <v>5785</v>
      </c>
    </row>
    <row r="948" spans="1:16" hidden="1">
      <c r="A948" s="35">
        <v>4302</v>
      </c>
      <c r="B948" s="36" t="s">
        <v>2621</v>
      </c>
      <c r="C948" t="e">
        <f>VLOOKUP(A948,'TABELA SPOLINE'!A:J,10,FALSE)</f>
        <v>#N/A</v>
      </c>
      <c r="H948">
        <v>893</v>
      </c>
      <c r="I948">
        <v>1</v>
      </c>
      <c r="J948" s="35" t="s">
        <v>4004</v>
      </c>
      <c r="K948" t="str">
        <f t="shared" si="310"/>
        <v>4302</v>
      </c>
      <c r="L948" s="36" t="s">
        <v>4962</v>
      </c>
      <c r="M948" s="35">
        <v>7629</v>
      </c>
      <c r="N948" s="36" t="s">
        <v>5269</v>
      </c>
      <c r="O948" s="35" t="s">
        <v>5786</v>
      </c>
      <c r="P948" s="35" t="s">
        <v>5787</v>
      </c>
    </row>
    <row r="949" spans="1:16" hidden="1">
      <c r="A949" s="35">
        <v>4303</v>
      </c>
      <c r="B949" s="36" t="s">
        <v>2622</v>
      </c>
      <c r="C949" t="e">
        <f>VLOOKUP(A949,'TABELA SPOLINE'!A:J,10,FALSE)</f>
        <v>#N/A</v>
      </c>
      <c r="H949">
        <v>893</v>
      </c>
      <c r="I949">
        <v>1</v>
      </c>
      <c r="J949" s="35" t="s">
        <v>4005</v>
      </c>
      <c r="K949" t="str">
        <f t="shared" si="310"/>
        <v>4303</v>
      </c>
      <c r="L949" s="36" t="s">
        <v>4963</v>
      </c>
      <c r="M949" s="35">
        <v>7629</v>
      </c>
      <c r="N949" s="36" t="s">
        <v>5269</v>
      </c>
      <c r="O949" s="35" t="s">
        <v>5786</v>
      </c>
      <c r="P949" s="35" t="s">
        <v>5787</v>
      </c>
    </row>
    <row r="950" spans="1:16" hidden="1">
      <c r="A950" s="35">
        <v>4304</v>
      </c>
      <c r="B950" s="36" t="s">
        <v>2623</v>
      </c>
      <c r="C950" t="e">
        <f>VLOOKUP(A950,'TABELA SPOLINE'!A:J,10,FALSE)</f>
        <v>#N/A</v>
      </c>
      <c r="H950">
        <v>893</v>
      </c>
      <c r="I950">
        <v>1</v>
      </c>
      <c r="J950" s="35" t="s">
        <v>4006</v>
      </c>
      <c r="K950" t="str">
        <f t="shared" si="310"/>
        <v>4304</v>
      </c>
      <c r="L950" s="36" t="s">
        <v>4964</v>
      </c>
      <c r="M950" s="35">
        <v>7629</v>
      </c>
      <c r="N950" s="36" t="s">
        <v>5269</v>
      </c>
      <c r="O950" s="35" t="s">
        <v>5786</v>
      </c>
      <c r="P950" s="35" t="s">
        <v>5787</v>
      </c>
    </row>
    <row r="951" spans="1:16" hidden="1">
      <c r="A951" s="35">
        <v>4305</v>
      </c>
      <c r="B951" s="36" t="s">
        <v>2624</v>
      </c>
      <c r="C951" t="e">
        <f>VLOOKUP(A951,'TABELA SPOLINE'!A:J,10,FALSE)</f>
        <v>#N/A</v>
      </c>
      <c r="H951">
        <v>893</v>
      </c>
      <c r="I951">
        <v>1</v>
      </c>
      <c r="J951" s="35" t="s">
        <v>4007</v>
      </c>
      <c r="K951" t="str">
        <f t="shared" si="310"/>
        <v>4305</v>
      </c>
      <c r="L951" s="36" t="s">
        <v>4965</v>
      </c>
      <c r="M951" s="35">
        <v>7629</v>
      </c>
      <c r="N951" s="36" t="s">
        <v>5269</v>
      </c>
      <c r="O951" s="35" t="s">
        <v>5786</v>
      </c>
      <c r="P951" s="35" t="s">
        <v>5787</v>
      </c>
    </row>
    <row r="952" spans="1:16" hidden="1">
      <c r="A952" s="35">
        <v>4306</v>
      </c>
      <c r="B952" s="36" t="s">
        <v>2625</v>
      </c>
      <c r="C952" t="e">
        <f>VLOOKUP(A952,'TABELA SPOLINE'!A:J,10,FALSE)</f>
        <v>#N/A</v>
      </c>
      <c r="H952">
        <v>893</v>
      </c>
      <c r="I952">
        <v>1</v>
      </c>
      <c r="J952" s="35" t="s">
        <v>4008</v>
      </c>
      <c r="K952" t="str">
        <f t="shared" si="310"/>
        <v>4306</v>
      </c>
      <c r="L952" s="36" t="s">
        <v>4966</v>
      </c>
      <c r="M952" s="35">
        <v>7629</v>
      </c>
      <c r="N952" s="36" t="s">
        <v>5269</v>
      </c>
      <c r="O952" s="35" t="s">
        <v>5788</v>
      </c>
      <c r="P952" s="35" t="s">
        <v>5789</v>
      </c>
    </row>
    <row r="953" spans="1:16" hidden="1">
      <c r="A953" s="35">
        <v>4307</v>
      </c>
      <c r="B953" s="36" t="s">
        <v>2626</v>
      </c>
      <c r="C953" t="e">
        <f>VLOOKUP(A953,'TABELA SPOLINE'!A:J,10,FALSE)</f>
        <v>#N/A</v>
      </c>
      <c r="H953">
        <v>893</v>
      </c>
      <c r="I953">
        <v>1</v>
      </c>
      <c r="J953" s="35" t="s">
        <v>4009</v>
      </c>
      <c r="K953" t="str">
        <f t="shared" si="310"/>
        <v>4307</v>
      </c>
      <c r="L953" s="36" t="s">
        <v>4967</v>
      </c>
      <c r="M953" s="35">
        <v>7629</v>
      </c>
      <c r="N953" s="36" t="s">
        <v>5269</v>
      </c>
      <c r="O953" s="35" t="s">
        <v>5788</v>
      </c>
      <c r="P953" s="35" t="s">
        <v>5789</v>
      </c>
    </row>
    <row r="954" spans="1:16" hidden="1">
      <c r="A954" s="35">
        <v>4308</v>
      </c>
      <c r="B954" s="36" t="s">
        <v>2627</v>
      </c>
      <c r="C954" t="e">
        <f>VLOOKUP(A954,'TABELA SPOLINE'!A:J,10,FALSE)</f>
        <v>#N/A</v>
      </c>
      <c r="H954">
        <v>893</v>
      </c>
      <c r="I954">
        <v>1</v>
      </c>
      <c r="J954" s="35" t="s">
        <v>4010</v>
      </c>
      <c r="K954" t="str">
        <f t="shared" si="310"/>
        <v>4308</v>
      </c>
      <c r="L954" s="36" t="s">
        <v>4968</v>
      </c>
      <c r="M954" s="35">
        <v>7629</v>
      </c>
      <c r="N954" s="36" t="s">
        <v>5269</v>
      </c>
      <c r="O954" s="35" t="s">
        <v>5788</v>
      </c>
      <c r="P954" s="35" t="s">
        <v>5789</v>
      </c>
    </row>
    <row r="955" spans="1:16" hidden="1">
      <c r="A955" s="35">
        <v>4309</v>
      </c>
      <c r="B955" s="36" t="s">
        <v>2628</v>
      </c>
      <c r="C955" t="e">
        <f>VLOOKUP(A955,'TABELA SPOLINE'!A:J,10,FALSE)</f>
        <v>#N/A</v>
      </c>
      <c r="H955">
        <v>893</v>
      </c>
      <c r="I955">
        <v>1</v>
      </c>
      <c r="J955" s="35" t="s">
        <v>4011</v>
      </c>
      <c r="K955" t="str">
        <f t="shared" si="310"/>
        <v>4309</v>
      </c>
      <c r="L955" s="36" t="s">
        <v>4969</v>
      </c>
      <c r="M955" s="35">
        <v>7629</v>
      </c>
      <c r="N955" s="36" t="s">
        <v>5269</v>
      </c>
      <c r="O955" s="35" t="s">
        <v>5788</v>
      </c>
      <c r="P955" s="35" t="s">
        <v>5789</v>
      </c>
    </row>
    <row r="956" spans="1:16" hidden="1">
      <c r="A956" s="35">
        <v>4310</v>
      </c>
      <c r="B956" s="36" t="s">
        <v>2614</v>
      </c>
      <c r="C956" t="e">
        <f>VLOOKUP(A956,'TABELA SPOLINE'!A:J,10,FALSE)</f>
        <v>#N/A</v>
      </c>
      <c r="H956">
        <v>892</v>
      </c>
      <c r="I956">
        <v>1</v>
      </c>
      <c r="J956" s="35" t="s">
        <v>3997</v>
      </c>
      <c r="K956" t="str">
        <f t="shared" si="310"/>
        <v>4310</v>
      </c>
      <c r="L956" s="36" t="s">
        <v>4970</v>
      </c>
      <c r="M956" s="35">
        <v>7629</v>
      </c>
      <c r="N956" s="36" t="s">
        <v>5269</v>
      </c>
      <c r="O956" s="35" t="s">
        <v>5374</v>
      </c>
      <c r="P956" s="35" t="s">
        <v>5375</v>
      </c>
    </row>
    <row r="957" spans="1:16" hidden="1">
      <c r="A957" s="35">
        <v>4311</v>
      </c>
      <c r="B957" s="36" t="s">
        <v>2615</v>
      </c>
      <c r="C957" t="e">
        <f>VLOOKUP(A957,'TABELA SPOLINE'!A:J,10,FALSE)</f>
        <v>#N/A</v>
      </c>
      <c r="H957">
        <v>892</v>
      </c>
      <c r="I957">
        <v>1</v>
      </c>
      <c r="J957" s="35" t="s">
        <v>3998</v>
      </c>
      <c r="K957" t="str">
        <f t="shared" si="310"/>
        <v>4311</v>
      </c>
      <c r="L957" s="36" t="s">
        <v>4971</v>
      </c>
      <c r="M957" s="35">
        <v>7629</v>
      </c>
      <c r="N957" s="36" t="s">
        <v>5269</v>
      </c>
      <c r="O957" s="35" t="s">
        <v>5374</v>
      </c>
      <c r="P957" s="35" t="s">
        <v>5375</v>
      </c>
    </row>
    <row r="958" spans="1:16">
      <c r="A958" s="35">
        <v>4313</v>
      </c>
      <c r="B958" s="36" t="s">
        <v>2398</v>
      </c>
      <c r="C958">
        <f>VLOOKUP(A958,'TABELA SPOLINE'!A:J,10,FALSE)</f>
        <v>178.08</v>
      </c>
      <c r="D958">
        <f t="shared" ref="D958:D962" si="327">C958*0.1+C958</f>
        <v>195.88800000000001</v>
      </c>
      <c r="E958">
        <f t="shared" ref="E958:E962" si="328">ROUNDUP(D958,2)</f>
        <v>195.89</v>
      </c>
      <c r="F958">
        <f t="shared" ref="F958:F962" si="329">E958*0.0975+E958</f>
        <v>214.98927499999999</v>
      </c>
      <c r="G958">
        <f t="shared" ref="G958:G962" si="330">ROUNDUP(F958,2)</f>
        <v>214.98999999999998</v>
      </c>
      <c r="H958">
        <v>993</v>
      </c>
      <c r="I958">
        <v>60</v>
      </c>
      <c r="J958" s="35" t="s">
        <v>3783</v>
      </c>
      <c r="K958" t="str">
        <f t="shared" si="310"/>
        <v>4313</v>
      </c>
      <c r="L958" s="36" t="s">
        <v>4972</v>
      </c>
      <c r="M958" s="35">
        <v>7629</v>
      </c>
      <c r="N958" s="36" t="s">
        <v>5269</v>
      </c>
      <c r="O958" s="35" t="s">
        <v>5374</v>
      </c>
      <c r="P958" s="35" t="s">
        <v>5375</v>
      </c>
    </row>
    <row r="959" spans="1:16">
      <c r="A959" s="35">
        <v>4314</v>
      </c>
      <c r="B959" s="36" t="s">
        <v>2399</v>
      </c>
      <c r="C959">
        <f>VLOOKUP(A959,'TABELA SPOLINE'!A:J,10,FALSE)</f>
        <v>178.08</v>
      </c>
      <c r="D959">
        <f t="shared" si="327"/>
        <v>195.88800000000001</v>
      </c>
      <c r="E959">
        <f t="shared" si="328"/>
        <v>195.89</v>
      </c>
      <c r="F959">
        <f t="shared" si="329"/>
        <v>214.98927499999999</v>
      </c>
      <c r="G959">
        <f t="shared" si="330"/>
        <v>214.98999999999998</v>
      </c>
      <c r="H959">
        <v>993</v>
      </c>
      <c r="I959">
        <v>60</v>
      </c>
      <c r="J959" s="35" t="s">
        <v>3784</v>
      </c>
      <c r="K959" t="str">
        <f t="shared" si="310"/>
        <v>4314</v>
      </c>
      <c r="L959" s="36" t="s">
        <v>4973</v>
      </c>
      <c r="M959" s="35">
        <v>7629</v>
      </c>
      <c r="N959" s="36" t="s">
        <v>5269</v>
      </c>
      <c r="O959" s="35" t="s">
        <v>5374</v>
      </c>
      <c r="P959" s="35" t="s">
        <v>5375</v>
      </c>
    </row>
    <row r="960" spans="1:16">
      <c r="A960" s="35">
        <v>4314</v>
      </c>
      <c r="B960" s="36" t="s">
        <v>2962</v>
      </c>
      <c r="C960">
        <f>VLOOKUP(A960,'TABELA SPOLINE'!A:J,10,FALSE)</f>
        <v>178.08</v>
      </c>
      <c r="D960">
        <f t="shared" si="327"/>
        <v>195.88800000000001</v>
      </c>
      <c r="E960">
        <f t="shared" si="328"/>
        <v>195.89</v>
      </c>
      <c r="F960">
        <f t="shared" si="329"/>
        <v>214.98927499999999</v>
      </c>
      <c r="G960">
        <f t="shared" si="330"/>
        <v>214.98999999999998</v>
      </c>
      <c r="J960" s="35" t="s">
        <v>2961</v>
      </c>
      <c r="K960" t="str">
        <f t="shared" si="310"/>
        <v>4314</v>
      </c>
      <c r="L960" s="36" t="s">
        <v>4974</v>
      </c>
      <c r="M960" s="35">
        <v>7629</v>
      </c>
      <c r="N960" s="36" t="s">
        <v>5269</v>
      </c>
      <c r="O960" s="35" t="s">
        <v>5542</v>
      </c>
      <c r="P960" s="35" t="s">
        <v>5543</v>
      </c>
    </row>
    <row r="961" spans="1:16">
      <c r="A961" s="35">
        <v>4316</v>
      </c>
      <c r="B961" s="36" t="s">
        <v>2400</v>
      </c>
      <c r="C961">
        <f>VLOOKUP(A961,'TABELA SPOLINE'!A:J,10,FALSE)</f>
        <v>178.08</v>
      </c>
      <c r="D961">
        <f t="shared" si="327"/>
        <v>195.88800000000001</v>
      </c>
      <c r="E961">
        <f t="shared" si="328"/>
        <v>195.89</v>
      </c>
      <c r="F961">
        <f t="shared" si="329"/>
        <v>214.98927499999999</v>
      </c>
      <c r="G961">
        <f t="shared" si="330"/>
        <v>214.98999999999998</v>
      </c>
      <c r="H961">
        <v>993</v>
      </c>
      <c r="I961">
        <v>60</v>
      </c>
      <c r="J961" s="35" t="s">
        <v>3785</v>
      </c>
      <c r="K961" t="str">
        <f t="shared" si="310"/>
        <v>4316</v>
      </c>
      <c r="L961" s="36" t="s">
        <v>4975</v>
      </c>
      <c r="M961" s="35">
        <v>7629</v>
      </c>
      <c r="N961" s="36" t="s">
        <v>5269</v>
      </c>
      <c r="O961" s="35" t="s">
        <v>5542</v>
      </c>
      <c r="P961" s="35" t="s">
        <v>5543</v>
      </c>
    </row>
    <row r="962" spans="1:16">
      <c r="A962" s="35">
        <v>4317</v>
      </c>
      <c r="B962" s="36" t="s">
        <v>2401</v>
      </c>
      <c r="C962">
        <f>VLOOKUP(A962,'TABELA SPOLINE'!A:J,10,FALSE)</f>
        <v>178.08</v>
      </c>
      <c r="D962">
        <f t="shared" si="327"/>
        <v>195.88800000000001</v>
      </c>
      <c r="E962">
        <f t="shared" si="328"/>
        <v>195.89</v>
      </c>
      <c r="F962">
        <f t="shared" si="329"/>
        <v>214.98927499999999</v>
      </c>
      <c r="G962">
        <f t="shared" si="330"/>
        <v>214.98999999999998</v>
      </c>
      <c r="H962">
        <v>993</v>
      </c>
      <c r="I962">
        <v>60</v>
      </c>
      <c r="J962" s="35" t="s">
        <v>3786</v>
      </c>
      <c r="K962" t="str">
        <f t="shared" si="310"/>
        <v>4317</v>
      </c>
      <c r="L962" s="36" t="s">
        <v>4976</v>
      </c>
      <c r="M962" s="35">
        <v>7629</v>
      </c>
      <c r="N962" s="36" t="s">
        <v>5269</v>
      </c>
      <c r="O962" s="35" t="s">
        <v>5542</v>
      </c>
      <c r="P962" s="35" t="s">
        <v>5543</v>
      </c>
    </row>
    <row r="963" spans="1:16" hidden="1">
      <c r="A963" s="35">
        <v>4320</v>
      </c>
      <c r="B963" s="36" t="s">
        <v>2183</v>
      </c>
      <c r="C963" t="e">
        <f>VLOOKUP(A963,'TABELA SPOLINE'!A:J,10,FALSE)</f>
        <v>#N/A</v>
      </c>
      <c r="H963">
        <v>794</v>
      </c>
      <c r="I963">
        <v>1</v>
      </c>
      <c r="J963" s="35" t="s">
        <v>3568</v>
      </c>
      <c r="K963" t="str">
        <f t="shared" ref="K963:K1026" si="331">TRIM(A963)</f>
        <v>4320</v>
      </c>
      <c r="L963" s="36" t="s">
        <v>4977</v>
      </c>
      <c r="M963" s="35">
        <v>7629</v>
      </c>
      <c r="N963" s="36" t="s">
        <v>5269</v>
      </c>
      <c r="O963" s="35" t="s">
        <v>5542</v>
      </c>
      <c r="P963" s="35" t="s">
        <v>5543</v>
      </c>
    </row>
    <row r="964" spans="1:16" hidden="1">
      <c r="A964" s="35">
        <v>4321</v>
      </c>
      <c r="B964" s="36" t="s">
        <v>2482</v>
      </c>
      <c r="C964" t="e">
        <f>VLOOKUP(A964,'TABELA SPOLINE'!A:J,10,FALSE)</f>
        <v>#N/A</v>
      </c>
      <c r="H964">
        <v>859</v>
      </c>
      <c r="I964">
        <v>3</v>
      </c>
      <c r="J964" s="35" t="s">
        <v>3865</v>
      </c>
      <c r="K964" t="str">
        <f t="shared" si="331"/>
        <v>4321</v>
      </c>
      <c r="L964" s="36" t="s">
        <v>4978</v>
      </c>
      <c r="M964" s="35">
        <v>7629</v>
      </c>
      <c r="N964" s="36" t="s">
        <v>5269</v>
      </c>
      <c r="O964" s="35" t="s">
        <v>5790</v>
      </c>
      <c r="P964" s="35" t="s">
        <v>5791</v>
      </c>
    </row>
    <row r="965" spans="1:16" hidden="1">
      <c r="A965" s="35">
        <v>4323</v>
      </c>
      <c r="B965" s="36" t="s">
        <v>2457</v>
      </c>
      <c r="C965" t="e">
        <f>VLOOKUP(A965,'TABELA SPOLINE'!A:J,10,FALSE)</f>
        <v>#N/A</v>
      </c>
      <c r="H965">
        <v>849</v>
      </c>
      <c r="I965">
        <v>1</v>
      </c>
      <c r="J965" s="35" t="s">
        <v>3840</v>
      </c>
      <c r="K965" t="str">
        <f t="shared" si="331"/>
        <v>4323</v>
      </c>
      <c r="L965" s="36" t="s">
        <v>4979</v>
      </c>
      <c r="M965" s="35">
        <v>7629</v>
      </c>
      <c r="N965" s="36" t="s">
        <v>5269</v>
      </c>
      <c r="O965" s="35" t="s">
        <v>5790</v>
      </c>
      <c r="P965" s="35" t="s">
        <v>5791</v>
      </c>
    </row>
    <row r="966" spans="1:16" hidden="1">
      <c r="A966" s="35">
        <v>4324</v>
      </c>
      <c r="B966" s="36" t="s">
        <v>1673</v>
      </c>
      <c r="C966" t="e">
        <f>VLOOKUP(A966,'TABELA SPOLINE'!A:J,10,FALSE)</f>
        <v>#N/A</v>
      </c>
      <c r="H966">
        <v>812</v>
      </c>
      <c r="I966">
        <v>60</v>
      </c>
      <c r="J966" s="35" t="s">
        <v>3061</v>
      </c>
      <c r="K966" t="str">
        <f t="shared" si="331"/>
        <v>4324</v>
      </c>
      <c r="L966" s="36" t="s">
        <v>4980</v>
      </c>
      <c r="M966" s="35">
        <v>7629</v>
      </c>
      <c r="N966" s="36" t="s">
        <v>5269</v>
      </c>
      <c r="O966" s="35" t="s">
        <v>5790</v>
      </c>
      <c r="P966" s="35" t="s">
        <v>5791</v>
      </c>
    </row>
    <row r="967" spans="1:16">
      <c r="A967" s="35">
        <v>4327</v>
      </c>
      <c r="B967" s="36" t="s">
        <v>1990</v>
      </c>
      <c r="C967">
        <f>VLOOKUP(A967,'TABELA SPOLINE'!A:J,10,FALSE)</f>
        <v>366.17700000000002</v>
      </c>
      <c r="D967">
        <f>C967*0.1+C967</f>
        <v>402.79470000000003</v>
      </c>
      <c r="E967">
        <f>ROUNDUP(D967,2)</f>
        <v>402.8</v>
      </c>
      <c r="F967">
        <f>E967*0.0975+E967</f>
        <v>442.07300000000004</v>
      </c>
      <c r="G967">
        <f>ROUNDUP(F967,2)</f>
        <v>442.08</v>
      </c>
      <c r="H967">
        <v>810</v>
      </c>
      <c r="I967">
        <v>120</v>
      </c>
      <c r="J967" s="35" t="s">
        <v>3375</v>
      </c>
      <c r="K967" t="str">
        <f t="shared" si="331"/>
        <v>4327</v>
      </c>
      <c r="L967" s="36" t="s">
        <v>4981</v>
      </c>
      <c r="M967" s="35">
        <v>7629</v>
      </c>
      <c r="N967" s="36" t="s">
        <v>5269</v>
      </c>
      <c r="O967" s="35" t="s">
        <v>5736</v>
      </c>
      <c r="P967" s="35" t="s">
        <v>5737</v>
      </c>
    </row>
    <row r="968" spans="1:16" hidden="1">
      <c r="A968" s="35">
        <v>4340</v>
      </c>
      <c r="B968" s="36" t="s">
        <v>1932</v>
      </c>
      <c r="C968" t="e">
        <f>VLOOKUP(A968,'TABELA SPOLINE'!A:J,10,FALSE)</f>
        <v>#N/A</v>
      </c>
      <c r="H968">
        <v>799</v>
      </c>
      <c r="I968">
        <v>1</v>
      </c>
      <c r="J968" s="35" t="s">
        <v>3317</v>
      </c>
      <c r="K968" t="str">
        <f t="shared" si="331"/>
        <v>4340</v>
      </c>
      <c r="L968" s="36" t="s">
        <v>4982</v>
      </c>
      <c r="M968" s="35">
        <v>7629</v>
      </c>
      <c r="N968" s="36" t="s">
        <v>5269</v>
      </c>
      <c r="O968" s="35" t="s">
        <v>5296</v>
      </c>
      <c r="P968" s="35" t="s">
        <v>5297</v>
      </c>
    </row>
    <row r="969" spans="1:16" hidden="1">
      <c r="A969" s="35">
        <v>4383</v>
      </c>
      <c r="B969" s="36" t="s">
        <v>2184</v>
      </c>
      <c r="C969" t="e">
        <f>VLOOKUP(A969,'TABELA SPOLINE'!A:J,10,FALSE)</f>
        <v>#N/A</v>
      </c>
      <c r="H969">
        <v>794</v>
      </c>
      <c r="I969">
        <v>1</v>
      </c>
      <c r="J969" s="35" t="s">
        <v>3569</v>
      </c>
      <c r="K969" t="str">
        <f t="shared" si="331"/>
        <v>4383</v>
      </c>
      <c r="L969" s="36" t="s">
        <v>4983</v>
      </c>
      <c r="M969" s="35">
        <v>7629</v>
      </c>
      <c r="N969" s="36" t="s">
        <v>5269</v>
      </c>
      <c r="O969" s="35" t="s">
        <v>5792</v>
      </c>
      <c r="P969" s="35" t="s">
        <v>5793</v>
      </c>
    </row>
    <row r="970" spans="1:16" hidden="1">
      <c r="A970" s="35">
        <v>4389</v>
      </c>
      <c r="B970" s="36" t="s">
        <v>2069</v>
      </c>
      <c r="C970" t="e">
        <f>VLOOKUP(A970,'TABELA SPOLINE'!A:J,10,FALSE)</f>
        <v>#N/A</v>
      </c>
      <c r="H970">
        <v>832</v>
      </c>
      <c r="I970">
        <v>1</v>
      </c>
      <c r="J970" s="35" t="s">
        <v>3454</v>
      </c>
      <c r="K970" t="str">
        <f t="shared" si="331"/>
        <v>4389</v>
      </c>
      <c r="L970" s="36" t="s">
        <v>4984</v>
      </c>
      <c r="M970" s="35">
        <v>7629</v>
      </c>
      <c r="N970" s="36" t="s">
        <v>5269</v>
      </c>
      <c r="O970" s="35" t="s">
        <v>5296</v>
      </c>
      <c r="P970" s="35" t="s">
        <v>5297</v>
      </c>
    </row>
    <row r="971" spans="1:16">
      <c r="A971" s="35">
        <v>4395</v>
      </c>
      <c r="B971" s="36" t="s">
        <v>2589</v>
      </c>
      <c r="C971">
        <f>VLOOKUP(A971,'TABELA SPOLINE'!A:J,10,FALSE)</f>
        <v>205.905</v>
      </c>
      <c r="D971">
        <f t="shared" ref="D971:D978" si="332">C971*0.1+C971</f>
        <v>226.49549999999999</v>
      </c>
      <c r="E971">
        <f t="shared" ref="E971:E978" si="333">ROUNDUP(D971,2)</f>
        <v>226.5</v>
      </c>
      <c r="F971">
        <f t="shared" ref="F971:F978" si="334">E971*0.0975+E971</f>
        <v>248.58375000000001</v>
      </c>
      <c r="G971">
        <f t="shared" ref="G971:G978" si="335">ROUNDUP(F971,2)</f>
        <v>248.59</v>
      </c>
      <c r="H971">
        <v>848</v>
      </c>
      <c r="I971">
        <v>1</v>
      </c>
      <c r="J971" s="35" t="s">
        <v>3972</v>
      </c>
      <c r="K971" t="str">
        <f t="shared" si="331"/>
        <v>4395</v>
      </c>
      <c r="L971" s="36" t="s">
        <v>4985</v>
      </c>
      <c r="M971" s="35">
        <v>7629</v>
      </c>
      <c r="N971" s="36" t="s">
        <v>5269</v>
      </c>
      <c r="O971" s="35" t="s">
        <v>5296</v>
      </c>
      <c r="P971" s="35" t="s">
        <v>5297</v>
      </c>
    </row>
    <row r="972" spans="1:16">
      <c r="A972" s="35">
        <v>4400</v>
      </c>
      <c r="B972" s="36" t="s">
        <v>2016</v>
      </c>
      <c r="C972">
        <f>VLOOKUP(A972,'TABELA SPOLINE'!A:J,10,FALSE)</f>
        <v>263.78100000000001</v>
      </c>
      <c r="D972">
        <f t="shared" si="332"/>
        <v>290.15910000000002</v>
      </c>
      <c r="E972">
        <f t="shared" si="333"/>
        <v>290.15999999999997</v>
      </c>
      <c r="F972">
        <f t="shared" si="334"/>
        <v>318.45059999999995</v>
      </c>
      <c r="G972">
        <f t="shared" si="335"/>
        <v>318.45999999999998</v>
      </c>
      <c r="H972">
        <v>811</v>
      </c>
      <c r="I972">
        <v>120</v>
      </c>
      <c r="J972" s="35" t="s">
        <v>3401</v>
      </c>
      <c r="K972" t="str">
        <f t="shared" si="331"/>
        <v>4400</v>
      </c>
      <c r="L972" s="36" t="s">
        <v>4986</v>
      </c>
      <c r="M972" s="35">
        <v>7629</v>
      </c>
      <c r="N972" s="36" t="s">
        <v>5269</v>
      </c>
      <c r="O972" s="35" t="s">
        <v>5296</v>
      </c>
      <c r="P972" s="35" t="s">
        <v>5297</v>
      </c>
    </row>
    <row r="973" spans="1:16">
      <c r="A973" s="35">
        <v>4425</v>
      </c>
      <c r="B973" s="36" t="s">
        <v>2498</v>
      </c>
      <c r="C973">
        <f>VLOOKUP(A973,'TABELA SPOLINE'!A:J,10,FALSE)</f>
        <v>126.88200000000001</v>
      </c>
      <c r="D973">
        <f t="shared" si="332"/>
        <v>139.5702</v>
      </c>
      <c r="E973">
        <f t="shared" si="333"/>
        <v>139.57999999999998</v>
      </c>
      <c r="F973">
        <f t="shared" si="334"/>
        <v>153.18904999999998</v>
      </c>
      <c r="G973">
        <f t="shared" si="335"/>
        <v>153.19</v>
      </c>
      <c r="H973">
        <v>880</v>
      </c>
      <c r="I973">
        <v>1</v>
      </c>
      <c r="J973" s="35" t="s">
        <v>3881</v>
      </c>
      <c r="K973" t="str">
        <f t="shared" si="331"/>
        <v>4425</v>
      </c>
      <c r="L973" s="36" t="s">
        <v>4987</v>
      </c>
      <c r="M973" s="35">
        <v>7629</v>
      </c>
      <c r="N973" s="36" t="s">
        <v>5269</v>
      </c>
      <c r="O973" s="35" t="s">
        <v>5296</v>
      </c>
      <c r="P973" s="35" t="s">
        <v>5297</v>
      </c>
    </row>
    <row r="974" spans="1:16">
      <c r="A974" s="35">
        <v>4426</v>
      </c>
      <c r="B974" s="36" t="s">
        <v>2540</v>
      </c>
      <c r="C974">
        <f>VLOOKUP(A974,'TABELA SPOLINE'!A:J,10,FALSE)</f>
        <v>100.17</v>
      </c>
      <c r="D974">
        <f t="shared" si="332"/>
        <v>110.187</v>
      </c>
      <c r="E974">
        <f t="shared" si="333"/>
        <v>110.19000000000001</v>
      </c>
      <c r="F974">
        <f t="shared" si="334"/>
        <v>120.93352500000002</v>
      </c>
      <c r="G974">
        <f t="shared" si="335"/>
        <v>120.94000000000001</v>
      </c>
      <c r="H974">
        <v>1018</v>
      </c>
      <c r="I974">
        <v>1</v>
      </c>
      <c r="J974" s="35" t="s">
        <v>3923</v>
      </c>
      <c r="K974" t="str">
        <f t="shared" si="331"/>
        <v>4426</v>
      </c>
      <c r="L974" s="36" t="s">
        <v>4988</v>
      </c>
      <c r="M974" s="35">
        <v>7629</v>
      </c>
      <c r="N974" s="36" t="s">
        <v>5269</v>
      </c>
      <c r="O974" s="35" t="s">
        <v>5794</v>
      </c>
      <c r="P974" s="35" t="s">
        <v>5795</v>
      </c>
    </row>
    <row r="975" spans="1:16">
      <c r="A975" s="35">
        <v>4427</v>
      </c>
      <c r="B975" s="36" t="s">
        <v>2374</v>
      </c>
      <c r="C975">
        <f>VLOOKUP(A975,'TABELA SPOLINE'!A:J,10,FALSE)</f>
        <v>105.735</v>
      </c>
      <c r="D975">
        <f t="shared" si="332"/>
        <v>116.3085</v>
      </c>
      <c r="E975">
        <f t="shared" si="333"/>
        <v>116.31</v>
      </c>
      <c r="F975">
        <f t="shared" si="334"/>
        <v>127.65022500000001</v>
      </c>
      <c r="G975">
        <f t="shared" si="335"/>
        <v>127.66000000000001</v>
      </c>
      <c r="H975">
        <v>885</v>
      </c>
      <c r="I975">
        <v>1</v>
      </c>
      <c r="J975" s="35" t="s">
        <v>3759</v>
      </c>
      <c r="K975" t="str">
        <f t="shared" si="331"/>
        <v>4427</v>
      </c>
      <c r="L975" s="36" t="s">
        <v>4989</v>
      </c>
      <c r="M975" s="35">
        <v>7629</v>
      </c>
      <c r="N975" s="36" t="s">
        <v>5269</v>
      </c>
      <c r="O975" s="35" t="s">
        <v>5794</v>
      </c>
      <c r="P975" s="35" t="s">
        <v>5795</v>
      </c>
    </row>
    <row r="976" spans="1:16">
      <c r="A976" s="35">
        <v>4429</v>
      </c>
      <c r="B976" s="36" t="s">
        <v>2381</v>
      </c>
      <c r="C976">
        <f>VLOOKUP(A976,'TABELA SPOLINE'!A:J,10,FALSE)</f>
        <v>81.249000000000009</v>
      </c>
      <c r="D976">
        <f t="shared" si="332"/>
        <v>89.373900000000006</v>
      </c>
      <c r="E976">
        <f t="shared" si="333"/>
        <v>89.38000000000001</v>
      </c>
      <c r="F976">
        <f t="shared" si="334"/>
        <v>98.094550000000012</v>
      </c>
      <c r="G976">
        <f t="shared" si="335"/>
        <v>98.100000000000009</v>
      </c>
      <c r="H976">
        <v>886</v>
      </c>
      <c r="I976">
        <v>2</v>
      </c>
      <c r="J976" s="35" t="s">
        <v>3766</v>
      </c>
      <c r="K976" t="str">
        <f t="shared" si="331"/>
        <v>4429</v>
      </c>
      <c r="L976" s="36" t="s">
        <v>4988</v>
      </c>
      <c r="M976" s="35">
        <v>7629</v>
      </c>
      <c r="N976" s="36" t="s">
        <v>5269</v>
      </c>
      <c r="O976" s="35" t="s">
        <v>5794</v>
      </c>
      <c r="P976" s="35" t="s">
        <v>5795</v>
      </c>
    </row>
    <row r="977" spans="1:16">
      <c r="A977" s="35">
        <v>4430</v>
      </c>
      <c r="B977" s="36" t="s">
        <v>2541</v>
      </c>
      <c r="C977">
        <f>VLOOKUP(A977,'TABELA SPOLINE'!A:J,10,FALSE)</f>
        <v>100.17</v>
      </c>
      <c r="D977">
        <f t="shared" si="332"/>
        <v>110.187</v>
      </c>
      <c r="E977">
        <f t="shared" si="333"/>
        <v>110.19000000000001</v>
      </c>
      <c r="F977">
        <f t="shared" si="334"/>
        <v>120.93352500000002</v>
      </c>
      <c r="G977">
        <f t="shared" si="335"/>
        <v>120.94000000000001</v>
      </c>
      <c r="H977">
        <v>1018</v>
      </c>
      <c r="I977">
        <v>1</v>
      </c>
      <c r="J977" s="35" t="s">
        <v>3924</v>
      </c>
      <c r="K977" t="str">
        <f t="shared" si="331"/>
        <v>4430</v>
      </c>
      <c r="L977" s="36" t="s">
        <v>4990</v>
      </c>
      <c r="M977" s="35">
        <v>7629</v>
      </c>
      <c r="N977" s="36" t="s">
        <v>5269</v>
      </c>
      <c r="O977" s="35" t="s">
        <v>5794</v>
      </c>
      <c r="P977" s="35" t="s">
        <v>5795</v>
      </c>
    </row>
    <row r="978" spans="1:16">
      <c r="A978" s="35">
        <v>4431</v>
      </c>
      <c r="B978" s="36" t="s">
        <v>2542</v>
      </c>
      <c r="C978">
        <f>VLOOKUP(A978,'TABELA SPOLINE'!A:J,10,FALSE)</f>
        <v>100.17</v>
      </c>
      <c r="D978">
        <f t="shared" si="332"/>
        <v>110.187</v>
      </c>
      <c r="E978">
        <f t="shared" si="333"/>
        <v>110.19000000000001</v>
      </c>
      <c r="F978">
        <f t="shared" si="334"/>
        <v>120.93352500000002</v>
      </c>
      <c r="G978">
        <f t="shared" si="335"/>
        <v>120.94000000000001</v>
      </c>
      <c r="H978">
        <v>1018</v>
      </c>
      <c r="I978">
        <v>1</v>
      </c>
      <c r="J978" s="35" t="s">
        <v>3925</v>
      </c>
      <c r="K978" t="str">
        <f t="shared" si="331"/>
        <v>4431</v>
      </c>
      <c r="L978" s="36" t="s">
        <v>4991</v>
      </c>
      <c r="M978" s="35">
        <v>7629</v>
      </c>
      <c r="N978" s="36" t="s">
        <v>5269</v>
      </c>
      <c r="O978" s="35" t="s">
        <v>5794</v>
      </c>
      <c r="P978" s="35" t="s">
        <v>5795</v>
      </c>
    </row>
    <row r="979" spans="1:16" hidden="1">
      <c r="A979" s="35">
        <v>4432</v>
      </c>
      <c r="B979" s="36" t="s">
        <v>2543</v>
      </c>
      <c r="C979" t="e">
        <f>VLOOKUP(A979,'TABELA SPOLINE'!A:J,10,FALSE)</f>
        <v>#N/A</v>
      </c>
      <c r="H979">
        <v>1018</v>
      </c>
      <c r="I979">
        <v>1</v>
      </c>
      <c r="J979" s="35" t="s">
        <v>3926</v>
      </c>
      <c r="K979" t="str">
        <f t="shared" si="331"/>
        <v>4432</v>
      </c>
      <c r="L979" s="36" t="s">
        <v>4988</v>
      </c>
      <c r="M979" s="35">
        <v>7629</v>
      </c>
      <c r="N979" s="36" t="s">
        <v>5269</v>
      </c>
      <c r="O979" s="35" t="s">
        <v>5794</v>
      </c>
      <c r="P979" s="35" t="s">
        <v>5795</v>
      </c>
    </row>
    <row r="980" spans="1:16">
      <c r="A980" s="35">
        <v>4433</v>
      </c>
      <c r="B980" s="36" t="s">
        <v>2544</v>
      </c>
      <c r="C980">
        <f>VLOOKUP(A980,'TABELA SPOLINE'!A:J,10,FALSE)</f>
        <v>120.20400000000001</v>
      </c>
      <c r="D980">
        <f t="shared" ref="D980:D986" si="336">C980*0.1+C980</f>
        <v>132.2244</v>
      </c>
      <c r="E980">
        <f t="shared" ref="E980:E986" si="337">ROUNDUP(D980,2)</f>
        <v>132.22999999999999</v>
      </c>
      <c r="F980">
        <f t="shared" ref="F980:F986" si="338">E980*0.0975+E980</f>
        <v>145.12242499999999</v>
      </c>
      <c r="G980">
        <f t="shared" ref="G980:G986" si="339">ROUNDUP(F980,2)</f>
        <v>145.13</v>
      </c>
      <c r="H980">
        <v>1018</v>
      </c>
      <c r="I980">
        <v>1</v>
      </c>
      <c r="J980" s="35" t="s">
        <v>3927</v>
      </c>
      <c r="K980" t="str">
        <f t="shared" si="331"/>
        <v>4433</v>
      </c>
      <c r="L980" s="36" t="s">
        <v>4992</v>
      </c>
      <c r="M980" s="35">
        <v>7629</v>
      </c>
      <c r="N980" s="36" t="s">
        <v>5269</v>
      </c>
      <c r="O980" s="35" t="s">
        <v>5794</v>
      </c>
      <c r="P980" s="35" t="s">
        <v>5795</v>
      </c>
    </row>
    <row r="981" spans="1:16">
      <c r="A981" s="35">
        <v>4440</v>
      </c>
      <c r="B981" s="36" t="s">
        <v>2654</v>
      </c>
      <c r="C981">
        <f>VLOOKUP(A981,'TABELA SPOLINE'!A:J,10,FALSE)</f>
        <v>132.447</v>
      </c>
      <c r="D981">
        <f t="shared" si="336"/>
        <v>145.6917</v>
      </c>
      <c r="E981">
        <f t="shared" si="337"/>
        <v>145.69999999999999</v>
      </c>
      <c r="F981">
        <f t="shared" si="338"/>
        <v>159.90574999999998</v>
      </c>
      <c r="G981">
        <f t="shared" si="339"/>
        <v>159.91</v>
      </c>
      <c r="H981">
        <v>991</v>
      </c>
      <c r="I981">
        <v>1</v>
      </c>
      <c r="J981" s="35" t="s">
        <v>4037</v>
      </c>
      <c r="K981" t="str">
        <f t="shared" si="331"/>
        <v>4440</v>
      </c>
      <c r="L981" s="36" t="s">
        <v>4988</v>
      </c>
      <c r="M981" s="35">
        <v>7629</v>
      </c>
      <c r="N981" s="36" t="s">
        <v>5269</v>
      </c>
      <c r="O981" s="35" t="s">
        <v>5794</v>
      </c>
      <c r="P981" s="35" t="s">
        <v>5795</v>
      </c>
    </row>
    <row r="982" spans="1:16">
      <c r="A982" s="35">
        <v>4441</v>
      </c>
      <c r="B982" s="36" t="s">
        <v>2396</v>
      </c>
      <c r="C982">
        <f>VLOOKUP(A982,'TABELA SPOLINE'!A:J,10,FALSE)</f>
        <v>146.916</v>
      </c>
      <c r="D982">
        <f t="shared" si="336"/>
        <v>161.60759999999999</v>
      </c>
      <c r="E982">
        <f t="shared" si="337"/>
        <v>161.60999999999999</v>
      </c>
      <c r="F982">
        <f t="shared" si="338"/>
        <v>177.366975</v>
      </c>
      <c r="G982">
        <f t="shared" si="339"/>
        <v>177.37</v>
      </c>
      <c r="H982">
        <v>993</v>
      </c>
      <c r="I982">
        <v>40</v>
      </c>
      <c r="J982" s="35" t="s">
        <v>3781</v>
      </c>
      <c r="K982" t="str">
        <f t="shared" si="331"/>
        <v>4441</v>
      </c>
      <c r="L982" s="36" t="s">
        <v>4993</v>
      </c>
      <c r="M982" s="35">
        <v>7629</v>
      </c>
      <c r="N982" s="36" t="s">
        <v>5269</v>
      </c>
      <c r="O982" s="35" t="s">
        <v>5794</v>
      </c>
      <c r="P982" s="35" t="s">
        <v>5795</v>
      </c>
    </row>
    <row r="983" spans="1:16">
      <c r="A983" s="35">
        <v>4442</v>
      </c>
      <c r="B983" s="36" t="s">
        <v>2397</v>
      </c>
      <c r="C983">
        <f>VLOOKUP(A983,'TABELA SPOLINE'!A:J,10,FALSE)</f>
        <v>146.916</v>
      </c>
      <c r="D983">
        <f t="shared" si="336"/>
        <v>161.60759999999999</v>
      </c>
      <c r="E983">
        <f t="shared" si="337"/>
        <v>161.60999999999999</v>
      </c>
      <c r="F983">
        <f t="shared" si="338"/>
        <v>177.366975</v>
      </c>
      <c r="G983">
        <f t="shared" si="339"/>
        <v>177.37</v>
      </c>
      <c r="H983">
        <v>993</v>
      </c>
      <c r="I983">
        <v>40</v>
      </c>
      <c r="J983" s="35" t="s">
        <v>3782</v>
      </c>
      <c r="K983" t="str">
        <f t="shared" si="331"/>
        <v>4442</v>
      </c>
      <c r="L983" s="36" t="s">
        <v>4994</v>
      </c>
      <c r="M983" s="35">
        <v>7629</v>
      </c>
      <c r="N983" s="36" t="s">
        <v>5269</v>
      </c>
      <c r="O983" s="35" t="s">
        <v>5794</v>
      </c>
      <c r="P983" s="35" t="s">
        <v>5795</v>
      </c>
    </row>
    <row r="984" spans="1:16">
      <c r="A984" s="35">
        <v>4443</v>
      </c>
      <c r="B984" s="36" t="s">
        <v>2402</v>
      </c>
      <c r="C984">
        <f>VLOOKUP(A984,'TABELA SPOLINE'!A:J,10,FALSE)</f>
        <v>178.08</v>
      </c>
      <c r="D984">
        <f t="shared" si="336"/>
        <v>195.88800000000001</v>
      </c>
      <c r="E984">
        <f t="shared" si="337"/>
        <v>195.89</v>
      </c>
      <c r="F984">
        <f t="shared" si="338"/>
        <v>214.98927499999999</v>
      </c>
      <c r="G984">
        <f t="shared" si="339"/>
        <v>214.98999999999998</v>
      </c>
      <c r="H984">
        <v>993</v>
      </c>
      <c r="I984">
        <v>60</v>
      </c>
      <c r="J984" s="35" t="s">
        <v>3787</v>
      </c>
      <c r="K984" t="str">
        <f t="shared" si="331"/>
        <v>4443</v>
      </c>
      <c r="L984" s="36" t="s">
        <v>4995</v>
      </c>
      <c r="M984" s="35">
        <v>7629</v>
      </c>
      <c r="N984" s="36" t="s">
        <v>5269</v>
      </c>
      <c r="O984" s="35" t="s">
        <v>5796</v>
      </c>
      <c r="P984" s="35" t="s">
        <v>5797</v>
      </c>
    </row>
    <row r="985" spans="1:16">
      <c r="A985" s="35">
        <v>4444</v>
      </c>
      <c r="B985" s="36" t="s">
        <v>2403</v>
      </c>
      <c r="C985">
        <f>VLOOKUP(A985,'TABELA SPOLINE'!A:J,10,FALSE)</f>
        <v>178.08</v>
      </c>
      <c r="D985">
        <f t="shared" si="336"/>
        <v>195.88800000000001</v>
      </c>
      <c r="E985">
        <f t="shared" si="337"/>
        <v>195.89</v>
      </c>
      <c r="F985">
        <f t="shared" si="338"/>
        <v>214.98927499999999</v>
      </c>
      <c r="G985">
        <f t="shared" si="339"/>
        <v>214.98999999999998</v>
      </c>
      <c r="H985">
        <v>993</v>
      </c>
      <c r="I985">
        <v>60</v>
      </c>
      <c r="J985" s="35" t="s">
        <v>3788</v>
      </c>
      <c r="K985" t="str">
        <f t="shared" si="331"/>
        <v>4444</v>
      </c>
      <c r="L985" s="36" t="s">
        <v>4996</v>
      </c>
      <c r="M985" s="35">
        <v>7629</v>
      </c>
      <c r="N985" s="36" t="s">
        <v>5269</v>
      </c>
      <c r="O985" s="35" t="s">
        <v>5798</v>
      </c>
      <c r="P985" s="35" t="s">
        <v>5799</v>
      </c>
    </row>
    <row r="986" spans="1:16">
      <c r="A986" s="35">
        <v>4445</v>
      </c>
      <c r="B986" s="36" t="s">
        <v>2714</v>
      </c>
      <c r="C986">
        <f>VLOOKUP(A986,'TABELA SPOLINE'!A:J,10,FALSE)</f>
        <v>99.057000000000002</v>
      </c>
      <c r="D986">
        <f t="shared" si="336"/>
        <v>108.9627</v>
      </c>
      <c r="E986">
        <f t="shared" si="337"/>
        <v>108.97</v>
      </c>
      <c r="F986">
        <f t="shared" si="338"/>
        <v>119.59457499999999</v>
      </c>
      <c r="G986">
        <f t="shared" si="339"/>
        <v>119.60000000000001</v>
      </c>
      <c r="H986">
        <v>995</v>
      </c>
      <c r="I986">
        <v>1</v>
      </c>
      <c r="J986" s="35" t="s">
        <v>4095</v>
      </c>
      <c r="K986" t="str">
        <f t="shared" si="331"/>
        <v>4445</v>
      </c>
      <c r="L986" s="36" t="s">
        <v>4997</v>
      </c>
      <c r="M986" s="35">
        <v>7629</v>
      </c>
      <c r="N986" s="36" t="s">
        <v>5269</v>
      </c>
      <c r="O986" s="35" t="s">
        <v>5800</v>
      </c>
      <c r="P986" s="35" t="s">
        <v>5801</v>
      </c>
    </row>
    <row r="987" spans="1:16" hidden="1">
      <c r="A987" s="35">
        <v>4446</v>
      </c>
      <c r="B987" s="36" t="s">
        <v>2715</v>
      </c>
      <c r="C987" t="e">
        <f>VLOOKUP(A987,'TABELA SPOLINE'!A:J,10,FALSE)</f>
        <v>#N/A</v>
      </c>
      <c r="H987">
        <v>995</v>
      </c>
      <c r="I987">
        <v>1</v>
      </c>
      <c r="J987" s="35" t="s">
        <v>4096</v>
      </c>
      <c r="K987" t="str">
        <f t="shared" si="331"/>
        <v>4446</v>
      </c>
      <c r="L987" s="36" t="s">
        <v>4998</v>
      </c>
      <c r="M987" s="35">
        <v>7629</v>
      </c>
      <c r="N987" s="36" t="s">
        <v>5269</v>
      </c>
      <c r="O987" s="35" t="s">
        <v>5800</v>
      </c>
      <c r="P987" s="35" t="s">
        <v>5801</v>
      </c>
    </row>
    <row r="988" spans="1:16" hidden="1">
      <c r="A988" s="35">
        <v>4459</v>
      </c>
      <c r="B988" s="36" t="s">
        <v>2716</v>
      </c>
      <c r="C988" t="e">
        <f>VLOOKUP(A988,'TABELA SPOLINE'!A:J,10,FALSE)</f>
        <v>#N/A</v>
      </c>
      <c r="H988">
        <v>995</v>
      </c>
      <c r="I988">
        <v>2</v>
      </c>
      <c r="J988" s="35" t="s">
        <v>4097</v>
      </c>
      <c r="K988" t="str">
        <f t="shared" si="331"/>
        <v>4459</v>
      </c>
      <c r="L988" s="36" t="s">
        <v>4999</v>
      </c>
      <c r="M988" s="35">
        <v>7629</v>
      </c>
      <c r="N988" s="36" t="s">
        <v>5269</v>
      </c>
      <c r="O988" s="35" t="s">
        <v>5800</v>
      </c>
      <c r="P988" s="35" t="s">
        <v>5801</v>
      </c>
    </row>
    <row r="989" spans="1:16" hidden="1">
      <c r="A989" s="35">
        <v>4463</v>
      </c>
      <c r="B989" s="36" t="s">
        <v>2717</v>
      </c>
      <c r="C989" t="e">
        <f>VLOOKUP(A989,'TABELA SPOLINE'!A:J,10,FALSE)</f>
        <v>#N/A</v>
      </c>
      <c r="H989">
        <v>995</v>
      </c>
      <c r="I989">
        <v>2</v>
      </c>
      <c r="J989" s="35" t="s">
        <v>4098</v>
      </c>
      <c r="K989" t="str">
        <f t="shared" si="331"/>
        <v>4463</v>
      </c>
      <c r="L989" s="36" t="s">
        <v>5000</v>
      </c>
      <c r="M989" s="35">
        <v>7629</v>
      </c>
      <c r="N989" s="36" t="s">
        <v>5269</v>
      </c>
      <c r="O989" s="35" t="s">
        <v>5802</v>
      </c>
      <c r="P989" s="35" t="s">
        <v>5803</v>
      </c>
    </row>
    <row r="990" spans="1:16" hidden="1">
      <c r="A990" s="35">
        <v>4467</v>
      </c>
      <c r="B990" s="36" t="s">
        <v>2718</v>
      </c>
      <c r="C990" t="e">
        <f>VLOOKUP(A990,'TABELA SPOLINE'!A:J,10,FALSE)</f>
        <v>#N/A</v>
      </c>
      <c r="H990">
        <v>995</v>
      </c>
      <c r="I990">
        <v>2</v>
      </c>
      <c r="J990" s="35" t="s">
        <v>4099</v>
      </c>
      <c r="K990" t="str">
        <f t="shared" si="331"/>
        <v>4467</v>
      </c>
      <c r="L990" s="36" t="s">
        <v>5001</v>
      </c>
      <c r="M990" s="35">
        <v>7629</v>
      </c>
      <c r="N990" s="36" t="s">
        <v>5269</v>
      </c>
      <c r="O990" s="35" t="s">
        <v>5804</v>
      </c>
      <c r="P990" s="35" t="s">
        <v>5805</v>
      </c>
    </row>
    <row r="991" spans="1:16" hidden="1">
      <c r="A991" s="35">
        <v>4469</v>
      </c>
      <c r="B991" s="36" t="s">
        <v>2719</v>
      </c>
      <c r="C991" t="e">
        <f>VLOOKUP(A991,'TABELA SPOLINE'!A:J,10,FALSE)</f>
        <v>#N/A</v>
      </c>
      <c r="H991">
        <v>995</v>
      </c>
      <c r="I991">
        <v>2</v>
      </c>
      <c r="J991" s="35" t="s">
        <v>4100</v>
      </c>
      <c r="K991" t="str">
        <f t="shared" si="331"/>
        <v>4469</v>
      </c>
      <c r="L991" s="36" t="s">
        <v>5001</v>
      </c>
      <c r="M991" s="35">
        <v>7629</v>
      </c>
      <c r="N991" s="36" t="s">
        <v>5269</v>
      </c>
      <c r="O991" s="35" t="s">
        <v>5802</v>
      </c>
      <c r="P991" s="35" t="s">
        <v>5803</v>
      </c>
    </row>
    <row r="992" spans="1:16" hidden="1">
      <c r="A992" s="35">
        <v>4470</v>
      </c>
      <c r="B992" s="36" t="s">
        <v>2720</v>
      </c>
      <c r="C992" t="e">
        <f>VLOOKUP(A992,'TABELA SPOLINE'!A:J,10,FALSE)</f>
        <v>#N/A</v>
      </c>
      <c r="H992">
        <v>995</v>
      </c>
      <c r="I992">
        <v>2</v>
      </c>
      <c r="J992" s="35" t="s">
        <v>4101</v>
      </c>
      <c r="K992" t="str">
        <f t="shared" si="331"/>
        <v>4470</v>
      </c>
      <c r="L992" s="36" t="s">
        <v>5002</v>
      </c>
      <c r="M992" s="35">
        <v>7629</v>
      </c>
      <c r="N992" s="36" t="s">
        <v>5269</v>
      </c>
      <c r="O992" s="35" t="s">
        <v>5806</v>
      </c>
      <c r="P992" s="35" t="s">
        <v>5807</v>
      </c>
    </row>
    <row r="993" spans="1:16" hidden="1">
      <c r="A993" s="35">
        <v>4471</v>
      </c>
      <c r="B993" s="36" t="s">
        <v>2721</v>
      </c>
      <c r="C993" t="e">
        <f>VLOOKUP(A993,'TABELA SPOLINE'!A:J,10,FALSE)</f>
        <v>#N/A</v>
      </c>
      <c r="H993">
        <v>995</v>
      </c>
      <c r="I993">
        <v>2</v>
      </c>
      <c r="J993" s="35" t="s">
        <v>4102</v>
      </c>
      <c r="K993" t="str">
        <f t="shared" si="331"/>
        <v>4471</v>
      </c>
      <c r="L993" s="36" t="s">
        <v>5003</v>
      </c>
      <c r="M993" s="35">
        <v>7629</v>
      </c>
      <c r="N993" s="36" t="s">
        <v>5269</v>
      </c>
      <c r="O993" s="35" t="s">
        <v>5806</v>
      </c>
      <c r="P993" s="35" t="s">
        <v>5807</v>
      </c>
    </row>
    <row r="994" spans="1:16" hidden="1">
      <c r="A994" s="35">
        <v>4473</v>
      </c>
      <c r="B994" s="36" t="s">
        <v>2724</v>
      </c>
      <c r="C994" t="e">
        <f>VLOOKUP(A994,'TABELA SPOLINE'!A:J,10,FALSE)</f>
        <v>#N/A</v>
      </c>
      <c r="H994">
        <v>995</v>
      </c>
      <c r="I994">
        <v>3</v>
      </c>
      <c r="J994" s="35" t="s">
        <v>4105</v>
      </c>
      <c r="K994" t="str">
        <f t="shared" si="331"/>
        <v>4473</v>
      </c>
      <c r="L994" s="36" t="s">
        <v>5003</v>
      </c>
      <c r="M994" s="35">
        <v>7629</v>
      </c>
      <c r="N994" s="36" t="s">
        <v>5269</v>
      </c>
      <c r="O994" s="35" t="s">
        <v>5806</v>
      </c>
      <c r="P994" s="35" t="s">
        <v>5807</v>
      </c>
    </row>
    <row r="995" spans="1:16" hidden="1">
      <c r="A995" s="35">
        <v>4478</v>
      </c>
      <c r="B995" s="36" t="s">
        <v>2725</v>
      </c>
      <c r="C995" t="e">
        <f>VLOOKUP(A995,'TABELA SPOLINE'!A:J,10,FALSE)</f>
        <v>#N/A</v>
      </c>
      <c r="H995">
        <v>995</v>
      </c>
      <c r="I995">
        <v>3</v>
      </c>
      <c r="J995" s="35" t="s">
        <v>4106</v>
      </c>
      <c r="K995" t="str">
        <f t="shared" si="331"/>
        <v>4478</v>
      </c>
      <c r="L995" s="36" t="s">
        <v>5004</v>
      </c>
      <c r="M995" s="35">
        <v>7629</v>
      </c>
      <c r="N995" s="36" t="s">
        <v>5269</v>
      </c>
      <c r="O995" s="35" t="s">
        <v>5726</v>
      </c>
      <c r="P995" s="35" t="s">
        <v>5727</v>
      </c>
    </row>
    <row r="996" spans="1:16" hidden="1">
      <c r="A996" s="35">
        <v>4481</v>
      </c>
      <c r="B996" s="36" t="s">
        <v>2726</v>
      </c>
      <c r="C996" t="e">
        <f>VLOOKUP(A996,'TABELA SPOLINE'!A:J,10,FALSE)</f>
        <v>#N/A</v>
      </c>
      <c r="H996">
        <v>995</v>
      </c>
      <c r="I996">
        <v>3</v>
      </c>
      <c r="J996" s="35" t="s">
        <v>4107</v>
      </c>
      <c r="K996" t="str">
        <f t="shared" si="331"/>
        <v>4481</v>
      </c>
      <c r="L996" s="36" t="s">
        <v>5005</v>
      </c>
      <c r="M996" s="35">
        <v>7629</v>
      </c>
      <c r="N996" s="36" t="s">
        <v>5269</v>
      </c>
      <c r="O996" s="35" t="s">
        <v>5726</v>
      </c>
      <c r="P996" s="35" t="s">
        <v>5727</v>
      </c>
    </row>
    <row r="997" spans="1:16" hidden="1">
      <c r="A997" s="35">
        <v>4482</v>
      </c>
      <c r="B997" s="36" t="s">
        <v>2727</v>
      </c>
      <c r="C997" t="e">
        <f>VLOOKUP(A997,'TABELA SPOLINE'!A:J,10,FALSE)</f>
        <v>#N/A</v>
      </c>
      <c r="H997">
        <v>995</v>
      </c>
      <c r="I997">
        <v>3</v>
      </c>
      <c r="J997" s="35" t="s">
        <v>4108</v>
      </c>
      <c r="K997" t="str">
        <f t="shared" si="331"/>
        <v>4482</v>
      </c>
      <c r="L997" s="36" t="s">
        <v>5006</v>
      </c>
      <c r="M997" s="35">
        <v>7629</v>
      </c>
      <c r="N997" s="36" t="s">
        <v>5269</v>
      </c>
      <c r="O997" s="35" t="s">
        <v>5726</v>
      </c>
      <c r="P997" s="35" t="s">
        <v>5727</v>
      </c>
    </row>
    <row r="998" spans="1:16">
      <c r="A998" s="35">
        <v>4484</v>
      </c>
      <c r="B998" s="36" t="s">
        <v>2728</v>
      </c>
      <c r="C998">
        <f>VLOOKUP(A998,'TABELA SPOLINE'!A:J,10,FALSE)</f>
        <v>116.86500000000001</v>
      </c>
      <c r="D998">
        <f t="shared" ref="D998:D1001" si="340">C998*0.1+C998</f>
        <v>128.5515</v>
      </c>
      <c r="E998">
        <f t="shared" ref="E998:E1001" si="341">ROUNDUP(D998,2)</f>
        <v>128.56</v>
      </c>
      <c r="F998">
        <f t="shared" ref="F998:F1001" si="342">E998*0.0975+E998</f>
        <v>141.09460000000001</v>
      </c>
      <c r="G998">
        <f t="shared" ref="G998:G1001" si="343">ROUNDUP(F998,2)</f>
        <v>141.1</v>
      </c>
      <c r="H998">
        <v>996</v>
      </c>
      <c r="I998">
        <v>1</v>
      </c>
      <c r="J998" s="35" t="s">
        <v>4109</v>
      </c>
      <c r="K998" t="str">
        <f t="shared" si="331"/>
        <v>4484</v>
      </c>
      <c r="L998" s="36" t="s">
        <v>5007</v>
      </c>
      <c r="M998" s="35">
        <v>7629</v>
      </c>
      <c r="N998" s="36" t="s">
        <v>5269</v>
      </c>
      <c r="O998" s="35" t="s">
        <v>5726</v>
      </c>
      <c r="P998" s="35" t="s">
        <v>5727</v>
      </c>
    </row>
    <row r="999" spans="1:16">
      <c r="A999" s="35">
        <v>4486</v>
      </c>
      <c r="B999" s="36" t="s">
        <v>2729</v>
      </c>
      <c r="C999">
        <f>VLOOKUP(A999,'TABELA SPOLINE'!A:J,10,FALSE)</f>
        <v>116.86500000000001</v>
      </c>
      <c r="D999">
        <f t="shared" si="340"/>
        <v>128.5515</v>
      </c>
      <c r="E999">
        <f t="shared" si="341"/>
        <v>128.56</v>
      </c>
      <c r="F999">
        <f t="shared" si="342"/>
        <v>141.09460000000001</v>
      </c>
      <c r="G999">
        <f t="shared" si="343"/>
        <v>141.1</v>
      </c>
      <c r="H999">
        <v>996</v>
      </c>
      <c r="I999">
        <v>1</v>
      </c>
      <c r="J999" s="35" t="s">
        <v>4110</v>
      </c>
      <c r="K999" t="str">
        <f t="shared" si="331"/>
        <v>4486</v>
      </c>
      <c r="L999" s="36" t="s">
        <v>5008</v>
      </c>
      <c r="M999" s="35">
        <v>7629</v>
      </c>
      <c r="N999" s="36" t="s">
        <v>5269</v>
      </c>
      <c r="O999" s="35" t="s">
        <v>5740</v>
      </c>
      <c r="P999" s="35" t="s">
        <v>5741</v>
      </c>
    </row>
    <row r="1000" spans="1:16">
      <c r="A1000" s="35">
        <v>4486</v>
      </c>
      <c r="B1000" s="36" t="s">
        <v>2964</v>
      </c>
      <c r="C1000">
        <f>VLOOKUP(A1000,'TABELA SPOLINE'!A:J,10,FALSE)</f>
        <v>116.86500000000001</v>
      </c>
      <c r="D1000">
        <f t="shared" si="340"/>
        <v>128.5515</v>
      </c>
      <c r="E1000">
        <f t="shared" si="341"/>
        <v>128.56</v>
      </c>
      <c r="F1000">
        <f t="shared" si="342"/>
        <v>141.09460000000001</v>
      </c>
      <c r="G1000">
        <f t="shared" si="343"/>
        <v>141.1</v>
      </c>
      <c r="H1000">
        <v>996</v>
      </c>
      <c r="I1000">
        <v>1</v>
      </c>
      <c r="J1000" s="35" t="s">
        <v>4110</v>
      </c>
      <c r="K1000" t="str">
        <f t="shared" si="331"/>
        <v>4486</v>
      </c>
      <c r="L1000" s="36" t="s">
        <v>5009</v>
      </c>
      <c r="M1000" s="35">
        <v>7629</v>
      </c>
      <c r="N1000" s="36" t="s">
        <v>5269</v>
      </c>
      <c r="O1000" s="35" t="s">
        <v>5744</v>
      </c>
      <c r="P1000" s="35" t="s">
        <v>5745</v>
      </c>
    </row>
    <row r="1001" spans="1:16">
      <c r="A1001" s="35">
        <v>4488</v>
      </c>
      <c r="B1001" s="36" t="s">
        <v>2730</v>
      </c>
      <c r="C1001">
        <f>VLOOKUP(A1001,'TABELA SPOLINE'!A:J,10,FALSE)</f>
        <v>140.23800000000003</v>
      </c>
      <c r="D1001">
        <f t="shared" si="340"/>
        <v>154.26180000000002</v>
      </c>
      <c r="E1001">
        <f t="shared" si="341"/>
        <v>154.26999999999998</v>
      </c>
      <c r="F1001">
        <f t="shared" si="342"/>
        <v>169.31132499999998</v>
      </c>
      <c r="G1001">
        <f t="shared" si="343"/>
        <v>169.32</v>
      </c>
      <c r="H1001">
        <v>996</v>
      </c>
      <c r="I1001">
        <v>1</v>
      </c>
      <c r="J1001" s="35" t="s">
        <v>4111</v>
      </c>
      <c r="K1001" t="str">
        <f t="shared" si="331"/>
        <v>4488</v>
      </c>
      <c r="L1001" s="36" t="s">
        <v>5009</v>
      </c>
      <c r="M1001" s="35">
        <v>7629</v>
      </c>
      <c r="N1001" s="36" t="s">
        <v>5269</v>
      </c>
      <c r="O1001" s="35" t="s">
        <v>5740</v>
      </c>
      <c r="P1001" s="35" t="s">
        <v>5741</v>
      </c>
    </row>
    <row r="1002" spans="1:16" hidden="1">
      <c r="A1002" s="35">
        <v>4490</v>
      </c>
      <c r="B1002" s="36" t="s">
        <v>2731</v>
      </c>
      <c r="C1002" t="e">
        <f>VLOOKUP(A1002,'TABELA SPOLINE'!A:J,10,FALSE)</f>
        <v>#N/A</v>
      </c>
      <c r="H1002">
        <v>996</v>
      </c>
      <c r="I1002">
        <v>1</v>
      </c>
      <c r="J1002" s="35" t="s">
        <v>4112</v>
      </c>
      <c r="K1002" t="str">
        <f t="shared" si="331"/>
        <v>4490</v>
      </c>
      <c r="L1002" s="36" t="s">
        <v>5010</v>
      </c>
      <c r="M1002" s="35">
        <v>7629</v>
      </c>
      <c r="N1002" s="36" t="s">
        <v>5269</v>
      </c>
      <c r="O1002" s="35" t="s">
        <v>5808</v>
      </c>
      <c r="P1002" s="35" t="s">
        <v>5809</v>
      </c>
    </row>
    <row r="1003" spans="1:16" hidden="1">
      <c r="A1003" s="35">
        <v>4492</v>
      </c>
      <c r="B1003" s="36" t="s">
        <v>2732</v>
      </c>
      <c r="C1003" t="e">
        <f>VLOOKUP(A1003,'TABELA SPOLINE'!A:J,10,FALSE)</f>
        <v>#N/A</v>
      </c>
      <c r="H1003">
        <v>996</v>
      </c>
      <c r="I1003">
        <v>1</v>
      </c>
      <c r="J1003" s="35" t="s">
        <v>4113</v>
      </c>
      <c r="K1003" t="str">
        <f t="shared" si="331"/>
        <v>4492</v>
      </c>
      <c r="L1003" s="36" t="s">
        <v>5011</v>
      </c>
      <c r="M1003" s="35">
        <v>7629</v>
      </c>
      <c r="N1003" s="36" t="s">
        <v>5269</v>
      </c>
      <c r="O1003" s="35" t="s">
        <v>5808</v>
      </c>
      <c r="P1003" s="35" t="s">
        <v>5809</v>
      </c>
    </row>
    <row r="1004" spans="1:16" hidden="1">
      <c r="A1004" s="35">
        <v>4493</v>
      </c>
      <c r="B1004" s="36" t="s">
        <v>2733</v>
      </c>
      <c r="C1004" t="e">
        <f>VLOOKUP(A1004,'TABELA SPOLINE'!A:J,10,FALSE)</f>
        <v>#N/A</v>
      </c>
      <c r="H1004">
        <v>996</v>
      </c>
      <c r="I1004">
        <v>1</v>
      </c>
      <c r="J1004" s="35" t="s">
        <v>4114</v>
      </c>
      <c r="K1004" t="str">
        <f t="shared" si="331"/>
        <v>4493</v>
      </c>
      <c r="L1004" s="36" t="s">
        <v>5012</v>
      </c>
      <c r="M1004" s="35">
        <v>7629</v>
      </c>
      <c r="N1004" s="36" t="s">
        <v>5269</v>
      </c>
      <c r="O1004" s="35" t="s">
        <v>5810</v>
      </c>
      <c r="P1004" s="35" t="s">
        <v>5811</v>
      </c>
    </row>
    <row r="1005" spans="1:16">
      <c r="A1005" s="35">
        <v>4519</v>
      </c>
      <c r="B1005" s="36" t="s">
        <v>2350</v>
      </c>
      <c r="C1005">
        <f>VLOOKUP(A1005,'TABELA SPOLINE'!A:J,10,FALSE)</f>
        <v>171.40199999999999</v>
      </c>
      <c r="D1005">
        <f>C1005*0.1+C1005</f>
        <v>188.54219999999998</v>
      </c>
      <c r="E1005">
        <f>ROUNDUP(D1005,2)</f>
        <v>188.54999999999998</v>
      </c>
      <c r="F1005">
        <f>E1005*0.0975+E1005</f>
        <v>206.93362499999998</v>
      </c>
      <c r="G1005">
        <f>ROUNDUP(F1005,2)</f>
        <v>206.94</v>
      </c>
      <c r="H1005">
        <v>852</v>
      </c>
      <c r="I1005">
        <v>1</v>
      </c>
      <c r="J1005" s="35" t="s">
        <v>3735</v>
      </c>
      <c r="K1005" t="str">
        <f t="shared" si="331"/>
        <v>4519</v>
      </c>
      <c r="L1005" s="36" t="s">
        <v>5013</v>
      </c>
      <c r="M1005" s="35">
        <v>7629</v>
      </c>
      <c r="N1005" s="36" t="s">
        <v>5269</v>
      </c>
      <c r="O1005" s="35" t="s">
        <v>5808</v>
      </c>
      <c r="P1005" s="35" t="s">
        <v>5809</v>
      </c>
    </row>
    <row r="1006" spans="1:16" hidden="1">
      <c r="A1006" s="35">
        <v>4520</v>
      </c>
      <c r="B1006" s="36" t="s">
        <v>2266</v>
      </c>
      <c r="C1006" t="e">
        <f>VLOOKUP(A1006,'TABELA SPOLINE'!A:J,10,FALSE)</f>
        <v>#N/A</v>
      </c>
      <c r="H1006">
        <v>835</v>
      </c>
      <c r="I1006">
        <v>1</v>
      </c>
      <c r="J1006" s="35" t="s">
        <v>3651</v>
      </c>
      <c r="K1006" t="str">
        <f t="shared" si="331"/>
        <v>4520</v>
      </c>
      <c r="L1006" s="36" t="s">
        <v>5014</v>
      </c>
      <c r="M1006" s="35">
        <v>7629</v>
      </c>
      <c r="N1006" s="36" t="s">
        <v>5269</v>
      </c>
      <c r="O1006" s="35" t="s">
        <v>5812</v>
      </c>
      <c r="P1006" s="35" t="s">
        <v>5813</v>
      </c>
    </row>
    <row r="1007" spans="1:16">
      <c r="A1007" s="35">
        <v>4533</v>
      </c>
      <c r="B1007" s="36" t="s">
        <v>2545</v>
      </c>
      <c r="C1007">
        <f>VLOOKUP(A1007,'TABELA SPOLINE'!A:J,10,FALSE)</f>
        <v>301.62300000000005</v>
      </c>
      <c r="D1007">
        <f t="shared" ref="D1007:D1014" si="344">C1007*0.1+C1007</f>
        <v>331.78530000000006</v>
      </c>
      <c r="E1007">
        <f t="shared" ref="E1007:E1014" si="345">ROUNDUP(D1007,2)</f>
        <v>331.78999999999996</v>
      </c>
      <c r="F1007">
        <f t="shared" ref="F1007:F1014" si="346">E1007*0.0975+E1007</f>
        <v>364.13952499999994</v>
      </c>
      <c r="G1007">
        <f t="shared" ref="G1007:G1014" si="347">ROUNDUP(F1007,2)</f>
        <v>364.14</v>
      </c>
      <c r="H1007">
        <v>1024</v>
      </c>
      <c r="I1007">
        <v>1</v>
      </c>
      <c r="J1007" s="35" t="s">
        <v>3928</v>
      </c>
      <c r="K1007" t="str">
        <f t="shared" si="331"/>
        <v>4533</v>
      </c>
      <c r="L1007" s="36" t="s">
        <v>5015</v>
      </c>
      <c r="M1007" s="35">
        <v>7629</v>
      </c>
      <c r="N1007" s="36" t="s">
        <v>5269</v>
      </c>
      <c r="O1007" s="35" t="s">
        <v>5814</v>
      </c>
      <c r="P1007" s="35" t="s">
        <v>5815</v>
      </c>
    </row>
    <row r="1008" spans="1:16">
      <c r="A1008" s="35">
        <v>4534</v>
      </c>
      <c r="B1008" s="36" t="s">
        <v>2546</v>
      </c>
      <c r="C1008">
        <f>VLOOKUP(A1008,'TABELA SPOLINE'!A:J,10,FALSE)</f>
        <v>301.62300000000005</v>
      </c>
      <c r="D1008">
        <f t="shared" si="344"/>
        <v>331.78530000000006</v>
      </c>
      <c r="E1008">
        <f t="shared" si="345"/>
        <v>331.78999999999996</v>
      </c>
      <c r="F1008">
        <f t="shared" si="346"/>
        <v>364.13952499999994</v>
      </c>
      <c r="G1008">
        <f t="shared" si="347"/>
        <v>364.14</v>
      </c>
      <c r="H1008">
        <v>1024</v>
      </c>
      <c r="I1008">
        <v>1</v>
      </c>
      <c r="J1008" s="35" t="s">
        <v>3929</v>
      </c>
      <c r="K1008" t="str">
        <f t="shared" si="331"/>
        <v>4534</v>
      </c>
      <c r="L1008" s="36" t="s">
        <v>5015</v>
      </c>
      <c r="M1008" s="35">
        <v>7629</v>
      </c>
      <c r="N1008" s="36" t="s">
        <v>5269</v>
      </c>
      <c r="O1008" s="35" t="s">
        <v>5814</v>
      </c>
      <c r="P1008" s="35" t="s">
        <v>5815</v>
      </c>
    </row>
    <row r="1009" spans="1:16">
      <c r="A1009" s="35">
        <v>4535</v>
      </c>
      <c r="B1009" s="36" t="s">
        <v>2547</v>
      </c>
      <c r="C1009">
        <f>VLOOKUP(A1009,'TABELA SPOLINE'!A:J,10,FALSE)</f>
        <v>301.62300000000005</v>
      </c>
      <c r="D1009">
        <f t="shared" si="344"/>
        <v>331.78530000000006</v>
      </c>
      <c r="E1009">
        <f t="shared" si="345"/>
        <v>331.78999999999996</v>
      </c>
      <c r="F1009">
        <f t="shared" si="346"/>
        <v>364.13952499999994</v>
      </c>
      <c r="G1009">
        <f t="shared" si="347"/>
        <v>364.14</v>
      </c>
      <c r="H1009">
        <v>1024</v>
      </c>
      <c r="I1009">
        <v>1</v>
      </c>
      <c r="J1009" s="35" t="s">
        <v>3930</v>
      </c>
      <c r="K1009" t="str">
        <f t="shared" si="331"/>
        <v>4535</v>
      </c>
      <c r="L1009" s="36" t="s">
        <v>5016</v>
      </c>
      <c r="M1009" s="35">
        <v>7629</v>
      </c>
      <c r="N1009" s="36" t="s">
        <v>5269</v>
      </c>
      <c r="O1009" s="35" t="s">
        <v>5812</v>
      </c>
      <c r="P1009" s="35" t="s">
        <v>5813</v>
      </c>
    </row>
    <row r="1010" spans="1:16">
      <c r="A1010" s="35">
        <v>4536</v>
      </c>
      <c r="B1010" s="36" t="s">
        <v>2548</v>
      </c>
      <c r="C1010">
        <f>VLOOKUP(A1010,'TABELA SPOLINE'!A:J,10,FALSE)</f>
        <v>301.62300000000005</v>
      </c>
      <c r="D1010">
        <f t="shared" si="344"/>
        <v>331.78530000000006</v>
      </c>
      <c r="E1010">
        <f t="shared" si="345"/>
        <v>331.78999999999996</v>
      </c>
      <c r="F1010">
        <f t="shared" si="346"/>
        <v>364.13952499999994</v>
      </c>
      <c r="G1010">
        <f t="shared" si="347"/>
        <v>364.14</v>
      </c>
      <c r="H1010">
        <v>1024</v>
      </c>
      <c r="I1010">
        <v>1</v>
      </c>
      <c r="J1010" s="35" t="s">
        <v>3931</v>
      </c>
      <c r="K1010" t="str">
        <f t="shared" si="331"/>
        <v>4536</v>
      </c>
      <c r="L1010" s="36" t="s">
        <v>5017</v>
      </c>
      <c r="M1010" s="35">
        <v>7629</v>
      </c>
      <c r="N1010" s="36" t="s">
        <v>5269</v>
      </c>
      <c r="O1010" s="35" t="s">
        <v>5812</v>
      </c>
      <c r="P1010" s="35" t="s">
        <v>5813</v>
      </c>
    </row>
    <row r="1011" spans="1:16">
      <c r="A1011" s="35">
        <v>4537</v>
      </c>
      <c r="B1011" s="36" t="s">
        <v>2549</v>
      </c>
      <c r="C1011">
        <f>VLOOKUP(A1011,'TABELA SPOLINE'!A:J,10,FALSE)</f>
        <v>349.48200000000003</v>
      </c>
      <c r="D1011">
        <f t="shared" si="344"/>
        <v>384.43020000000001</v>
      </c>
      <c r="E1011">
        <f t="shared" si="345"/>
        <v>384.44</v>
      </c>
      <c r="F1011">
        <f t="shared" si="346"/>
        <v>421.92290000000003</v>
      </c>
      <c r="G1011">
        <f t="shared" si="347"/>
        <v>421.93</v>
      </c>
      <c r="H1011">
        <v>1024</v>
      </c>
      <c r="I1011">
        <v>1.5</v>
      </c>
      <c r="J1011" s="35" t="s">
        <v>3932</v>
      </c>
      <c r="K1011" t="str">
        <f t="shared" si="331"/>
        <v>4537</v>
      </c>
      <c r="L1011" s="36" t="s">
        <v>5018</v>
      </c>
      <c r="M1011" s="35">
        <v>7629</v>
      </c>
      <c r="N1011" s="36" t="s">
        <v>5269</v>
      </c>
      <c r="O1011" s="35" t="s">
        <v>5814</v>
      </c>
      <c r="P1011" s="35" t="s">
        <v>5815</v>
      </c>
    </row>
    <row r="1012" spans="1:16">
      <c r="A1012" s="35">
        <v>4538</v>
      </c>
      <c r="B1012" s="36" t="s">
        <v>2550</v>
      </c>
      <c r="C1012">
        <f>VLOOKUP(A1012,'TABELA SPOLINE'!A:J,10,FALSE)</f>
        <v>349.48200000000003</v>
      </c>
      <c r="D1012">
        <f t="shared" si="344"/>
        <v>384.43020000000001</v>
      </c>
      <c r="E1012">
        <f t="shared" si="345"/>
        <v>384.44</v>
      </c>
      <c r="F1012">
        <f t="shared" si="346"/>
        <v>421.92290000000003</v>
      </c>
      <c r="G1012">
        <f t="shared" si="347"/>
        <v>421.93</v>
      </c>
      <c r="H1012">
        <v>1024</v>
      </c>
      <c r="I1012">
        <v>1.5</v>
      </c>
      <c r="J1012" s="35" t="s">
        <v>3933</v>
      </c>
      <c r="K1012" t="str">
        <f t="shared" si="331"/>
        <v>4538</v>
      </c>
      <c r="L1012" s="36" t="s">
        <v>5019</v>
      </c>
      <c r="M1012" s="35">
        <v>7629</v>
      </c>
      <c r="N1012" s="36" t="s">
        <v>5269</v>
      </c>
      <c r="O1012" s="35" t="s">
        <v>5812</v>
      </c>
      <c r="P1012" s="35" t="s">
        <v>5813</v>
      </c>
    </row>
    <row r="1013" spans="1:16">
      <c r="A1013" s="35">
        <v>4539</v>
      </c>
      <c r="B1013" s="36" t="s">
        <v>2551</v>
      </c>
      <c r="C1013">
        <f>VLOOKUP(A1013,'TABELA SPOLINE'!A:J,10,FALSE)</f>
        <v>349.48200000000003</v>
      </c>
      <c r="D1013">
        <f t="shared" si="344"/>
        <v>384.43020000000001</v>
      </c>
      <c r="E1013">
        <f t="shared" si="345"/>
        <v>384.44</v>
      </c>
      <c r="F1013">
        <f t="shared" si="346"/>
        <v>421.92290000000003</v>
      </c>
      <c r="G1013">
        <f t="shared" si="347"/>
        <v>421.93</v>
      </c>
      <c r="H1013">
        <v>1024</v>
      </c>
      <c r="I1013">
        <v>1.5</v>
      </c>
      <c r="J1013" s="35" t="s">
        <v>3934</v>
      </c>
      <c r="K1013" t="str">
        <f t="shared" si="331"/>
        <v>4539</v>
      </c>
      <c r="L1013" s="36" t="s">
        <v>5020</v>
      </c>
      <c r="M1013" s="35">
        <v>7629</v>
      </c>
      <c r="N1013" s="36" t="s">
        <v>5269</v>
      </c>
      <c r="O1013" s="35" t="s">
        <v>5816</v>
      </c>
      <c r="P1013" s="35" t="s">
        <v>5817</v>
      </c>
    </row>
    <row r="1014" spans="1:16">
      <c r="A1014" s="35">
        <v>4540</v>
      </c>
      <c r="B1014" s="36" t="s">
        <v>2552</v>
      </c>
      <c r="C1014">
        <f>VLOOKUP(A1014,'TABELA SPOLINE'!A:J,10,FALSE)</f>
        <v>349.48200000000003</v>
      </c>
      <c r="D1014">
        <f t="shared" si="344"/>
        <v>384.43020000000001</v>
      </c>
      <c r="E1014">
        <f t="shared" si="345"/>
        <v>384.44</v>
      </c>
      <c r="F1014">
        <f t="shared" si="346"/>
        <v>421.92290000000003</v>
      </c>
      <c r="G1014">
        <f t="shared" si="347"/>
        <v>421.93</v>
      </c>
      <c r="H1014">
        <v>1024</v>
      </c>
      <c r="I1014">
        <v>1.5</v>
      </c>
      <c r="J1014" s="35" t="s">
        <v>3935</v>
      </c>
      <c r="K1014" t="str">
        <f t="shared" si="331"/>
        <v>4540</v>
      </c>
      <c r="L1014" s="36" t="s">
        <v>5020</v>
      </c>
      <c r="M1014" s="35">
        <v>7629</v>
      </c>
      <c r="N1014" s="36" t="s">
        <v>5269</v>
      </c>
      <c r="O1014" s="35" t="s">
        <v>5816</v>
      </c>
      <c r="P1014" s="35" t="s">
        <v>5817</v>
      </c>
    </row>
    <row r="1015" spans="1:16" hidden="1">
      <c r="A1015" s="35">
        <v>4541</v>
      </c>
      <c r="B1015" s="36" t="s">
        <v>2553</v>
      </c>
      <c r="C1015" t="e">
        <f>VLOOKUP(A1015,'TABELA SPOLINE'!A:J,10,FALSE)</f>
        <v>#N/A</v>
      </c>
      <c r="H1015">
        <v>1025</v>
      </c>
      <c r="I1015">
        <v>1</v>
      </c>
      <c r="J1015" s="35" t="s">
        <v>3936</v>
      </c>
      <c r="K1015" t="str">
        <f t="shared" si="331"/>
        <v>4541</v>
      </c>
      <c r="L1015" s="36" t="s">
        <v>5021</v>
      </c>
      <c r="M1015" s="35">
        <v>7629</v>
      </c>
      <c r="N1015" s="36" t="s">
        <v>5269</v>
      </c>
      <c r="O1015" s="35" t="s">
        <v>5806</v>
      </c>
      <c r="P1015" s="35" t="s">
        <v>5807</v>
      </c>
    </row>
    <row r="1016" spans="1:16" hidden="1">
      <c r="A1016" s="35">
        <v>4542</v>
      </c>
      <c r="B1016" s="36" t="s">
        <v>2554</v>
      </c>
      <c r="C1016" t="e">
        <f>VLOOKUP(A1016,'TABELA SPOLINE'!A:J,10,FALSE)</f>
        <v>#N/A</v>
      </c>
      <c r="H1016">
        <v>1025</v>
      </c>
      <c r="I1016">
        <v>1</v>
      </c>
      <c r="J1016" s="35" t="s">
        <v>3937</v>
      </c>
      <c r="K1016" t="str">
        <f t="shared" si="331"/>
        <v>4542</v>
      </c>
      <c r="L1016" s="36" t="s">
        <v>5022</v>
      </c>
      <c r="M1016" s="35">
        <v>7629</v>
      </c>
      <c r="N1016" s="36" t="s">
        <v>5269</v>
      </c>
      <c r="O1016" s="35" t="s">
        <v>5818</v>
      </c>
      <c r="P1016" s="35" t="s">
        <v>5819</v>
      </c>
    </row>
    <row r="1017" spans="1:16" hidden="1">
      <c r="A1017" s="35">
        <v>4543</v>
      </c>
      <c r="B1017" s="36" t="s">
        <v>2555</v>
      </c>
      <c r="C1017" t="e">
        <f>VLOOKUP(A1017,'TABELA SPOLINE'!A:J,10,FALSE)</f>
        <v>#N/A</v>
      </c>
      <c r="H1017">
        <v>1025</v>
      </c>
      <c r="I1017">
        <v>1</v>
      </c>
      <c r="J1017" s="35" t="s">
        <v>3938</v>
      </c>
      <c r="K1017" t="str">
        <f t="shared" si="331"/>
        <v>4543</v>
      </c>
      <c r="L1017" s="36" t="s">
        <v>5023</v>
      </c>
      <c r="M1017" s="35">
        <v>7629</v>
      </c>
      <c r="N1017" s="36" t="s">
        <v>5269</v>
      </c>
      <c r="O1017" s="35" t="s">
        <v>5818</v>
      </c>
      <c r="P1017" s="35" t="s">
        <v>5819</v>
      </c>
    </row>
    <row r="1018" spans="1:16" hidden="1">
      <c r="A1018" s="35">
        <v>4544</v>
      </c>
      <c r="B1018" s="36" t="s">
        <v>2556</v>
      </c>
      <c r="C1018" t="e">
        <f>VLOOKUP(A1018,'TABELA SPOLINE'!A:J,10,FALSE)</f>
        <v>#N/A</v>
      </c>
      <c r="H1018">
        <v>1025</v>
      </c>
      <c r="I1018">
        <v>1</v>
      </c>
      <c r="J1018" s="35" t="s">
        <v>3939</v>
      </c>
      <c r="K1018" t="str">
        <f t="shared" si="331"/>
        <v>4544</v>
      </c>
      <c r="L1018" s="36" t="s">
        <v>5024</v>
      </c>
      <c r="M1018" s="35">
        <v>7629</v>
      </c>
      <c r="N1018" s="36" t="s">
        <v>5269</v>
      </c>
      <c r="O1018" s="35" t="s">
        <v>5818</v>
      </c>
      <c r="P1018" s="35" t="s">
        <v>5819</v>
      </c>
    </row>
    <row r="1019" spans="1:16" hidden="1">
      <c r="A1019" s="35">
        <v>4545</v>
      </c>
      <c r="B1019" s="36" t="s">
        <v>2557</v>
      </c>
      <c r="C1019" t="e">
        <f>VLOOKUP(A1019,'TABELA SPOLINE'!A:J,10,FALSE)</f>
        <v>#N/A</v>
      </c>
      <c r="H1019">
        <v>1025</v>
      </c>
      <c r="I1019">
        <v>1.5</v>
      </c>
      <c r="J1019" s="35" t="s">
        <v>3940</v>
      </c>
      <c r="K1019" t="str">
        <f t="shared" si="331"/>
        <v>4545</v>
      </c>
      <c r="L1019" s="36" t="s">
        <v>5025</v>
      </c>
      <c r="M1019" s="35">
        <v>7629</v>
      </c>
      <c r="N1019" s="36" t="s">
        <v>5269</v>
      </c>
      <c r="O1019" s="35" t="s">
        <v>5806</v>
      </c>
      <c r="P1019" s="35" t="s">
        <v>5807</v>
      </c>
    </row>
    <row r="1020" spans="1:16" hidden="1">
      <c r="A1020" s="35">
        <v>4546</v>
      </c>
      <c r="B1020" s="36" t="s">
        <v>2558</v>
      </c>
      <c r="C1020" t="e">
        <f>VLOOKUP(A1020,'TABELA SPOLINE'!A:J,10,FALSE)</f>
        <v>#N/A</v>
      </c>
      <c r="H1020">
        <v>1025</v>
      </c>
      <c r="I1020">
        <v>1.5</v>
      </c>
      <c r="J1020" s="35" t="s">
        <v>3941</v>
      </c>
      <c r="K1020" t="str">
        <f t="shared" si="331"/>
        <v>4546</v>
      </c>
      <c r="L1020" s="36" t="s">
        <v>5026</v>
      </c>
      <c r="M1020" s="35">
        <v>7629</v>
      </c>
      <c r="N1020" s="36" t="s">
        <v>5269</v>
      </c>
      <c r="O1020" s="35" t="s">
        <v>5806</v>
      </c>
      <c r="P1020" s="35" t="s">
        <v>5807</v>
      </c>
    </row>
    <row r="1021" spans="1:16" hidden="1">
      <c r="A1021" s="35">
        <v>4547</v>
      </c>
      <c r="B1021" s="36" t="s">
        <v>2559</v>
      </c>
      <c r="C1021" t="e">
        <f>VLOOKUP(A1021,'TABELA SPOLINE'!A:J,10,FALSE)</f>
        <v>#N/A</v>
      </c>
      <c r="H1021">
        <v>1025</v>
      </c>
      <c r="I1021">
        <v>1.5</v>
      </c>
      <c r="J1021" s="35" t="s">
        <v>3942</v>
      </c>
      <c r="K1021" t="str">
        <f t="shared" si="331"/>
        <v>4547</v>
      </c>
      <c r="L1021" s="36" t="s">
        <v>5027</v>
      </c>
      <c r="M1021" s="35">
        <v>7629</v>
      </c>
      <c r="N1021" s="36" t="s">
        <v>5269</v>
      </c>
      <c r="O1021" s="35" t="s">
        <v>5806</v>
      </c>
      <c r="P1021" s="35" t="s">
        <v>5807</v>
      </c>
    </row>
    <row r="1022" spans="1:16" hidden="1">
      <c r="A1022" s="35">
        <v>4548</v>
      </c>
      <c r="B1022" s="36" t="s">
        <v>2560</v>
      </c>
      <c r="C1022" t="e">
        <f>VLOOKUP(A1022,'TABELA SPOLINE'!A:J,10,FALSE)</f>
        <v>#N/A</v>
      </c>
      <c r="H1022">
        <v>1025</v>
      </c>
      <c r="I1022">
        <v>1.5</v>
      </c>
      <c r="J1022" s="35" t="s">
        <v>3943</v>
      </c>
      <c r="K1022" t="str">
        <f t="shared" si="331"/>
        <v>4548</v>
      </c>
      <c r="L1022" s="36" t="s">
        <v>5028</v>
      </c>
      <c r="M1022" s="35">
        <v>7629</v>
      </c>
      <c r="N1022" s="36" t="s">
        <v>5269</v>
      </c>
      <c r="O1022" s="35" t="s">
        <v>5806</v>
      </c>
      <c r="P1022" s="35" t="s">
        <v>5807</v>
      </c>
    </row>
    <row r="1023" spans="1:16">
      <c r="A1023" s="35">
        <v>4565</v>
      </c>
      <c r="B1023" s="36" t="s">
        <v>2417</v>
      </c>
      <c r="C1023">
        <f>VLOOKUP(A1023,'TABELA SPOLINE'!A:J,10,FALSE)</f>
        <v>121.31700000000001</v>
      </c>
      <c r="D1023">
        <f t="shared" ref="D1023:D1024" si="348">C1023*0.1+C1023</f>
        <v>133.4487</v>
      </c>
      <c r="E1023">
        <f t="shared" ref="E1023:E1024" si="349">ROUNDUP(D1023,2)</f>
        <v>133.44999999999999</v>
      </c>
      <c r="F1023">
        <f t="shared" ref="F1023:F1024" si="350">E1023*0.0975+E1023</f>
        <v>146.46137499999998</v>
      </c>
      <c r="G1023">
        <f t="shared" ref="G1023:G1024" si="351">ROUNDUP(F1023,2)</f>
        <v>146.47</v>
      </c>
      <c r="H1023">
        <v>1028</v>
      </c>
      <c r="I1023">
        <v>1</v>
      </c>
      <c r="J1023" s="35" t="s">
        <v>3802</v>
      </c>
      <c r="K1023" t="str">
        <f t="shared" si="331"/>
        <v>4565</v>
      </c>
      <c r="L1023" s="36" t="s">
        <v>5029</v>
      </c>
      <c r="M1023" s="35">
        <v>7629</v>
      </c>
      <c r="N1023" s="36" t="s">
        <v>5269</v>
      </c>
      <c r="O1023" s="35" t="s">
        <v>5818</v>
      </c>
      <c r="P1023" s="35" t="s">
        <v>5819</v>
      </c>
    </row>
    <row r="1024" spans="1:16">
      <c r="A1024" s="35">
        <v>4566</v>
      </c>
      <c r="B1024" s="36" t="s">
        <v>2418</v>
      </c>
      <c r="C1024">
        <f>VLOOKUP(A1024,'TABELA SPOLINE'!A:J,10,FALSE)</f>
        <v>121.31700000000001</v>
      </c>
      <c r="D1024">
        <f t="shared" si="348"/>
        <v>133.4487</v>
      </c>
      <c r="E1024">
        <f t="shared" si="349"/>
        <v>133.44999999999999</v>
      </c>
      <c r="F1024">
        <f t="shared" si="350"/>
        <v>146.46137499999998</v>
      </c>
      <c r="G1024">
        <f t="shared" si="351"/>
        <v>146.47</v>
      </c>
      <c r="H1024">
        <v>1028</v>
      </c>
      <c r="I1024">
        <v>1</v>
      </c>
      <c r="J1024" s="35" t="s">
        <v>3803</v>
      </c>
      <c r="K1024" t="str">
        <f t="shared" si="331"/>
        <v>4566</v>
      </c>
      <c r="L1024" s="36" t="s">
        <v>5030</v>
      </c>
      <c r="M1024" s="35">
        <v>7629</v>
      </c>
      <c r="N1024" s="36" t="s">
        <v>5269</v>
      </c>
      <c r="O1024" s="35" t="s">
        <v>5806</v>
      </c>
      <c r="P1024" s="35" t="s">
        <v>5807</v>
      </c>
    </row>
    <row r="1025" spans="1:16" hidden="1">
      <c r="A1025" s="35">
        <v>4567</v>
      </c>
      <c r="B1025" s="36" t="s">
        <v>2419</v>
      </c>
      <c r="C1025" t="e">
        <f>VLOOKUP(A1025,'TABELA SPOLINE'!A:J,10,FALSE)</f>
        <v>#N/A</v>
      </c>
      <c r="H1025">
        <v>1028</v>
      </c>
      <c r="I1025">
        <v>1</v>
      </c>
      <c r="J1025" s="35" t="s">
        <v>3804</v>
      </c>
      <c r="K1025" t="str">
        <f t="shared" si="331"/>
        <v>4567</v>
      </c>
      <c r="L1025" s="36" t="s">
        <v>5026</v>
      </c>
      <c r="M1025" s="35">
        <v>7629</v>
      </c>
      <c r="N1025" s="36" t="s">
        <v>5269</v>
      </c>
      <c r="O1025" s="35" t="s">
        <v>5806</v>
      </c>
      <c r="P1025" s="35" t="s">
        <v>5807</v>
      </c>
    </row>
    <row r="1026" spans="1:16" hidden="1">
      <c r="A1026" s="35">
        <v>4568</v>
      </c>
      <c r="B1026" s="36" t="s">
        <v>2420</v>
      </c>
      <c r="C1026" t="e">
        <f>VLOOKUP(A1026,'TABELA SPOLINE'!A:J,10,FALSE)</f>
        <v>#N/A</v>
      </c>
      <c r="H1026">
        <v>1028</v>
      </c>
      <c r="I1026">
        <v>1</v>
      </c>
      <c r="J1026" s="35" t="s">
        <v>3805</v>
      </c>
      <c r="K1026" t="str">
        <f t="shared" si="331"/>
        <v>4568</v>
      </c>
      <c r="L1026" s="36" t="s">
        <v>5031</v>
      </c>
      <c r="M1026" s="35">
        <v>7629</v>
      </c>
      <c r="N1026" s="36" t="s">
        <v>5269</v>
      </c>
      <c r="O1026" s="35" t="s">
        <v>5818</v>
      </c>
      <c r="P1026" s="35" t="s">
        <v>5819</v>
      </c>
    </row>
    <row r="1027" spans="1:16">
      <c r="A1027" s="35">
        <v>4587</v>
      </c>
      <c r="B1027" s="36" t="s">
        <v>2534</v>
      </c>
      <c r="C1027">
        <f>VLOOKUP(A1027,'TABELA SPOLINE'!A:J,10,FALSE)</f>
        <v>446.31300000000005</v>
      </c>
      <c r="D1027">
        <f t="shared" ref="D1027:D1030" si="352">C1027*0.1+C1027</f>
        <v>490.94430000000006</v>
      </c>
      <c r="E1027">
        <f t="shared" ref="E1027:E1030" si="353">ROUNDUP(D1027,2)</f>
        <v>490.95</v>
      </c>
      <c r="F1027">
        <f t="shared" ref="F1027:F1030" si="354">E1027*0.0975+E1027</f>
        <v>538.81762500000002</v>
      </c>
      <c r="G1027">
        <f t="shared" ref="G1027:G1030" si="355">ROUNDUP(F1027,2)</f>
        <v>538.81999999999994</v>
      </c>
      <c r="H1027">
        <v>1010</v>
      </c>
      <c r="I1027">
        <v>5</v>
      </c>
      <c r="J1027" s="35" t="s">
        <v>3917</v>
      </c>
      <c r="K1027" t="str">
        <f t="shared" ref="K1027:K1090" si="356">TRIM(A1027)</f>
        <v>4587</v>
      </c>
      <c r="L1027" s="36" t="s">
        <v>5025</v>
      </c>
      <c r="M1027" s="35">
        <v>7629</v>
      </c>
      <c r="N1027" s="36" t="s">
        <v>5269</v>
      </c>
      <c r="O1027" s="35" t="s">
        <v>5818</v>
      </c>
      <c r="P1027" s="35" t="s">
        <v>5819</v>
      </c>
    </row>
    <row r="1028" spans="1:16">
      <c r="A1028" s="35">
        <v>4588</v>
      </c>
      <c r="B1028" s="36" t="s">
        <v>2535</v>
      </c>
      <c r="C1028">
        <f>VLOOKUP(A1028,'TABELA SPOLINE'!A:J,10,FALSE)</f>
        <v>446.31300000000005</v>
      </c>
      <c r="D1028">
        <f t="shared" si="352"/>
        <v>490.94430000000006</v>
      </c>
      <c r="E1028">
        <f t="shared" si="353"/>
        <v>490.95</v>
      </c>
      <c r="F1028">
        <f t="shared" si="354"/>
        <v>538.81762500000002</v>
      </c>
      <c r="G1028">
        <f t="shared" si="355"/>
        <v>538.81999999999994</v>
      </c>
      <c r="H1028">
        <v>1010</v>
      </c>
      <c r="I1028">
        <v>5</v>
      </c>
      <c r="J1028" s="35" t="s">
        <v>3918</v>
      </c>
      <c r="K1028" t="str">
        <f t="shared" si="356"/>
        <v>4588</v>
      </c>
      <c r="L1028" s="36" t="s">
        <v>5032</v>
      </c>
      <c r="M1028" s="35">
        <v>7629</v>
      </c>
      <c r="N1028" s="36" t="s">
        <v>5269</v>
      </c>
      <c r="O1028" s="35" t="s">
        <v>5820</v>
      </c>
      <c r="P1028" s="35" t="s">
        <v>5821</v>
      </c>
    </row>
    <row r="1029" spans="1:16">
      <c r="A1029" s="35">
        <v>4589</v>
      </c>
      <c r="B1029" s="36" t="s">
        <v>2536</v>
      </c>
      <c r="C1029">
        <f>VLOOKUP(A1029,'TABELA SPOLINE'!A:J,10,FALSE)</f>
        <v>446.31300000000005</v>
      </c>
      <c r="D1029">
        <f t="shared" si="352"/>
        <v>490.94430000000006</v>
      </c>
      <c r="E1029">
        <f t="shared" si="353"/>
        <v>490.95</v>
      </c>
      <c r="F1029">
        <f t="shared" si="354"/>
        <v>538.81762500000002</v>
      </c>
      <c r="G1029">
        <f t="shared" si="355"/>
        <v>538.81999999999994</v>
      </c>
      <c r="H1029">
        <v>1010</v>
      </c>
      <c r="I1029">
        <v>5</v>
      </c>
      <c r="J1029" s="35" t="s">
        <v>3919</v>
      </c>
      <c r="K1029" t="str">
        <f t="shared" si="356"/>
        <v>4589</v>
      </c>
      <c r="L1029" s="36" t="s">
        <v>5033</v>
      </c>
      <c r="M1029" s="35">
        <v>7629</v>
      </c>
      <c r="N1029" s="36" t="s">
        <v>5269</v>
      </c>
      <c r="O1029" s="35" t="s">
        <v>5820</v>
      </c>
      <c r="P1029" s="35" t="s">
        <v>5821</v>
      </c>
    </row>
    <row r="1030" spans="1:16">
      <c r="A1030" s="35">
        <v>4590</v>
      </c>
      <c r="B1030" s="36" t="s">
        <v>2537</v>
      </c>
      <c r="C1030">
        <f>VLOOKUP(A1030,'TABELA SPOLINE'!A:J,10,FALSE)</f>
        <v>446.31300000000005</v>
      </c>
      <c r="D1030">
        <f t="shared" si="352"/>
        <v>490.94430000000006</v>
      </c>
      <c r="E1030">
        <f t="shared" si="353"/>
        <v>490.95</v>
      </c>
      <c r="F1030">
        <f t="shared" si="354"/>
        <v>538.81762500000002</v>
      </c>
      <c r="G1030">
        <f t="shared" si="355"/>
        <v>538.81999999999994</v>
      </c>
      <c r="H1030">
        <v>1010</v>
      </c>
      <c r="I1030">
        <v>5</v>
      </c>
      <c r="J1030" s="35" t="s">
        <v>3920</v>
      </c>
      <c r="K1030" t="str">
        <f t="shared" si="356"/>
        <v>4590</v>
      </c>
      <c r="L1030" s="36" t="s">
        <v>5034</v>
      </c>
      <c r="M1030" s="35">
        <v>7629</v>
      </c>
      <c r="N1030" s="36" t="s">
        <v>5269</v>
      </c>
      <c r="O1030" s="35" t="s">
        <v>5820</v>
      </c>
      <c r="P1030" s="35" t="s">
        <v>5821</v>
      </c>
    </row>
    <row r="1031" spans="1:16" hidden="1">
      <c r="A1031" s="35">
        <v>4591</v>
      </c>
      <c r="B1031" s="36" t="s">
        <v>2538</v>
      </c>
      <c r="C1031" t="e">
        <f>VLOOKUP(A1031,'TABELA SPOLINE'!A:J,10,FALSE)</f>
        <v>#N/A</v>
      </c>
      <c r="H1031">
        <v>1010</v>
      </c>
      <c r="I1031">
        <v>5</v>
      </c>
      <c r="J1031" s="35" t="s">
        <v>3921</v>
      </c>
      <c r="K1031" t="str">
        <f t="shared" si="356"/>
        <v>4591</v>
      </c>
      <c r="L1031" s="36" t="s">
        <v>5035</v>
      </c>
      <c r="M1031" s="35">
        <v>7629</v>
      </c>
      <c r="N1031" s="36" t="s">
        <v>5269</v>
      </c>
      <c r="O1031" s="35" t="s">
        <v>5820</v>
      </c>
      <c r="P1031" s="35" t="s">
        <v>5821</v>
      </c>
    </row>
    <row r="1032" spans="1:16">
      <c r="A1032" s="35">
        <v>4597</v>
      </c>
      <c r="B1032" s="36" t="s">
        <v>2734</v>
      </c>
      <c r="C1032">
        <f>VLOOKUP(A1032,'TABELA SPOLINE'!A:J,10,FALSE)</f>
        <v>116.86500000000001</v>
      </c>
      <c r="D1032">
        <f>C1032*0.1+C1032</f>
        <v>128.5515</v>
      </c>
      <c r="E1032">
        <f>ROUNDUP(D1032,2)</f>
        <v>128.56</v>
      </c>
      <c r="F1032">
        <f>E1032*0.0975+E1032</f>
        <v>141.09460000000001</v>
      </c>
      <c r="G1032">
        <f>ROUNDUP(F1032,2)</f>
        <v>141.1</v>
      </c>
      <c r="H1032">
        <v>996</v>
      </c>
      <c r="I1032">
        <v>1</v>
      </c>
      <c r="J1032" s="35" t="s">
        <v>4115</v>
      </c>
      <c r="K1032" t="str">
        <f t="shared" si="356"/>
        <v>4597</v>
      </c>
      <c r="L1032" s="36" t="s">
        <v>5036</v>
      </c>
      <c r="M1032" s="35">
        <v>7629</v>
      </c>
      <c r="N1032" s="36" t="s">
        <v>5269</v>
      </c>
      <c r="O1032" s="35" t="s">
        <v>5628</v>
      </c>
      <c r="P1032" s="35" t="s">
        <v>5629</v>
      </c>
    </row>
    <row r="1033" spans="1:16" hidden="1">
      <c r="A1033" s="35">
        <v>4598</v>
      </c>
      <c r="B1033" s="36" t="s">
        <v>2735</v>
      </c>
      <c r="C1033" t="e">
        <f>VLOOKUP(A1033,'TABELA SPOLINE'!A:J,10,FALSE)</f>
        <v>#N/A</v>
      </c>
      <c r="H1033">
        <v>996</v>
      </c>
      <c r="I1033">
        <v>1</v>
      </c>
      <c r="J1033" s="35" t="s">
        <v>4116</v>
      </c>
      <c r="K1033" t="str">
        <f t="shared" si="356"/>
        <v>4598</v>
      </c>
      <c r="L1033" s="36" t="s">
        <v>5037</v>
      </c>
      <c r="M1033" s="35">
        <v>7629</v>
      </c>
      <c r="N1033" s="36" t="s">
        <v>5269</v>
      </c>
      <c r="O1033" s="35" t="s">
        <v>5628</v>
      </c>
      <c r="P1033" s="35" t="s">
        <v>5629</v>
      </c>
    </row>
    <row r="1034" spans="1:16" hidden="1">
      <c r="A1034" s="35">
        <v>4601</v>
      </c>
      <c r="B1034" s="36" t="s">
        <v>2404</v>
      </c>
      <c r="C1034" t="e">
        <f>VLOOKUP(A1034,'TABELA SPOLINE'!A:J,10,FALSE)</f>
        <v>#N/A</v>
      </c>
      <c r="H1034">
        <v>997</v>
      </c>
      <c r="I1034">
        <v>1</v>
      </c>
      <c r="J1034" s="35" t="s">
        <v>3789</v>
      </c>
      <c r="K1034" t="str">
        <f t="shared" si="356"/>
        <v>4601</v>
      </c>
      <c r="L1034" s="36" t="s">
        <v>5038</v>
      </c>
      <c r="M1034" s="35">
        <v>7629</v>
      </c>
      <c r="N1034" s="36" t="s">
        <v>5269</v>
      </c>
      <c r="O1034" s="35" t="s">
        <v>5822</v>
      </c>
      <c r="P1034" s="35" t="s">
        <v>5823</v>
      </c>
    </row>
    <row r="1035" spans="1:16">
      <c r="A1035" s="35">
        <v>4602</v>
      </c>
      <c r="B1035" s="36" t="s">
        <v>2405</v>
      </c>
      <c r="C1035">
        <f>VLOOKUP(A1035,'TABELA SPOLINE'!A:J,10,FALSE)</f>
        <v>192.54900000000001</v>
      </c>
      <c r="D1035">
        <f t="shared" ref="D1035:D1038" si="357">C1035*0.1+C1035</f>
        <v>211.8039</v>
      </c>
      <c r="E1035">
        <f t="shared" ref="E1035:E1038" si="358">ROUNDUP(D1035,2)</f>
        <v>211.81</v>
      </c>
      <c r="F1035">
        <f t="shared" ref="F1035:F1038" si="359">E1035*0.0975+E1035</f>
        <v>232.46147500000001</v>
      </c>
      <c r="G1035">
        <f t="shared" ref="G1035:G1038" si="360">ROUNDUP(F1035,2)</f>
        <v>232.47</v>
      </c>
      <c r="H1035">
        <v>997</v>
      </c>
      <c r="I1035">
        <v>1</v>
      </c>
      <c r="J1035" s="35" t="s">
        <v>3790</v>
      </c>
      <c r="K1035" t="str">
        <f t="shared" si="356"/>
        <v>4602</v>
      </c>
      <c r="L1035" s="36" t="s">
        <v>5038</v>
      </c>
      <c r="M1035" s="35">
        <v>7629</v>
      </c>
      <c r="N1035" s="36" t="s">
        <v>5269</v>
      </c>
      <c r="O1035" s="35" t="s">
        <v>5824</v>
      </c>
      <c r="P1035" s="35" t="s">
        <v>5825</v>
      </c>
    </row>
    <row r="1036" spans="1:16">
      <c r="A1036" s="35">
        <v>4605</v>
      </c>
      <c r="B1036" s="36" t="s">
        <v>2406</v>
      </c>
      <c r="C1036">
        <f>VLOOKUP(A1036,'TABELA SPOLINE'!A:J,10,FALSE)</f>
        <v>230.39100000000002</v>
      </c>
      <c r="D1036">
        <f t="shared" si="357"/>
        <v>253.43010000000004</v>
      </c>
      <c r="E1036">
        <f t="shared" si="358"/>
        <v>253.44</v>
      </c>
      <c r="F1036">
        <f t="shared" si="359"/>
        <v>278.15039999999999</v>
      </c>
      <c r="G1036">
        <f t="shared" si="360"/>
        <v>278.15999999999997</v>
      </c>
      <c r="H1036">
        <v>997</v>
      </c>
      <c r="I1036">
        <v>1</v>
      </c>
      <c r="J1036" s="35" t="s">
        <v>3791</v>
      </c>
      <c r="K1036" t="str">
        <f t="shared" si="356"/>
        <v>4605</v>
      </c>
      <c r="L1036" s="36" t="s">
        <v>5039</v>
      </c>
      <c r="M1036" s="35">
        <v>7629</v>
      </c>
      <c r="N1036" s="36" t="s">
        <v>5269</v>
      </c>
      <c r="O1036" s="35" t="s">
        <v>5817</v>
      </c>
      <c r="P1036" s="35" t="s">
        <v>5826</v>
      </c>
    </row>
    <row r="1037" spans="1:16">
      <c r="A1037" s="35">
        <v>4607</v>
      </c>
      <c r="B1037" s="36" t="s">
        <v>2407</v>
      </c>
      <c r="C1037">
        <f>VLOOKUP(A1037,'TABELA SPOLINE'!A:J,10,FALSE)</f>
        <v>192.54900000000001</v>
      </c>
      <c r="D1037">
        <f t="shared" si="357"/>
        <v>211.8039</v>
      </c>
      <c r="E1037">
        <f t="shared" si="358"/>
        <v>211.81</v>
      </c>
      <c r="F1037">
        <f t="shared" si="359"/>
        <v>232.46147500000001</v>
      </c>
      <c r="G1037">
        <f t="shared" si="360"/>
        <v>232.47</v>
      </c>
      <c r="H1037">
        <v>997</v>
      </c>
      <c r="I1037">
        <v>1</v>
      </c>
      <c r="J1037" s="35" t="s">
        <v>3792</v>
      </c>
      <c r="K1037" t="str">
        <f t="shared" si="356"/>
        <v>4607</v>
      </c>
      <c r="L1037" s="36" t="s">
        <v>5040</v>
      </c>
      <c r="M1037" s="35">
        <v>7629</v>
      </c>
      <c r="N1037" s="36" t="s">
        <v>5269</v>
      </c>
      <c r="O1037" s="35" t="s">
        <v>5817</v>
      </c>
      <c r="P1037" s="35" t="s">
        <v>5826</v>
      </c>
    </row>
    <row r="1038" spans="1:16">
      <c r="A1038" s="35">
        <v>4610</v>
      </c>
      <c r="B1038" s="36" t="s">
        <v>2408</v>
      </c>
      <c r="C1038">
        <f>VLOOKUP(A1038,'TABELA SPOLINE'!A:J,10,FALSE)</f>
        <v>230.39100000000002</v>
      </c>
      <c r="D1038">
        <f t="shared" si="357"/>
        <v>253.43010000000004</v>
      </c>
      <c r="E1038">
        <f t="shared" si="358"/>
        <v>253.44</v>
      </c>
      <c r="F1038">
        <f t="shared" si="359"/>
        <v>278.15039999999999</v>
      </c>
      <c r="G1038">
        <f t="shared" si="360"/>
        <v>278.15999999999997</v>
      </c>
      <c r="H1038">
        <v>997</v>
      </c>
      <c r="I1038">
        <v>1</v>
      </c>
      <c r="J1038" s="35" t="s">
        <v>3793</v>
      </c>
      <c r="K1038" t="str">
        <f t="shared" si="356"/>
        <v>4610</v>
      </c>
      <c r="L1038" s="36" t="s">
        <v>5041</v>
      </c>
      <c r="M1038" s="35">
        <v>7629</v>
      </c>
      <c r="N1038" s="36" t="s">
        <v>5269</v>
      </c>
      <c r="O1038" s="35" t="s">
        <v>5822</v>
      </c>
      <c r="P1038" s="35" t="s">
        <v>5823</v>
      </c>
    </row>
    <row r="1039" spans="1:16" hidden="1">
      <c r="A1039" s="35">
        <v>4611</v>
      </c>
      <c r="B1039" s="36" t="s">
        <v>2409</v>
      </c>
      <c r="C1039" t="e">
        <f>VLOOKUP(A1039,'TABELA SPOLINE'!A:J,10,FALSE)</f>
        <v>#N/A</v>
      </c>
      <c r="H1039">
        <v>997</v>
      </c>
      <c r="I1039">
        <v>1</v>
      </c>
      <c r="J1039" s="35" t="s">
        <v>3794</v>
      </c>
      <c r="K1039" t="str">
        <f t="shared" si="356"/>
        <v>4611</v>
      </c>
      <c r="L1039" s="36" t="s">
        <v>5042</v>
      </c>
      <c r="M1039" s="35">
        <v>7629</v>
      </c>
      <c r="N1039" s="36" t="s">
        <v>5269</v>
      </c>
      <c r="O1039" s="35" t="s">
        <v>5827</v>
      </c>
      <c r="P1039" s="35" t="s">
        <v>5828</v>
      </c>
    </row>
    <row r="1040" spans="1:16" hidden="1">
      <c r="A1040" s="35">
        <v>4642</v>
      </c>
      <c r="B1040" s="36" t="s">
        <v>2410</v>
      </c>
      <c r="C1040" t="e">
        <f>VLOOKUP(A1040,'TABELA SPOLINE'!A:J,10,FALSE)</f>
        <v>#N/A</v>
      </c>
      <c r="H1040">
        <v>1002</v>
      </c>
      <c r="I1040">
        <v>1</v>
      </c>
      <c r="J1040" s="35" t="s">
        <v>3795</v>
      </c>
      <c r="K1040" t="str">
        <f t="shared" si="356"/>
        <v>4642</v>
      </c>
      <c r="L1040" s="36" t="s">
        <v>5043</v>
      </c>
      <c r="M1040" s="35">
        <v>7629</v>
      </c>
      <c r="N1040" s="36" t="s">
        <v>5269</v>
      </c>
      <c r="O1040" s="35" t="s">
        <v>5829</v>
      </c>
      <c r="P1040" s="35" t="s">
        <v>5830</v>
      </c>
    </row>
    <row r="1041" spans="1:16" hidden="1">
      <c r="A1041" s="35">
        <v>4643</v>
      </c>
      <c r="B1041" s="36" t="s">
        <v>2411</v>
      </c>
      <c r="C1041" t="e">
        <f>VLOOKUP(A1041,'TABELA SPOLINE'!A:J,10,FALSE)</f>
        <v>#N/A</v>
      </c>
      <c r="H1041">
        <v>1002</v>
      </c>
      <c r="I1041">
        <v>1</v>
      </c>
      <c r="J1041" s="35" t="s">
        <v>3796</v>
      </c>
      <c r="K1041" t="str">
        <f t="shared" si="356"/>
        <v>4643</v>
      </c>
      <c r="L1041" s="36" t="s">
        <v>5043</v>
      </c>
      <c r="M1041" s="35">
        <v>7629</v>
      </c>
      <c r="N1041" s="36" t="s">
        <v>5269</v>
      </c>
      <c r="O1041" s="35" t="s">
        <v>5829</v>
      </c>
      <c r="P1041" s="35" t="s">
        <v>5830</v>
      </c>
    </row>
    <row r="1042" spans="1:16" hidden="1">
      <c r="A1042" s="35">
        <v>4644</v>
      </c>
      <c r="B1042" s="36" t="s">
        <v>2412</v>
      </c>
      <c r="C1042" t="e">
        <f>VLOOKUP(A1042,'TABELA SPOLINE'!A:J,10,FALSE)</f>
        <v>#N/A</v>
      </c>
      <c r="H1042">
        <v>1002</v>
      </c>
      <c r="I1042">
        <v>1</v>
      </c>
      <c r="J1042" s="35" t="s">
        <v>3797</v>
      </c>
      <c r="K1042" t="str">
        <f t="shared" si="356"/>
        <v>4644</v>
      </c>
      <c r="L1042" s="36" t="s">
        <v>5044</v>
      </c>
      <c r="M1042" s="35">
        <v>7629</v>
      </c>
      <c r="N1042" s="36" t="s">
        <v>5269</v>
      </c>
      <c r="O1042" s="35" t="s">
        <v>5831</v>
      </c>
      <c r="P1042" s="35" t="s">
        <v>5832</v>
      </c>
    </row>
    <row r="1043" spans="1:16" hidden="1">
      <c r="A1043" s="35">
        <v>4645</v>
      </c>
      <c r="B1043" s="36" t="s">
        <v>2413</v>
      </c>
      <c r="C1043" t="e">
        <f>VLOOKUP(A1043,'TABELA SPOLINE'!A:J,10,FALSE)</f>
        <v>#N/A</v>
      </c>
      <c r="H1043">
        <v>1003</v>
      </c>
      <c r="I1043">
        <v>1</v>
      </c>
      <c r="J1043" s="35" t="s">
        <v>3798</v>
      </c>
      <c r="K1043" t="str">
        <f t="shared" si="356"/>
        <v>4645</v>
      </c>
      <c r="L1043" s="36" t="s">
        <v>5045</v>
      </c>
      <c r="M1043" s="35">
        <v>7629</v>
      </c>
      <c r="N1043" s="36" t="s">
        <v>5269</v>
      </c>
      <c r="O1043" s="35" t="s">
        <v>5831</v>
      </c>
      <c r="P1043" s="35" t="s">
        <v>5832</v>
      </c>
    </row>
    <row r="1044" spans="1:16" hidden="1">
      <c r="A1044" s="35">
        <v>4646</v>
      </c>
      <c r="B1044" s="36" t="s">
        <v>2414</v>
      </c>
      <c r="C1044" t="e">
        <f>VLOOKUP(A1044,'TABELA SPOLINE'!A:J,10,FALSE)</f>
        <v>#N/A</v>
      </c>
      <c r="H1044">
        <v>1003</v>
      </c>
      <c r="I1044">
        <v>1</v>
      </c>
      <c r="J1044" s="35" t="s">
        <v>3799</v>
      </c>
      <c r="K1044" t="str">
        <f t="shared" si="356"/>
        <v>4646</v>
      </c>
      <c r="L1044" s="36" t="s">
        <v>5046</v>
      </c>
      <c r="M1044" s="35">
        <v>7629</v>
      </c>
      <c r="N1044" s="36" t="s">
        <v>5269</v>
      </c>
      <c r="O1044" s="35" t="s">
        <v>5831</v>
      </c>
      <c r="P1044" s="35" t="s">
        <v>5832</v>
      </c>
    </row>
    <row r="1045" spans="1:16" hidden="1">
      <c r="A1045" s="35">
        <v>4647</v>
      </c>
      <c r="B1045" s="36" t="s">
        <v>2415</v>
      </c>
      <c r="C1045" t="e">
        <f>VLOOKUP(A1045,'TABELA SPOLINE'!A:J,10,FALSE)</f>
        <v>#N/A</v>
      </c>
      <c r="H1045">
        <v>1003</v>
      </c>
      <c r="I1045">
        <v>1</v>
      </c>
      <c r="J1045" s="35" t="s">
        <v>3800</v>
      </c>
      <c r="K1045" t="str">
        <f t="shared" si="356"/>
        <v>4647</v>
      </c>
      <c r="L1045" s="36" t="s">
        <v>5047</v>
      </c>
      <c r="M1045" s="35">
        <v>7629</v>
      </c>
      <c r="N1045" s="36" t="s">
        <v>5269</v>
      </c>
      <c r="O1045" s="35" t="s">
        <v>5831</v>
      </c>
      <c r="P1045" s="35" t="s">
        <v>5832</v>
      </c>
    </row>
    <row r="1046" spans="1:16" hidden="1">
      <c r="A1046" s="35">
        <v>4648</v>
      </c>
      <c r="B1046" s="36" t="s">
        <v>2416</v>
      </c>
      <c r="C1046" t="e">
        <f>VLOOKUP(A1046,'TABELA SPOLINE'!A:J,10,FALSE)</f>
        <v>#N/A</v>
      </c>
      <c r="H1046">
        <v>1003</v>
      </c>
      <c r="I1046">
        <v>1</v>
      </c>
      <c r="J1046" s="35" t="s">
        <v>3801</v>
      </c>
      <c r="K1046" t="str">
        <f t="shared" si="356"/>
        <v>4648</v>
      </c>
      <c r="L1046" s="36" t="s">
        <v>5048</v>
      </c>
      <c r="M1046" s="35">
        <v>7629</v>
      </c>
      <c r="N1046" s="36" t="s">
        <v>5269</v>
      </c>
      <c r="O1046" s="35" t="s">
        <v>5833</v>
      </c>
      <c r="P1046" s="35" t="s">
        <v>5834</v>
      </c>
    </row>
    <row r="1047" spans="1:16">
      <c r="A1047" s="35">
        <v>4661</v>
      </c>
      <c r="B1047" s="36" t="s">
        <v>2520</v>
      </c>
      <c r="C1047">
        <f>VLOOKUP(A1047,'TABELA SPOLINE'!A:J,10,FALSE)</f>
        <v>510.86700000000002</v>
      </c>
      <c r="D1047">
        <f t="shared" ref="D1047:D1050" si="361">C1047*0.1+C1047</f>
        <v>561.95370000000003</v>
      </c>
      <c r="E1047">
        <f t="shared" ref="E1047:E1050" si="362">ROUNDUP(D1047,2)</f>
        <v>561.96</v>
      </c>
      <c r="F1047">
        <f t="shared" ref="F1047:F1050" si="363">E1047*0.0975+E1047</f>
        <v>616.75110000000006</v>
      </c>
      <c r="G1047">
        <f t="shared" ref="G1047:G1050" si="364">ROUNDUP(F1047,2)</f>
        <v>616.76</v>
      </c>
      <c r="H1047">
        <v>1006</v>
      </c>
      <c r="I1047">
        <v>6</v>
      </c>
      <c r="J1047" s="35" t="s">
        <v>3903</v>
      </c>
      <c r="K1047" t="str">
        <f t="shared" si="356"/>
        <v>4661</v>
      </c>
      <c r="L1047" s="36" t="s">
        <v>5049</v>
      </c>
      <c r="M1047" s="35">
        <v>7629</v>
      </c>
      <c r="N1047" s="36" t="s">
        <v>5269</v>
      </c>
      <c r="O1047" s="35" t="s">
        <v>5833</v>
      </c>
      <c r="P1047" s="35" t="s">
        <v>5834</v>
      </c>
    </row>
    <row r="1048" spans="1:16">
      <c r="A1048" s="35">
        <v>4662</v>
      </c>
      <c r="B1048" s="36" t="s">
        <v>2521</v>
      </c>
      <c r="C1048">
        <f>VLOOKUP(A1048,'TABELA SPOLINE'!A:J,10,FALSE)</f>
        <v>510.86700000000002</v>
      </c>
      <c r="D1048">
        <f t="shared" si="361"/>
        <v>561.95370000000003</v>
      </c>
      <c r="E1048">
        <f t="shared" si="362"/>
        <v>561.96</v>
      </c>
      <c r="F1048">
        <f t="shared" si="363"/>
        <v>616.75110000000006</v>
      </c>
      <c r="G1048">
        <f t="shared" si="364"/>
        <v>616.76</v>
      </c>
      <c r="H1048">
        <v>1006</v>
      </c>
      <c r="I1048">
        <v>6</v>
      </c>
      <c r="J1048" s="35" t="s">
        <v>3904</v>
      </c>
      <c r="K1048" t="str">
        <f t="shared" si="356"/>
        <v>4662</v>
      </c>
      <c r="L1048" s="36" t="s">
        <v>5050</v>
      </c>
      <c r="M1048" s="35">
        <v>7629</v>
      </c>
      <c r="N1048" s="36" t="s">
        <v>5269</v>
      </c>
      <c r="O1048" s="35" t="s">
        <v>5658</v>
      </c>
      <c r="P1048" s="35" t="s">
        <v>5659</v>
      </c>
    </row>
    <row r="1049" spans="1:16">
      <c r="A1049" s="35">
        <v>4663</v>
      </c>
      <c r="B1049" s="36" t="s">
        <v>2522</v>
      </c>
      <c r="C1049">
        <f>VLOOKUP(A1049,'TABELA SPOLINE'!A:J,10,FALSE)</f>
        <v>510.86700000000002</v>
      </c>
      <c r="D1049">
        <f t="shared" si="361"/>
        <v>561.95370000000003</v>
      </c>
      <c r="E1049">
        <f t="shared" si="362"/>
        <v>561.96</v>
      </c>
      <c r="F1049">
        <f t="shared" si="363"/>
        <v>616.75110000000006</v>
      </c>
      <c r="G1049">
        <f t="shared" si="364"/>
        <v>616.76</v>
      </c>
      <c r="H1049">
        <v>1006</v>
      </c>
      <c r="I1049">
        <v>6</v>
      </c>
      <c r="J1049" s="35" t="s">
        <v>3905</v>
      </c>
      <c r="K1049" t="str">
        <f t="shared" si="356"/>
        <v>4663</v>
      </c>
      <c r="L1049" s="36" t="s">
        <v>5051</v>
      </c>
      <c r="M1049" s="35">
        <v>7629</v>
      </c>
      <c r="N1049" s="36" t="s">
        <v>5269</v>
      </c>
      <c r="O1049" s="35" t="s">
        <v>5658</v>
      </c>
      <c r="P1049" s="35" t="s">
        <v>5659</v>
      </c>
    </row>
    <row r="1050" spans="1:16">
      <c r="A1050" s="35">
        <v>4664</v>
      </c>
      <c r="B1050" s="36" t="s">
        <v>2523</v>
      </c>
      <c r="C1050">
        <f>VLOOKUP(A1050,'TABELA SPOLINE'!A:J,10,FALSE)</f>
        <v>510.86700000000002</v>
      </c>
      <c r="D1050">
        <f t="shared" si="361"/>
        <v>561.95370000000003</v>
      </c>
      <c r="E1050">
        <f t="shared" si="362"/>
        <v>561.96</v>
      </c>
      <c r="F1050">
        <f t="shared" si="363"/>
        <v>616.75110000000006</v>
      </c>
      <c r="G1050">
        <f t="shared" si="364"/>
        <v>616.76</v>
      </c>
      <c r="H1050">
        <v>1006</v>
      </c>
      <c r="I1050">
        <v>6</v>
      </c>
      <c r="J1050" s="35" t="s">
        <v>3906</v>
      </c>
      <c r="K1050" t="str">
        <f t="shared" si="356"/>
        <v>4664</v>
      </c>
      <c r="L1050" s="36" t="s">
        <v>5052</v>
      </c>
      <c r="M1050" s="35">
        <v>7629</v>
      </c>
      <c r="N1050" s="36" t="s">
        <v>5269</v>
      </c>
      <c r="O1050" s="35" t="s">
        <v>5658</v>
      </c>
      <c r="P1050" s="35" t="s">
        <v>5659</v>
      </c>
    </row>
    <row r="1051" spans="1:16" hidden="1">
      <c r="A1051" s="35">
        <v>4665</v>
      </c>
      <c r="B1051" s="36" t="s">
        <v>2524</v>
      </c>
      <c r="C1051" t="e">
        <f>VLOOKUP(A1051,'TABELA SPOLINE'!A:J,10,FALSE)</f>
        <v>#N/A</v>
      </c>
      <c r="H1051">
        <v>1007</v>
      </c>
      <c r="I1051">
        <v>6</v>
      </c>
      <c r="J1051" s="35" t="s">
        <v>3907</v>
      </c>
      <c r="K1051" t="str">
        <f t="shared" si="356"/>
        <v>4665</v>
      </c>
      <c r="L1051" s="36" t="s">
        <v>5053</v>
      </c>
      <c r="M1051" s="35">
        <v>7629</v>
      </c>
      <c r="N1051" s="36" t="s">
        <v>5269</v>
      </c>
      <c r="O1051" s="35" t="s">
        <v>5833</v>
      </c>
      <c r="P1051" s="35" t="s">
        <v>5834</v>
      </c>
    </row>
    <row r="1052" spans="1:16" hidden="1">
      <c r="A1052" s="35">
        <v>4666</v>
      </c>
      <c r="B1052" s="36" t="s">
        <v>2525</v>
      </c>
      <c r="C1052" t="e">
        <f>VLOOKUP(A1052,'TABELA SPOLINE'!A:J,10,FALSE)</f>
        <v>#N/A</v>
      </c>
      <c r="H1052">
        <v>1007</v>
      </c>
      <c r="I1052">
        <v>6</v>
      </c>
      <c r="J1052" s="35" t="s">
        <v>3908</v>
      </c>
      <c r="K1052" t="str">
        <f t="shared" si="356"/>
        <v>4666</v>
      </c>
      <c r="L1052" s="36" t="s">
        <v>5054</v>
      </c>
      <c r="M1052" s="35">
        <v>7629</v>
      </c>
      <c r="N1052" s="36" t="s">
        <v>5269</v>
      </c>
      <c r="O1052" s="35" t="s">
        <v>5656</v>
      </c>
      <c r="P1052" s="35" t="s">
        <v>5657</v>
      </c>
    </row>
    <row r="1053" spans="1:16" hidden="1">
      <c r="A1053" s="35">
        <v>4667</v>
      </c>
      <c r="B1053" s="36" t="s">
        <v>2526</v>
      </c>
      <c r="C1053" t="e">
        <f>VLOOKUP(A1053,'TABELA SPOLINE'!A:J,10,FALSE)</f>
        <v>#N/A</v>
      </c>
      <c r="H1053">
        <v>1007</v>
      </c>
      <c r="I1053">
        <v>6</v>
      </c>
      <c r="J1053" s="35" t="s">
        <v>3909</v>
      </c>
      <c r="K1053" t="str">
        <f t="shared" si="356"/>
        <v>4667</v>
      </c>
      <c r="L1053" s="36" t="s">
        <v>5055</v>
      </c>
      <c r="M1053" s="35">
        <v>7629</v>
      </c>
      <c r="N1053" s="36" t="s">
        <v>5269</v>
      </c>
      <c r="O1053" s="35" t="s">
        <v>5658</v>
      </c>
      <c r="P1053" s="35" t="s">
        <v>5659</v>
      </c>
    </row>
    <row r="1054" spans="1:16">
      <c r="A1054" s="35">
        <v>4668</v>
      </c>
      <c r="B1054" s="36" t="s">
        <v>2527</v>
      </c>
      <c r="C1054">
        <f>VLOOKUP(A1054,'TABELA SPOLINE'!A:J,10,FALSE)</f>
        <v>477.47700000000003</v>
      </c>
      <c r="D1054">
        <f>C1054*0.1+C1054</f>
        <v>525.22469999999998</v>
      </c>
      <c r="E1054">
        <f>ROUNDUP(D1054,2)</f>
        <v>525.23</v>
      </c>
      <c r="F1054">
        <f>E1054*0.0975+E1054</f>
        <v>576.43992500000002</v>
      </c>
      <c r="G1054">
        <f>ROUNDUP(F1054,2)</f>
        <v>576.43999999999994</v>
      </c>
      <c r="H1054">
        <v>1007</v>
      </c>
      <c r="I1054">
        <v>6</v>
      </c>
      <c r="J1054" s="35" t="s">
        <v>3910</v>
      </c>
      <c r="K1054" t="str">
        <f t="shared" si="356"/>
        <v>4668</v>
      </c>
      <c r="L1054" s="36" t="s">
        <v>5056</v>
      </c>
      <c r="M1054" s="35">
        <v>7629</v>
      </c>
      <c r="N1054" s="36" t="s">
        <v>5269</v>
      </c>
      <c r="O1054" s="35" t="s">
        <v>5835</v>
      </c>
      <c r="P1054" s="35" t="s">
        <v>5836</v>
      </c>
    </row>
    <row r="1055" spans="1:16" hidden="1">
      <c r="A1055" s="35">
        <v>4669</v>
      </c>
      <c r="B1055" s="36" t="s">
        <v>2528</v>
      </c>
      <c r="C1055" t="e">
        <f>VLOOKUP(A1055,'TABELA SPOLINE'!A:J,10,FALSE)</f>
        <v>#N/A</v>
      </c>
      <c r="H1055">
        <v>1007</v>
      </c>
      <c r="I1055">
        <v>6</v>
      </c>
      <c r="J1055" s="35" t="s">
        <v>3911</v>
      </c>
      <c r="K1055" t="str">
        <f t="shared" si="356"/>
        <v>4669</v>
      </c>
      <c r="L1055" s="36" t="s">
        <v>5057</v>
      </c>
      <c r="M1055" s="35">
        <v>7629</v>
      </c>
      <c r="N1055" s="36" t="s">
        <v>5269</v>
      </c>
      <c r="O1055" s="35" t="s">
        <v>5835</v>
      </c>
      <c r="P1055" s="35" t="s">
        <v>5836</v>
      </c>
    </row>
    <row r="1056" spans="1:16" hidden="1">
      <c r="A1056" s="35">
        <v>4670</v>
      </c>
      <c r="B1056" s="36" t="s">
        <v>2529</v>
      </c>
      <c r="C1056" t="e">
        <f>VLOOKUP(A1056,'TABELA SPOLINE'!A:J,10,FALSE)</f>
        <v>#N/A</v>
      </c>
      <c r="H1056">
        <v>1007</v>
      </c>
      <c r="I1056">
        <v>6</v>
      </c>
      <c r="J1056" s="35" t="s">
        <v>3912</v>
      </c>
      <c r="K1056" t="str">
        <f t="shared" si="356"/>
        <v>4670</v>
      </c>
      <c r="L1056" s="36" t="s">
        <v>5058</v>
      </c>
      <c r="M1056" s="35">
        <v>7629</v>
      </c>
      <c r="N1056" s="36" t="s">
        <v>5269</v>
      </c>
      <c r="O1056" s="35" t="s">
        <v>5835</v>
      </c>
      <c r="P1056" s="35" t="s">
        <v>5836</v>
      </c>
    </row>
    <row r="1057" spans="1:16" hidden="1">
      <c r="A1057" s="35">
        <v>4671</v>
      </c>
      <c r="B1057" s="36" t="s">
        <v>2530</v>
      </c>
      <c r="C1057" t="e">
        <f>VLOOKUP(A1057,'TABELA SPOLINE'!A:J,10,FALSE)</f>
        <v>#N/A</v>
      </c>
      <c r="H1057">
        <v>1007</v>
      </c>
      <c r="I1057">
        <v>6</v>
      </c>
      <c r="J1057" s="35" t="s">
        <v>3913</v>
      </c>
      <c r="K1057" t="str">
        <f t="shared" si="356"/>
        <v>4671</v>
      </c>
      <c r="L1057" s="36" t="s">
        <v>5059</v>
      </c>
      <c r="M1057" s="35">
        <v>7629</v>
      </c>
      <c r="N1057" s="36" t="s">
        <v>5269</v>
      </c>
      <c r="O1057" s="35" t="s">
        <v>5835</v>
      </c>
      <c r="P1057" s="35" t="s">
        <v>5836</v>
      </c>
    </row>
    <row r="1058" spans="1:16">
      <c r="A1058" s="35">
        <v>4672</v>
      </c>
      <c r="B1058" s="36" t="s">
        <v>2533</v>
      </c>
      <c r="C1058">
        <f>VLOOKUP(A1058,'TABELA SPOLINE'!A:J,10,FALSE)</f>
        <v>477.47700000000003</v>
      </c>
      <c r="D1058">
        <f>C1058*0.1+C1058</f>
        <v>525.22469999999998</v>
      </c>
      <c r="E1058">
        <f>ROUNDUP(D1058,2)</f>
        <v>525.23</v>
      </c>
      <c r="F1058">
        <f>E1058*0.0975+E1058</f>
        <v>576.43992500000002</v>
      </c>
      <c r="G1058">
        <f>ROUNDUP(F1058,2)</f>
        <v>576.43999999999994</v>
      </c>
      <c r="H1058">
        <v>1007</v>
      </c>
      <c r="I1058">
        <v>6</v>
      </c>
      <c r="J1058" s="35" t="s">
        <v>3916</v>
      </c>
      <c r="K1058" t="str">
        <f t="shared" si="356"/>
        <v>4672</v>
      </c>
      <c r="L1058" s="36" t="s">
        <v>5060</v>
      </c>
      <c r="M1058" s="35">
        <v>7629</v>
      </c>
      <c r="N1058" s="36" t="s">
        <v>5269</v>
      </c>
      <c r="O1058" s="35" t="s">
        <v>5835</v>
      </c>
      <c r="P1058" s="35" t="s">
        <v>5836</v>
      </c>
    </row>
    <row r="1059" spans="1:16" hidden="1">
      <c r="A1059" s="35">
        <v>4676</v>
      </c>
      <c r="B1059" s="36" t="s">
        <v>1763</v>
      </c>
      <c r="C1059" t="e">
        <f>VLOOKUP(A1059,'TABELA SPOLINE'!A:J,10,FALSE)</f>
        <v>#N/A</v>
      </c>
      <c r="H1059">
        <v>633</v>
      </c>
      <c r="I1059">
        <v>3</v>
      </c>
      <c r="J1059" s="35" t="s">
        <v>3150</v>
      </c>
      <c r="K1059" t="str">
        <f t="shared" si="356"/>
        <v>4676</v>
      </c>
      <c r="L1059" s="36" t="s">
        <v>5061</v>
      </c>
      <c r="M1059" s="35">
        <v>7629</v>
      </c>
      <c r="N1059" s="36" t="s">
        <v>5269</v>
      </c>
      <c r="O1059" s="35" t="s">
        <v>5837</v>
      </c>
      <c r="P1059" s="35" t="s">
        <v>5838</v>
      </c>
    </row>
    <row r="1060" spans="1:16" hidden="1">
      <c r="A1060" s="35">
        <v>4680</v>
      </c>
      <c r="B1060" s="36" t="s">
        <v>2703</v>
      </c>
      <c r="C1060" t="e">
        <f>VLOOKUP(A1060,'TABELA SPOLINE'!A:J,10,FALSE)</f>
        <v>#N/A</v>
      </c>
      <c r="H1060">
        <v>994</v>
      </c>
      <c r="I1060">
        <v>1</v>
      </c>
      <c r="J1060" s="35" t="s">
        <v>4084</v>
      </c>
      <c r="K1060" t="str">
        <f t="shared" si="356"/>
        <v>4680</v>
      </c>
      <c r="L1060" s="36" t="s">
        <v>5062</v>
      </c>
      <c r="M1060" s="35">
        <v>7629</v>
      </c>
      <c r="N1060" s="36" t="s">
        <v>5269</v>
      </c>
      <c r="O1060" s="35" t="s">
        <v>5837</v>
      </c>
      <c r="P1060" s="35" t="s">
        <v>5838</v>
      </c>
    </row>
    <row r="1061" spans="1:16">
      <c r="A1061" s="35">
        <v>4683</v>
      </c>
      <c r="B1061" s="36" t="s">
        <v>2382</v>
      </c>
      <c r="C1061">
        <f>VLOOKUP(A1061,'TABELA SPOLINE'!A:J,10,FALSE)</f>
        <v>97.498799999999989</v>
      </c>
      <c r="D1061">
        <f>C1061*0.1+C1061</f>
        <v>107.24867999999999</v>
      </c>
      <c r="E1061">
        <f>ROUNDUP(D1061,2)</f>
        <v>107.25</v>
      </c>
      <c r="F1061">
        <f>E1061*0.0975+E1061</f>
        <v>117.706875</v>
      </c>
      <c r="G1061">
        <f>ROUNDUP(F1061,2)</f>
        <v>117.71000000000001</v>
      </c>
      <c r="H1061">
        <v>886</v>
      </c>
      <c r="I1061">
        <v>2</v>
      </c>
      <c r="J1061" s="35" t="s">
        <v>3767</v>
      </c>
      <c r="K1061" t="str">
        <f t="shared" si="356"/>
        <v>4683</v>
      </c>
      <c r="L1061" s="36" t="s">
        <v>5061</v>
      </c>
      <c r="M1061" s="35">
        <v>7629</v>
      </c>
      <c r="N1061" s="36" t="s">
        <v>5269</v>
      </c>
      <c r="O1061" s="35" t="s">
        <v>5839</v>
      </c>
      <c r="P1061" s="35" t="s">
        <v>5840</v>
      </c>
    </row>
    <row r="1062" spans="1:16" hidden="1">
      <c r="A1062" s="35">
        <v>4684</v>
      </c>
      <c r="B1062" s="36" t="s">
        <v>2722</v>
      </c>
      <c r="C1062" t="e">
        <f>VLOOKUP(A1062,'TABELA SPOLINE'!A:J,10,FALSE)</f>
        <v>#N/A</v>
      </c>
      <c r="H1062">
        <v>995</v>
      </c>
      <c r="I1062">
        <v>3</v>
      </c>
      <c r="J1062" s="35" t="s">
        <v>4103</v>
      </c>
      <c r="K1062" t="str">
        <f t="shared" si="356"/>
        <v>4684</v>
      </c>
      <c r="L1062" s="36" t="s">
        <v>5063</v>
      </c>
      <c r="M1062" s="35">
        <v>7629</v>
      </c>
      <c r="N1062" s="36" t="s">
        <v>5269</v>
      </c>
      <c r="O1062" s="35" t="s">
        <v>5837</v>
      </c>
      <c r="P1062" s="35" t="s">
        <v>5838</v>
      </c>
    </row>
    <row r="1063" spans="1:16" hidden="1">
      <c r="A1063" s="35">
        <v>4685</v>
      </c>
      <c r="B1063" s="36" t="s">
        <v>2723</v>
      </c>
      <c r="C1063" t="e">
        <f>VLOOKUP(A1063,'TABELA SPOLINE'!A:J,10,FALSE)</f>
        <v>#N/A</v>
      </c>
      <c r="H1063">
        <v>995</v>
      </c>
      <c r="I1063">
        <v>3</v>
      </c>
      <c r="J1063" s="35" t="s">
        <v>4104</v>
      </c>
      <c r="K1063" t="str">
        <f t="shared" si="356"/>
        <v>4685</v>
      </c>
      <c r="L1063" s="36" t="s">
        <v>5064</v>
      </c>
      <c r="M1063" s="35">
        <v>7629</v>
      </c>
      <c r="N1063" s="36" t="s">
        <v>5269</v>
      </c>
      <c r="O1063" s="35" t="s">
        <v>5839</v>
      </c>
      <c r="P1063" s="35" t="s">
        <v>5840</v>
      </c>
    </row>
    <row r="1064" spans="1:16" hidden="1">
      <c r="A1064" s="35">
        <v>4686</v>
      </c>
      <c r="B1064" s="36" t="s">
        <v>2024</v>
      </c>
      <c r="C1064" t="e">
        <f>VLOOKUP(A1064,'TABELA SPOLINE'!A:J,10,FALSE)</f>
        <v>#N/A</v>
      </c>
      <c r="H1064">
        <v>828</v>
      </c>
      <c r="I1064">
        <v>2</v>
      </c>
      <c r="J1064" s="35" t="s">
        <v>3409</v>
      </c>
      <c r="K1064" t="str">
        <f t="shared" si="356"/>
        <v>4686</v>
      </c>
      <c r="L1064" s="36" t="s">
        <v>5061</v>
      </c>
      <c r="M1064" s="35">
        <v>7629</v>
      </c>
      <c r="N1064" s="36" t="s">
        <v>5269</v>
      </c>
      <c r="O1064" s="35" t="s">
        <v>5839</v>
      </c>
      <c r="P1064" s="35" t="s">
        <v>5840</v>
      </c>
    </row>
    <row r="1065" spans="1:16" hidden="1">
      <c r="A1065" s="35">
        <v>4698</v>
      </c>
      <c r="B1065" s="36" t="s">
        <v>2085</v>
      </c>
      <c r="C1065" t="e">
        <f>VLOOKUP(A1065,'TABELA SPOLINE'!A:J,10,FALSE)</f>
        <v>#N/A</v>
      </c>
      <c r="H1065">
        <v>709</v>
      </c>
      <c r="J1065" s="35" t="s">
        <v>3470</v>
      </c>
      <c r="K1065" t="str">
        <f t="shared" si="356"/>
        <v>4698</v>
      </c>
      <c r="L1065" s="36" t="s">
        <v>5065</v>
      </c>
      <c r="M1065" s="35">
        <v>7629</v>
      </c>
      <c r="N1065" s="36" t="s">
        <v>5269</v>
      </c>
      <c r="O1065" s="35" t="s">
        <v>5839</v>
      </c>
      <c r="P1065" s="35" t="s">
        <v>5840</v>
      </c>
    </row>
    <row r="1066" spans="1:16" hidden="1">
      <c r="A1066" s="35">
        <v>4709</v>
      </c>
      <c r="B1066" s="36" t="s">
        <v>2049</v>
      </c>
      <c r="C1066" t="e">
        <f>VLOOKUP(A1066,'TABELA SPOLINE'!A:J,10,FALSE)</f>
        <v>#N/A</v>
      </c>
      <c r="H1066">
        <v>830</v>
      </c>
      <c r="I1066">
        <v>1</v>
      </c>
      <c r="J1066" s="35" t="s">
        <v>3434</v>
      </c>
      <c r="K1066" t="str">
        <f t="shared" si="356"/>
        <v>4709</v>
      </c>
      <c r="L1066" s="36" t="s">
        <v>5061</v>
      </c>
      <c r="M1066" s="35">
        <v>7629</v>
      </c>
      <c r="N1066" s="36" t="s">
        <v>5269</v>
      </c>
      <c r="O1066" s="35" t="s">
        <v>5839</v>
      </c>
      <c r="P1066" s="35" t="s">
        <v>5840</v>
      </c>
    </row>
    <row r="1067" spans="1:16">
      <c r="A1067" s="35">
        <v>4718</v>
      </c>
      <c r="B1067" s="36" t="s">
        <v>2632</v>
      </c>
      <c r="C1067">
        <f>VLOOKUP(A1067,'TABELA SPOLINE'!A:J,10,FALSE)</f>
        <v>185.87100000000001</v>
      </c>
      <c r="D1067">
        <f t="shared" ref="D1067:D1069" si="365">C1067*0.1+C1067</f>
        <v>204.4581</v>
      </c>
      <c r="E1067">
        <f t="shared" ref="E1067:E1069" si="366">ROUNDUP(D1067,2)</f>
        <v>204.45999999999998</v>
      </c>
      <c r="F1067">
        <f t="shared" ref="F1067:F1069" si="367">E1067*0.0975+E1067</f>
        <v>224.39484999999996</v>
      </c>
      <c r="G1067">
        <f t="shared" ref="G1067:G1069" si="368">ROUNDUP(F1067,2)</f>
        <v>224.39999999999998</v>
      </c>
      <c r="H1067">
        <v>895</v>
      </c>
      <c r="I1067">
        <v>1</v>
      </c>
      <c r="J1067" s="35" t="s">
        <v>4015</v>
      </c>
      <c r="K1067" t="str">
        <f t="shared" si="356"/>
        <v>4718</v>
      </c>
      <c r="L1067" s="36" t="s">
        <v>5066</v>
      </c>
      <c r="M1067" s="35">
        <v>7629</v>
      </c>
      <c r="N1067" s="36" t="s">
        <v>5269</v>
      </c>
      <c r="O1067" s="35" t="s">
        <v>5839</v>
      </c>
      <c r="P1067" s="35" t="s">
        <v>5840</v>
      </c>
    </row>
    <row r="1068" spans="1:16">
      <c r="A1068" s="35">
        <v>4719</v>
      </c>
      <c r="B1068" s="36" t="s">
        <v>2675</v>
      </c>
      <c r="C1068">
        <f>VLOOKUP(A1068,'TABELA SPOLINE'!A:J,10,FALSE)</f>
        <v>327.22199999999998</v>
      </c>
      <c r="D1068">
        <f t="shared" si="365"/>
        <v>359.94419999999997</v>
      </c>
      <c r="E1068">
        <f t="shared" si="366"/>
        <v>359.95</v>
      </c>
      <c r="F1068">
        <f t="shared" si="367"/>
        <v>395.04512499999998</v>
      </c>
      <c r="G1068">
        <f t="shared" si="368"/>
        <v>395.05</v>
      </c>
      <c r="H1068">
        <v>853</v>
      </c>
      <c r="I1068">
        <v>1</v>
      </c>
      <c r="J1068" s="35" t="s">
        <v>4056</v>
      </c>
      <c r="K1068" t="str">
        <f t="shared" si="356"/>
        <v>4719</v>
      </c>
      <c r="L1068" s="36" t="s">
        <v>5067</v>
      </c>
      <c r="M1068" s="35">
        <v>7629</v>
      </c>
      <c r="N1068" s="36" t="s">
        <v>5269</v>
      </c>
      <c r="O1068" s="35" t="s">
        <v>5839</v>
      </c>
      <c r="P1068" s="35" t="s">
        <v>5840</v>
      </c>
    </row>
    <row r="1069" spans="1:16">
      <c r="A1069" s="35">
        <v>4722</v>
      </c>
      <c r="B1069" s="36" t="s">
        <v>1634</v>
      </c>
      <c r="C1069">
        <f>VLOOKUP(A1069,'TABELA SPOLINE'!A:J,10,FALSE)</f>
        <v>139.125</v>
      </c>
      <c r="D1069">
        <f t="shared" si="365"/>
        <v>153.03749999999999</v>
      </c>
      <c r="E1069">
        <f t="shared" si="366"/>
        <v>153.04</v>
      </c>
      <c r="F1069">
        <f t="shared" si="367"/>
        <v>167.9614</v>
      </c>
      <c r="G1069">
        <f t="shared" si="368"/>
        <v>167.97</v>
      </c>
      <c r="H1069">
        <v>385</v>
      </c>
      <c r="I1069">
        <v>3</v>
      </c>
      <c r="J1069" s="35" t="s">
        <v>3022</v>
      </c>
      <c r="K1069" t="str">
        <f t="shared" si="356"/>
        <v>4722</v>
      </c>
      <c r="L1069" s="36" t="s">
        <v>5068</v>
      </c>
      <c r="M1069" s="35">
        <v>7629</v>
      </c>
      <c r="N1069" s="36" t="s">
        <v>5269</v>
      </c>
      <c r="O1069" s="35" t="s">
        <v>5841</v>
      </c>
      <c r="P1069" s="35" t="s">
        <v>5842</v>
      </c>
    </row>
    <row r="1070" spans="1:16" hidden="1">
      <c r="A1070" s="35">
        <v>4728</v>
      </c>
      <c r="B1070" s="36" t="s">
        <v>2483</v>
      </c>
      <c r="C1070" t="e">
        <f>VLOOKUP(A1070,'TABELA SPOLINE'!A:J,10,FALSE)</f>
        <v>#N/A</v>
      </c>
      <c r="H1070">
        <v>859</v>
      </c>
      <c r="I1070">
        <v>3</v>
      </c>
      <c r="J1070" s="35" t="s">
        <v>3866</v>
      </c>
      <c r="K1070" t="str">
        <f t="shared" si="356"/>
        <v>4728</v>
      </c>
      <c r="L1070" s="36" t="s">
        <v>5069</v>
      </c>
      <c r="M1070" s="35">
        <v>7629</v>
      </c>
      <c r="N1070" s="36" t="s">
        <v>5269</v>
      </c>
      <c r="O1070" s="35" t="s">
        <v>5843</v>
      </c>
      <c r="P1070" s="35" t="s">
        <v>5844</v>
      </c>
    </row>
    <row r="1071" spans="1:16" hidden="1">
      <c r="A1071" s="35">
        <v>4729</v>
      </c>
      <c r="B1071" s="36" t="s">
        <v>2484</v>
      </c>
      <c r="C1071" t="e">
        <f>VLOOKUP(A1071,'TABELA SPOLINE'!A:J,10,FALSE)</f>
        <v>#N/A</v>
      </c>
      <c r="H1071">
        <v>859</v>
      </c>
      <c r="I1071">
        <v>3</v>
      </c>
      <c r="J1071" s="35" t="s">
        <v>3867</v>
      </c>
      <c r="K1071" t="str">
        <f t="shared" si="356"/>
        <v>4729</v>
      </c>
      <c r="L1071" s="36" t="s">
        <v>5070</v>
      </c>
      <c r="M1071" s="35">
        <v>7629</v>
      </c>
      <c r="N1071" s="36" t="s">
        <v>5269</v>
      </c>
      <c r="O1071" s="35" t="s">
        <v>5845</v>
      </c>
      <c r="P1071" s="35" t="s">
        <v>5846</v>
      </c>
    </row>
    <row r="1072" spans="1:16" hidden="1">
      <c r="A1072" s="35">
        <v>4730</v>
      </c>
      <c r="B1072" s="36" t="s">
        <v>2485</v>
      </c>
      <c r="C1072" t="e">
        <f>VLOOKUP(A1072,'TABELA SPOLINE'!A:J,10,FALSE)</f>
        <v>#N/A</v>
      </c>
      <c r="H1072">
        <v>859</v>
      </c>
      <c r="I1072">
        <v>3</v>
      </c>
      <c r="J1072" s="35" t="s">
        <v>3868</v>
      </c>
      <c r="K1072" t="str">
        <f t="shared" si="356"/>
        <v>4730</v>
      </c>
      <c r="L1072" s="36" t="s">
        <v>5071</v>
      </c>
      <c r="M1072" s="35">
        <v>7629</v>
      </c>
      <c r="N1072" s="36" t="s">
        <v>5269</v>
      </c>
      <c r="O1072" s="35" t="s">
        <v>5845</v>
      </c>
      <c r="P1072" s="35" t="s">
        <v>5846</v>
      </c>
    </row>
    <row r="1073" spans="1:16" hidden="1">
      <c r="A1073" s="35">
        <v>4738</v>
      </c>
      <c r="B1073" s="36" t="s">
        <v>1926</v>
      </c>
      <c r="C1073" t="e">
        <f>VLOOKUP(A1073,'TABELA SPOLINE'!A:J,10,FALSE)</f>
        <v>#N/A</v>
      </c>
      <c r="H1073">
        <v>799</v>
      </c>
      <c r="I1073">
        <v>1</v>
      </c>
      <c r="J1073" s="35" t="s">
        <v>3311</v>
      </c>
      <c r="K1073" t="str">
        <f t="shared" si="356"/>
        <v>4738</v>
      </c>
      <c r="L1073" s="36" t="s">
        <v>5072</v>
      </c>
      <c r="M1073" s="35">
        <v>7629</v>
      </c>
      <c r="N1073" s="36" t="s">
        <v>5269</v>
      </c>
      <c r="O1073" s="35" t="s">
        <v>5845</v>
      </c>
      <c r="P1073" s="35" t="s">
        <v>5846</v>
      </c>
    </row>
    <row r="1074" spans="1:16">
      <c r="A1074" s="35">
        <v>4743</v>
      </c>
      <c r="B1074" s="36" t="s">
        <v>2421</v>
      </c>
      <c r="C1074">
        <f>VLOOKUP(A1074,'TABELA SPOLINE'!A:J,10,FALSE)</f>
        <v>217.03500000000003</v>
      </c>
      <c r="D1074">
        <f t="shared" ref="D1074:D1076" si="369">C1074*0.1+C1074</f>
        <v>238.73850000000004</v>
      </c>
      <c r="E1074">
        <f t="shared" ref="E1074:E1076" si="370">ROUNDUP(D1074,2)</f>
        <v>238.73999999999998</v>
      </c>
      <c r="F1074">
        <f t="shared" ref="F1074:F1076" si="371">E1074*0.0975+E1074</f>
        <v>262.01714999999996</v>
      </c>
      <c r="G1074">
        <f t="shared" ref="G1074:G1076" si="372">ROUNDUP(F1074,2)</f>
        <v>262.02</v>
      </c>
      <c r="H1074">
        <v>1039</v>
      </c>
      <c r="I1074">
        <v>1</v>
      </c>
      <c r="J1074" s="35" t="s">
        <v>3806</v>
      </c>
      <c r="K1074" t="str">
        <f t="shared" si="356"/>
        <v>4743</v>
      </c>
      <c r="L1074" s="36" t="s">
        <v>5073</v>
      </c>
      <c r="M1074" s="35">
        <v>7629</v>
      </c>
      <c r="N1074" s="36" t="s">
        <v>5269</v>
      </c>
      <c r="O1074" s="35" t="s">
        <v>5847</v>
      </c>
      <c r="P1074" s="35" t="s">
        <v>5848</v>
      </c>
    </row>
    <row r="1075" spans="1:16">
      <c r="A1075" s="35">
        <v>4744</v>
      </c>
      <c r="B1075" s="36" t="s">
        <v>2423</v>
      </c>
      <c r="C1075">
        <f>VLOOKUP(A1075,'TABELA SPOLINE'!A:J,10,FALSE)</f>
        <v>217.03500000000003</v>
      </c>
      <c r="D1075">
        <f t="shared" si="369"/>
        <v>238.73850000000004</v>
      </c>
      <c r="E1075">
        <f t="shared" si="370"/>
        <v>238.73999999999998</v>
      </c>
      <c r="F1075">
        <f t="shared" si="371"/>
        <v>262.01714999999996</v>
      </c>
      <c r="G1075">
        <f t="shared" si="372"/>
        <v>262.02</v>
      </c>
      <c r="J1075" s="35" t="s">
        <v>2422</v>
      </c>
      <c r="K1075" t="str">
        <f t="shared" si="356"/>
        <v>4744</v>
      </c>
      <c r="L1075" s="36" t="s">
        <v>5074</v>
      </c>
      <c r="M1075" s="35">
        <v>7629</v>
      </c>
      <c r="N1075" s="36" t="s">
        <v>5269</v>
      </c>
      <c r="O1075" s="35" t="s">
        <v>5849</v>
      </c>
      <c r="P1075" s="35" t="s">
        <v>5850</v>
      </c>
    </row>
    <row r="1076" spans="1:16">
      <c r="A1076" s="35">
        <v>4745</v>
      </c>
      <c r="B1076" s="36" t="s">
        <v>2424</v>
      </c>
      <c r="C1076">
        <f>VLOOKUP(A1076,'TABELA SPOLINE'!A:J,10,FALSE)</f>
        <v>217.03500000000003</v>
      </c>
      <c r="D1076">
        <f t="shared" si="369"/>
        <v>238.73850000000004</v>
      </c>
      <c r="E1076">
        <f t="shared" si="370"/>
        <v>238.73999999999998</v>
      </c>
      <c r="F1076">
        <f t="shared" si="371"/>
        <v>262.01714999999996</v>
      </c>
      <c r="G1076">
        <f t="shared" si="372"/>
        <v>262.02</v>
      </c>
      <c r="H1076">
        <v>1039</v>
      </c>
      <c r="I1076">
        <v>1</v>
      </c>
      <c r="J1076" s="35" t="s">
        <v>3807</v>
      </c>
      <c r="K1076" t="str">
        <f t="shared" si="356"/>
        <v>4745</v>
      </c>
      <c r="L1076" s="36" t="s">
        <v>5074</v>
      </c>
      <c r="M1076" s="35">
        <v>7629</v>
      </c>
      <c r="N1076" s="36" t="s">
        <v>5269</v>
      </c>
      <c r="O1076" s="35" t="s">
        <v>5847</v>
      </c>
      <c r="P1076" s="35" t="s">
        <v>5848</v>
      </c>
    </row>
    <row r="1077" spans="1:16" hidden="1">
      <c r="A1077" s="35">
        <v>4746</v>
      </c>
      <c r="B1077" s="36" t="s">
        <v>2425</v>
      </c>
      <c r="C1077" t="e">
        <f>VLOOKUP(A1077,'TABELA SPOLINE'!A:J,10,FALSE)</f>
        <v>#N/A</v>
      </c>
      <c r="H1077">
        <v>1039</v>
      </c>
      <c r="I1077">
        <v>1</v>
      </c>
      <c r="J1077" s="35" t="s">
        <v>3808</v>
      </c>
      <c r="K1077" t="str">
        <f t="shared" si="356"/>
        <v>4746</v>
      </c>
      <c r="L1077" s="36" t="s">
        <v>5075</v>
      </c>
      <c r="M1077" s="35">
        <v>7629</v>
      </c>
      <c r="N1077" s="36" t="s">
        <v>5269</v>
      </c>
      <c r="O1077" s="35" t="s">
        <v>5314</v>
      </c>
      <c r="P1077" s="35" t="s">
        <v>5315</v>
      </c>
    </row>
    <row r="1078" spans="1:16">
      <c r="A1078" s="35">
        <v>4747</v>
      </c>
      <c r="B1078" s="36" t="s">
        <v>2426</v>
      </c>
      <c r="C1078">
        <f>VLOOKUP(A1078,'TABELA SPOLINE'!A:J,10,FALSE)</f>
        <v>217.03500000000003</v>
      </c>
      <c r="D1078">
        <f t="shared" ref="D1078:D1081" si="373">C1078*0.1+C1078</f>
        <v>238.73850000000004</v>
      </c>
      <c r="E1078">
        <f t="shared" ref="E1078:E1081" si="374">ROUNDUP(D1078,2)</f>
        <v>238.73999999999998</v>
      </c>
      <c r="F1078">
        <f t="shared" ref="F1078:F1081" si="375">E1078*0.0975+E1078</f>
        <v>262.01714999999996</v>
      </c>
      <c r="G1078">
        <f t="shared" ref="G1078:G1081" si="376">ROUNDUP(F1078,2)</f>
        <v>262.02</v>
      </c>
      <c r="H1078">
        <v>1039</v>
      </c>
      <c r="I1078">
        <v>1</v>
      </c>
      <c r="J1078" s="35" t="s">
        <v>3809</v>
      </c>
      <c r="K1078" t="str">
        <f t="shared" si="356"/>
        <v>4747</v>
      </c>
      <c r="L1078" s="36" t="s">
        <v>5076</v>
      </c>
      <c r="M1078" s="35">
        <v>7629</v>
      </c>
      <c r="N1078" s="36" t="s">
        <v>5269</v>
      </c>
      <c r="O1078" s="35" t="s">
        <v>5851</v>
      </c>
      <c r="P1078" s="35" t="s">
        <v>5852</v>
      </c>
    </row>
    <row r="1079" spans="1:16">
      <c r="A1079" s="35">
        <v>4748</v>
      </c>
      <c r="B1079" s="36" t="s">
        <v>2427</v>
      </c>
      <c r="C1079">
        <f>VLOOKUP(A1079,'TABELA SPOLINE'!A:J,10,FALSE)</f>
        <v>194.77500000000001</v>
      </c>
      <c r="D1079">
        <f t="shared" si="373"/>
        <v>214.2525</v>
      </c>
      <c r="E1079">
        <f t="shared" si="374"/>
        <v>214.26</v>
      </c>
      <c r="F1079">
        <f t="shared" si="375"/>
        <v>235.15035</v>
      </c>
      <c r="G1079">
        <f t="shared" si="376"/>
        <v>235.16</v>
      </c>
      <c r="H1079">
        <v>1040</v>
      </c>
      <c r="I1079">
        <v>1</v>
      </c>
      <c r="J1079" s="35" t="s">
        <v>3810</v>
      </c>
      <c r="K1079" t="str">
        <f t="shared" si="356"/>
        <v>4748</v>
      </c>
      <c r="L1079" s="36" t="s">
        <v>5077</v>
      </c>
      <c r="M1079" s="35">
        <v>7629</v>
      </c>
      <c r="N1079" s="36" t="s">
        <v>5269</v>
      </c>
      <c r="O1079" s="35" t="s">
        <v>5314</v>
      </c>
      <c r="P1079" s="35" t="s">
        <v>5315</v>
      </c>
    </row>
    <row r="1080" spans="1:16">
      <c r="A1080" s="35">
        <v>4749</v>
      </c>
      <c r="B1080" s="36" t="s">
        <v>2428</v>
      </c>
      <c r="C1080">
        <f>VLOOKUP(A1080,'TABELA SPOLINE'!A:J,10,FALSE)</f>
        <v>194.77500000000001</v>
      </c>
      <c r="D1080">
        <f t="shared" si="373"/>
        <v>214.2525</v>
      </c>
      <c r="E1080">
        <f t="shared" si="374"/>
        <v>214.26</v>
      </c>
      <c r="F1080">
        <f t="shared" si="375"/>
        <v>235.15035</v>
      </c>
      <c r="G1080">
        <f t="shared" si="376"/>
        <v>235.16</v>
      </c>
      <c r="H1080">
        <v>1040</v>
      </c>
      <c r="I1080">
        <v>1</v>
      </c>
      <c r="J1080" s="35" t="s">
        <v>3811</v>
      </c>
      <c r="K1080" t="str">
        <f t="shared" si="356"/>
        <v>4749</v>
      </c>
      <c r="L1080" s="36" t="s">
        <v>5077</v>
      </c>
      <c r="M1080" s="35">
        <v>7629</v>
      </c>
      <c r="N1080" s="36" t="s">
        <v>5269</v>
      </c>
      <c r="O1080" s="35" t="s">
        <v>5316</v>
      </c>
      <c r="P1080" s="35" t="s">
        <v>5317</v>
      </c>
    </row>
    <row r="1081" spans="1:16">
      <c r="A1081" s="35">
        <v>4750</v>
      </c>
      <c r="B1081" s="36" t="s">
        <v>2429</v>
      </c>
      <c r="C1081">
        <f>VLOOKUP(A1081,'TABELA SPOLINE'!A:J,10,FALSE)</f>
        <v>194.77500000000001</v>
      </c>
      <c r="D1081">
        <f t="shared" si="373"/>
        <v>214.2525</v>
      </c>
      <c r="E1081">
        <f t="shared" si="374"/>
        <v>214.26</v>
      </c>
      <c r="F1081">
        <f t="shared" si="375"/>
        <v>235.15035</v>
      </c>
      <c r="G1081">
        <f t="shared" si="376"/>
        <v>235.16</v>
      </c>
      <c r="H1081">
        <v>1040</v>
      </c>
      <c r="I1081">
        <v>1</v>
      </c>
      <c r="J1081" s="35" t="s">
        <v>3812</v>
      </c>
      <c r="K1081" t="str">
        <f t="shared" si="356"/>
        <v>4750</v>
      </c>
      <c r="L1081" s="36" t="s">
        <v>5078</v>
      </c>
      <c r="M1081" s="35">
        <v>7629</v>
      </c>
      <c r="N1081" s="36" t="s">
        <v>5269</v>
      </c>
      <c r="O1081" s="35" t="s">
        <v>5853</v>
      </c>
      <c r="P1081" s="35" t="s">
        <v>5854</v>
      </c>
    </row>
    <row r="1082" spans="1:16" hidden="1">
      <c r="A1082" s="35">
        <v>4751</v>
      </c>
      <c r="B1082" s="36" t="s">
        <v>2430</v>
      </c>
      <c r="C1082" t="e">
        <f>VLOOKUP(A1082,'TABELA SPOLINE'!A:J,10,FALSE)</f>
        <v>#N/A</v>
      </c>
      <c r="H1082">
        <v>1040</v>
      </c>
      <c r="I1082">
        <v>1</v>
      </c>
      <c r="J1082" s="35" t="s">
        <v>3813</v>
      </c>
      <c r="K1082" t="str">
        <f t="shared" si="356"/>
        <v>4751</v>
      </c>
      <c r="L1082" s="36" t="s">
        <v>5079</v>
      </c>
      <c r="M1082" s="35">
        <v>7629</v>
      </c>
      <c r="N1082" s="36" t="s">
        <v>5269</v>
      </c>
      <c r="O1082" s="35" t="s">
        <v>5855</v>
      </c>
      <c r="P1082" s="35" t="s">
        <v>5856</v>
      </c>
    </row>
    <row r="1083" spans="1:16">
      <c r="A1083" s="35">
        <v>4752</v>
      </c>
      <c r="B1083" s="36" t="s">
        <v>2432</v>
      </c>
      <c r="C1083">
        <f>VLOOKUP(A1083,'TABELA SPOLINE'!A:J,10,FALSE)</f>
        <v>194.77500000000001</v>
      </c>
      <c r="D1083">
        <f t="shared" ref="D1083:D1086" si="377">C1083*0.1+C1083</f>
        <v>214.2525</v>
      </c>
      <c r="E1083">
        <f t="shared" ref="E1083:E1086" si="378">ROUNDUP(D1083,2)</f>
        <v>214.26</v>
      </c>
      <c r="F1083">
        <f t="shared" ref="F1083:F1086" si="379">E1083*0.0975+E1083</f>
        <v>235.15035</v>
      </c>
      <c r="G1083">
        <f t="shared" ref="G1083:G1086" si="380">ROUNDUP(F1083,2)</f>
        <v>235.16</v>
      </c>
      <c r="H1083">
        <v>1040</v>
      </c>
      <c r="I1083">
        <v>1</v>
      </c>
      <c r="J1083" s="35" t="s">
        <v>3815</v>
      </c>
      <c r="K1083" t="str">
        <f t="shared" si="356"/>
        <v>4752</v>
      </c>
      <c r="L1083" s="36" t="s">
        <v>5080</v>
      </c>
      <c r="M1083" s="35">
        <v>7629</v>
      </c>
      <c r="N1083" s="36" t="s">
        <v>5269</v>
      </c>
      <c r="O1083" s="35" t="s">
        <v>5855</v>
      </c>
      <c r="P1083" s="35" t="s">
        <v>5856</v>
      </c>
    </row>
    <row r="1084" spans="1:16">
      <c r="A1084" s="35">
        <v>4753</v>
      </c>
      <c r="B1084" s="36" t="s">
        <v>2433</v>
      </c>
      <c r="C1084">
        <f>VLOOKUP(A1084,'TABELA SPOLINE'!A:J,10,FALSE)</f>
        <v>125.65770000000001</v>
      </c>
      <c r="D1084">
        <f t="shared" si="377"/>
        <v>138.22347000000002</v>
      </c>
      <c r="E1084">
        <f t="shared" si="378"/>
        <v>138.22999999999999</v>
      </c>
      <c r="F1084">
        <f t="shared" si="379"/>
        <v>151.707425</v>
      </c>
      <c r="G1084">
        <f t="shared" si="380"/>
        <v>151.70999999999998</v>
      </c>
      <c r="H1084">
        <v>1041</v>
      </c>
      <c r="I1084">
        <v>1</v>
      </c>
      <c r="J1084" s="35" t="s">
        <v>3816</v>
      </c>
      <c r="K1084" t="str">
        <f t="shared" si="356"/>
        <v>4753</v>
      </c>
      <c r="L1084" s="36" t="s">
        <v>5081</v>
      </c>
      <c r="M1084" s="35">
        <v>7629</v>
      </c>
      <c r="N1084" s="36" t="s">
        <v>5269</v>
      </c>
      <c r="O1084" s="35" t="s">
        <v>5853</v>
      </c>
      <c r="P1084" s="35" t="s">
        <v>5854</v>
      </c>
    </row>
    <row r="1085" spans="1:16">
      <c r="A1085" s="35">
        <v>4754</v>
      </c>
      <c r="B1085" s="36" t="s">
        <v>2434</v>
      </c>
      <c r="C1085">
        <f>VLOOKUP(A1085,'TABELA SPOLINE'!A:J,10,FALSE)</f>
        <v>125.65770000000001</v>
      </c>
      <c r="D1085">
        <f t="shared" si="377"/>
        <v>138.22347000000002</v>
      </c>
      <c r="E1085">
        <f t="shared" si="378"/>
        <v>138.22999999999999</v>
      </c>
      <c r="F1085">
        <f t="shared" si="379"/>
        <v>151.707425</v>
      </c>
      <c r="G1085">
        <f t="shared" si="380"/>
        <v>151.70999999999998</v>
      </c>
      <c r="H1085">
        <v>1041</v>
      </c>
      <c r="I1085">
        <v>1</v>
      </c>
      <c r="J1085" s="35" t="s">
        <v>3817</v>
      </c>
      <c r="K1085" t="str">
        <f t="shared" si="356"/>
        <v>4754</v>
      </c>
      <c r="L1085" s="36" t="s">
        <v>5082</v>
      </c>
      <c r="M1085" s="35">
        <v>7629</v>
      </c>
      <c r="N1085" s="36" t="s">
        <v>5269</v>
      </c>
      <c r="O1085" s="35" t="s">
        <v>5853</v>
      </c>
      <c r="P1085" s="35" t="s">
        <v>5854</v>
      </c>
    </row>
    <row r="1086" spans="1:16">
      <c r="A1086" s="35">
        <v>4755</v>
      </c>
      <c r="B1086" s="36" t="s">
        <v>2435</v>
      </c>
      <c r="C1086">
        <f>VLOOKUP(A1086,'TABELA SPOLINE'!A:J,10,FALSE)</f>
        <v>125.65770000000001</v>
      </c>
      <c r="D1086">
        <f t="shared" si="377"/>
        <v>138.22347000000002</v>
      </c>
      <c r="E1086">
        <f t="shared" si="378"/>
        <v>138.22999999999999</v>
      </c>
      <c r="F1086">
        <f t="shared" si="379"/>
        <v>151.707425</v>
      </c>
      <c r="G1086">
        <f t="shared" si="380"/>
        <v>151.70999999999998</v>
      </c>
      <c r="H1086">
        <v>1041</v>
      </c>
      <c r="I1086">
        <v>1</v>
      </c>
      <c r="J1086" s="35" t="s">
        <v>3818</v>
      </c>
      <c r="K1086" t="str">
        <f t="shared" si="356"/>
        <v>4755</v>
      </c>
      <c r="L1086" s="36" t="s">
        <v>5083</v>
      </c>
      <c r="M1086" s="35">
        <v>7629</v>
      </c>
      <c r="N1086" s="36" t="s">
        <v>5269</v>
      </c>
      <c r="O1086" s="35" t="s">
        <v>5808</v>
      </c>
      <c r="P1086" s="35" t="s">
        <v>5809</v>
      </c>
    </row>
    <row r="1087" spans="1:16" hidden="1">
      <c r="A1087" s="35">
        <v>4756</v>
      </c>
      <c r="B1087" s="36" t="s">
        <v>2436</v>
      </c>
      <c r="C1087" t="e">
        <f>VLOOKUP(A1087,'TABELA SPOLINE'!A:J,10,FALSE)</f>
        <v>#N/A</v>
      </c>
      <c r="H1087">
        <v>1041</v>
      </c>
      <c r="I1087">
        <v>1</v>
      </c>
      <c r="J1087" s="35" t="s">
        <v>3819</v>
      </c>
      <c r="K1087" t="str">
        <f t="shared" si="356"/>
        <v>4756</v>
      </c>
      <c r="L1087" s="36" t="s">
        <v>5083</v>
      </c>
      <c r="M1087" s="35">
        <v>7629</v>
      </c>
      <c r="N1087" s="36" t="s">
        <v>5269</v>
      </c>
      <c r="O1087" s="35" t="s">
        <v>5762</v>
      </c>
      <c r="P1087" s="35" t="s">
        <v>5763</v>
      </c>
    </row>
    <row r="1088" spans="1:16" hidden="1">
      <c r="A1088" s="35">
        <v>4757</v>
      </c>
      <c r="B1088" s="36" t="s">
        <v>2437</v>
      </c>
      <c r="C1088" t="e">
        <f>VLOOKUP(A1088,'TABELA SPOLINE'!A:J,10,FALSE)</f>
        <v>#N/A</v>
      </c>
      <c r="H1088">
        <v>1041</v>
      </c>
      <c r="I1088">
        <v>1</v>
      </c>
      <c r="J1088" s="35" t="s">
        <v>3820</v>
      </c>
      <c r="K1088" t="str">
        <f t="shared" si="356"/>
        <v>4757</v>
      </c>
      <c r="L1088" s="36" t="s">
        <v>5084</v>
      </c>
      <c r="M1088" s="35">
        <v>7629</v>
      </c>
      <c r="N1088" s="36" t="s">
        <v>5269</v>
      </c>
      <c r="O1088" s="35" t="s">
        <v>5762</v>
      </c>
      <c r="P1088" s="35" t="s">
        <v>5763</v>
      </c>
    </row>
    <row r="1089" spans="1:16" hidden="1">
      <c r="A1089" s="35">
        <v>4758</v>
      </c>
      <c r="B1089" s="36" t="s">
        <v>2438</v>
      </c>
      <c r="C1089" t="e">
        <f>VLOOKUP(A1089,'TABELA SPOLINE'!A:J,10,FALSE)</f>
        <v>#N/A</v>
      </c>
      <c r="H1089">
        <v>1041</v>
      </c>
      <c r="I1089">
        <v>1</v>
      </c>
      <c r="J1089" s="35" t="s">
        <v>3821</v>
      </c>
      <c r="K1089" t="str">
        <f t="shared" si="356"/>
        <v>4758</v>
      </c>
      <c r="L1089" s="36" t="s">
        <v>5085</v>
      </c>
      <c r="M1089" s="35">
        <v>7629</v>
      </c>
      <c r="N1089" s="36" t="s">
        <v>5269</v>
      </c>
      <c r="O1089" s="35" t="s">
        <v>5306</v>
      </c>
      <c r="P1089" s="35" t="s">
        <v>5307</v>
      </c>
    </row>
    <row r="1090" spans="1:16" hidden="1">
      <c r="A1090" s="35">
        <v>4759</v>
      </c>
      <c r="B1090" s="36" t="s">
        <v>2439</v>
      </c>
      <c r="C1090" t="e">
        <f>VLOOKUP(A1090,'TABELA SPOLINE'!A:J,10,FALSE)</f>
        <v>#N/A</v>
      </c>
      <c r="H1090">
        <v>1041</v>
      </c>
      <c r="I1090">
        <v>1</v>
      </c>
      <c r="J1090" s="35" t="s">
        <v>3822</v>
      </c>
      <c r="K1090" t="str">
        <f t="shared" si="356"/>
        <v>4759</v>
      </c>
      <c r="L1090" s="36" t="s">
        <v>5086</v>
      </c>
      <c r="M1090" s="35">
        <v>7629</v>
      </c>
      <c r="N1090" s="36" t="s">
        <v>5269</v>
      </c>
      <c r="O1090" s="35" t="s">
        <v>5648</v>
      </c>
      <c r="P1090" s="35" t="s">
        <v>5649</v>
      </c>
    </row>
    <row r="1091" spans="1:16" hidden="1">
      <c r="A1091" s="35">
        <v>4760</v>
      </c>
      <c r="B1091" s="36" t="s">
        <v>2440</v>
      </c>
      <c r="C1091" t="e">
        <f>VLOOKUP(A1091,'TABELA SPOLINE'!A:J,10,FALSE)</f>
        <v>#N/A</v>
      </c>
      <c r="H1091">
        <v>1041</v>
      </c>
      <c r="I1091">
        <v>1</v>
      </c>
      <c r="J1091" s="35" t="s">
        <v>3823</v>
      </c>
      <c r="K1091" t="str">
        <f t="shared" ref="K1091:K1154" si="381">TRIM(A1091)</f>
        <v>4760</v>
      </c>
      <c r="L1091" s="36" t="s">
        <v>5083</v>
      </c>
      <c r="M1091" s="35">
        <v>7629</v>
      </c>
      <c r="N1091" s="36" t="s">
        <v>5269</v>
      </c>
      <c r="O1091" s="35" t="s">
        <v>5306</v>
      </c>
      <c r="P1091" s="35" t="s">
        <v>5307</v>
      </c>
    </row>
    <row r="1092" spans="1:16">
      <c r="A1092" s="35">
        <v>4761</v>
      </c>
      <c r="B1092" s="36" t="s">
        <v>2441</v>
      </c>
      <c r="C1092">
        <f>VLOOKUP(A1092,'TABELA SPOLINE'!A:J,10,FALSE)</f>
        <v>130.1097</v>
      </c>
      <c r="D1092">
        <f t="shared" ref="D1092:D1094" si="382">C1092*0.1+C1092</f>
        <v>143.12067000000002</v>
      </c>
      <c r="E1092">
        <f t="shared" ref="E1092:E1094" si="383">ROUNDUP(D1092,2)</f>
        <v>143.13</v>
      </c>
      <c r="F1092">
        <f t="shared" ref="F1092:F1094" si="384">E1092*0.0975+E1092</f>
        <v>157.08517499999999</v>
      </c>
      <c r="G1092">
        <f t="shared" ref="G1092:G1094" si="385">ROUNDUP(F1092,2)</f>
        <v>157.09</v>
      </c>
      <c r="H1092">
        <v>1042</v>
      </c>
      <c r="I1092">
        <v>2</v>
      </c>
      <c r="J1092" s="35" t="s">
        <v>3824</v>
      </c>
      <c r="K1092" t="str">
        <f t="shared" si="381"/>
        <v>4761</v>
      </c>
      <c r="L1092" s="36" t="s">
        <v>5083</v>
      </c>
      <c r="M1092" s="35">
        <v>7629</v>
      </c>
      <c r="N1092" s="36" t="s">
        <v>5269</v>
      </c>
      <c r="O1092" s="35" t="s">
        <v>5306</v>
      </c>
      <c r="P1092" s="35" t="s">
        <v>5307</v>
      </c>
    </row>
    <row r="1093" spans="1:16">
      <c r="A1093" s="35">
        <v>4762</v>
      </c>
      <c r="B1093" s="36" t="s">
        <v>2442</v>
      </c>
      <c r="C1093">
        <f>VLOOKUP(A1093,'TABELA SPOLINE'!A:J,10,FALSE)</f>
        <v>130.1097</v>
      </c>
      <c r="D1093">
        <f t="shared" si="382"/>
        <v>143.12067000000002</v>
      </c>
      <c r="E1093">
        <f t="shared" si="383"/>
        <v>143.13</v>
      </c>
      <c r="F1093">
        <f t="shared" si="384"/>
        <v>157.08517499999999</v>
      </c>
      <c r="G1093">
        <f t="shared" si="385"/>
        <v>157.09</v>
      </c>
      <c r="H1093">
        <v>1042</v>
      </c>
      <c r="I1093">
        <v>2</v>
      </c>
      <c r="J1093" s="35" t="s">
        <v>3825</v>
      </c>
      <c r="K1093" t="str">
        <f t="shared" si="381"/>
        <v>4762</v>
      </c>
      <c r="L1093" s="36" t="s">
        <v>5084</v>
      </c>
      <c r="M1093" s="35">
        <v>7629</v>
      </c>
      <c r="N1093" s="36" t="s">
        <v>5269</v>
      </c>
      <c r="O1093" s="35" t="s">
        <v>5306</v>
      </c>
      <c r="P1093" s="35" t="s">
        <v>5307</v>
      </c>
    </row>
    <row r="1094" spans="1:16">
      <c r="A1094" s="35">
        <v>4763</v>
      </c>
      <c r="B1094" s="36" t="s">
        <v>2443</v>
      </c>
      <c r="C1094">
        <f>VLOOKUP(A1094,'TABELA SPOLINE'!A:J,10,FALSE)</f>
        <v>130.1097</v>
      </c>
      <c r="D1094">
        <f t="shared" si="382"/>
        <v>143.12067000000002</v>
      </c>
      <c r="E1094">
        <f t="shared" si="383"/>
        <v>143.13</v>
      </c>
      <c r="F1094">
        <f t="shared" si="384"/>
        <v>157.08517499999999</v>
      </c>
      <c r="G1094">
        <f t="shared" si="385"/>
        <v>157.09</v>
      </c>
      <c r="H1094">
        <v>1042</v>
      </c>
      <c r="I1094">
        <v>2</v>
      </c>
      <c r="J1094" s="35" t="s">
        <v>3826</v>
      </c>
      <c r="K1094" t="str">
        <f t="shared" si="381"/>
        <v>4763</v>
      </c>
      <c r="L1094" s="36" t="s">
        <v>5087</v>
      </c>
      <c r="M1094" s="35">
        <v>7629</v>
      </c>
      <c r="N1094" s="36" t="s">
        <v>5269</v>
      </c>
      <c r="O1094" s="35" t="s">
        <v>5857</v>
      </c>
      <c r="P1094" s="35" t="s">
        <v>5858</v>
      </c>
    </row>
    <row r="1095" spans="1:16" hidden="1">
      <c r="A1095" s="35">
        <v>4764</v>
      </c>
      <c r="B1095" s="36" t="s">
        <v>2444</v>
      </c>
      <c r="C1095" t="e">
        <f>VLOOKUP(A1095,'TABELA SPOLINE'!A:J,10,FALSE)</f>
        <v>#N/A</v>
      </c>
      <c r="H1095">
        <v>1042</v>
      </c>
      <c r="I1095">
        <v>2</v>
      </c>
      <c r="J1095" s="35" t="s">
        <v>3827</v>
      </c>
      <c r="K1095" t="str">
        <f t="shared" si="381"/>
        <v>4764</v>
      </c>
      <c r="L1095" s="36" t="s">
        <v>5088</v>
      </c>
      <c r="M1095" s="35">
        <v>7629</v>
      </c>
      <c r="N1095" s="36" t="s">
        <v>5269</v>
      </c>
      <c r="O1095" s="35" t="s">
        <v>5859</v>
      </c>
      <c r="P1095" s="35" t="s">
        <v>5860</v>
      </c>
    </row>
    <row r="1096" spans="1:16" hidden="1">
      <c r="A1096" s="35">
        <v>4765</v>
      </c>
      <c r="B1096" s="36" t="s">
        <v>2445</v>
      </c>
      <c r="C1096" t="e">
        <f>VLOOKUP(A1096,'TABELA SPOLINE'!A:J,10,FALSE)</f>
        <v>#N/A</v>
      </c>
      <c r="H1096">
        <v>1042</v>
      </c>
      <c r="I1096">
        <v>2</v>
      </c>
      <c r="J1096" s="35" t="s">
        <v>3828</v>
      </c>
      <c r="K1096" t="str">
        <f t="shared" si="381"/>
        <v>4765</v>
      </c>
      <c r="L1096" s="36" t="s">
        <v>5083</v>
      </c>
      <c r="M1096" s="35">
        <v>7629</v>
      </c>
      <c r="N1096" s="36" t="s">
        <v>5269</v>
      </c>
      <c r="O1096" s="35" t="s">
        <v>5857</v>
      </c>
      <c r="P1096" s="35" t="s">
        <v>5858</v>
      </c>
    </row>
    <row r="1097" spans="1:16" hidden="1">
      <c r="A1097" s="35">
        <v>4766</v>
      </c>
      <c r="B1097" s="36" t="s">
        <v>2446</v>
      </c>
      <c r="C1097" t="e">
        <f>VLOOKUP(A1097,'TABELA SPOLINE'!A:J,10,FALSE)</f>
        <v>#N/A</v>
      </c>
      <c r="H1097">
        <v>1042</v>
      </c>
      <c r="I1097">
        <v>2</v>
      </c>
      <c r="J1097" s="35" t="s">
        <v>3829</v>
      </c>
      <c r="K1097" t="str">
        <f t="shared" si="381"/>
        <v>4766</v>
      </c>
      <c r="L1097" s="36" t="s">
        <v>5083</v>
      </c>
      <c r="M1097" s="35">
        <v>7629</v>
      </c>
      <c r="N1097" s="36" t="s">
        <v>5269</v>
      </c>
      <c r="O1097" s="35" t="s">
        <v>5857</v>
      </c>
      <c r="P1097" s="35" t="s">
        <v>5858</v>
      </c>
    </row>
    <row r="1098" spans="1:16" hidden="1">
      <c r="A1098" s="35">
        <v>4767</v>
      </c>
      <c r="B1098" s="36" t="s">
        <v>2447</v>
      </c>
      <c r="C1098" t="e">
        <f>VLOOKUP(A1098,'TABELA SPOLINE'!A:J,10,FALSE)</f>
        <v>#N/A</v>
      </c>
      <c r="H1098">
        <v>1042</v>
      </c>
      <c r="I1098">
        <v>2</v>
      </c>
      <c r="J1098" s="35" t="s">
        <v>3830</v>
      </c>
      <c r="K1098" t="str">
        <f t="shared" si="381"/>
        <v>4767</v>
      </c>
      <c r="L1098" s="36" t="s">
        <v>5089</v>
      </c>
      <c r="M1098" s="35">
        <v>7629</v>
      </c>
      <c r="N1098" s="36" t="s">
        <v>5269</v>
      </c>
      <c r="O1098" s="35" t="s">
        <v>5857</v>
      </c>
      <c r="P1098" s="35" t="s">
        <v>5858</v>
      </c>
    </row>
    <row r="1099" spans="1:16" hidden="1">
      <c r="A1099" s="35">
        <v>4768</v>
      </c>
      <c r="B1099" s="36" t="s">
        <v>2448</v>
      </c>
      <c r="C1099" t="e">
        <f>VLOOKUP(A1099,'TABELA SPOLINE'!A:J,10,FALSE)</f>
        <v>#N/A</v>
      </c>
      <c r="H1099">
        <v>1042</v>
      </c>
      <c r="I1099">
        <v>2</v>
      </c>
      <c r="J1099" s="35" t="s">
        <v>3831</v>
      </c>
      <c r="K1099" t="str">
        <f t="shared" si="381"/>
        <v>4768</v>
      </c>
      <c r="L1099" s="36" t="s">
        <v>5090</v>
      </c>
      <c r="M1099" s="35">
        <v>7629</v>
      </c>
      <c r="N1099" s="36" t="s">
        <v>5269</v>
      </c>
      <c r="O1099" s="35" t="s">
        <v>5861</v>
      </c>
      <c r="P1099" s="35" t="s">
        <v>5862</v>
      </c>
    </row>
    <row r="1100" spans="1:16">
      <c r="A1100" s="35">
        <v>4770</v>
      </c>
      <c r="B1100" s="36" t="s">
        <v>2736</v>
      </c>
      <c r="C1100">
        <f>VLOOKUP(A1100,'TABELA SPOLINE'!A:J,10,FALSE)</f>
        <v>284.92800000000005</v>
      </c>
      <c r="D1100">
        <f t="shared" ref="D1100:D1102" si="386">C1100*0.1+C1100</f>
        <v>313.42080000000004</v>
      </c>
      <c r="E1100">
        <f t="shared" ref="E1100:E1102" si="387">ROUNDUP(D1100,2)</f>
        <v>313.43</v>
      </c>
      <c r="F1100">
        <f t="shared" ref="F1100:F1102" si="388">E1100*0.0975+E1100</f>
        <v>343.98942499999998</v>
      </c>
      <c r="G1100">
        <f t="shared" ref="G1100:G1102" si="389">ROUNDUP(F1100,2)</f>
        <v>343.99</v>
      </c>
      <c r="H1100">
        <v>1044</v>
      </c>
      <c r="I1100">
        <v>35</v>
      </c>
      <c r="J1100" s="35" t="s">
        <v>4117</v>
      </c>
      <c r="K1100" t="str">
        <f t="shared" si="381"/>
        <v>4770</v>
      </c>
      <c r="L1100" s="36" t="s">
        <v>5091</v>
      </c>
      <c r="M1100" s="35">
        <v>7629</v>
      </c>
      <c r="N1100" s="36" t="s">
        <v>5269</v>
      </c>
      <c r="O1100" s="35" t="s">
        <v>5863</v>
      </c>
      <c r="P1100" s="35" t="s">
        <v>5864</v>
      </c>
    </row>
    <row r="1101" spans="1:16">
      <c r="A1101" s="35">
        <v>4771</v>
      </c>
      <c r="B1101" s="36" t="s">
        <v>2737</v>
      </c>
      <c r="C1101">
        <f>VLOOKUP(A1101,'TABELA SPOLINE'!A:J,10,FALSE)</f>
        <v>284.92800000000005</v>
      </c>
      <c r="D1101">
        <f t="shared" si="386"/>
        <v>313.42080000000004</v>
      </c>
      <c r="E1101">
        <f t="shared" si="387"/>
        <v>313.43</v>
      </c>
      <c r="F1101">
        <f t="shared" si="388"/>
        <v>343.98942499999998</v>
      </c>
      <c r="G1101">
        <f t="shared" si="389"/>
        <v>343.99</v>
      </c>
      <c r="H1101">
        <v>1044</v>
      </c>
      <c r="I1101">
        <v>35</v>
      </c>
      <c r="J1101" s="35" t="s">
        <v>4118</v>
      </c>
      <c r="K1101" t="str">
        <f t="shared" si="381"/>
        <v>4771</v>
      </c>
      <c r="L1101" s="36" t="s">
        <v>5092</v>
      </c>
      <c r="M1101" s="35">
        <v>7629</v>
      </c>
      <c r="N1101" s="36" t="s">
        <v>5269</v>
      </c>
      <c r="O1101" s="35" t="s">
        <v>5865</v>
      </c>
      <c r="P1101" s="35" t="s">
        <v>5866</v>
      </c>
    </row>
    <row r="1102" spans="1:16">
      <c r="A1102" s="35">
        <v>4772</v>
      </c>
      <c r="B1102" s="36" t="s">
        <v>2738</v>
      </c>
      <c r="C1102">
        <f>VLOOKUP(A1102,'TABELA SPOLINE'!A:J,10,FALSE)</f>
        <v>284.92800000000005</v>
      </c>
      <c r="D1102">
        <f t="shared" si="386"/>
        <v>313.42080000000004</v>
      </c>
      <c r="E1102">
        <f t="shared" si="387"/>
        <v>313.43</v>
      </c>
      <c r="F1102">
        <f t="shared" si="388"/>
        <v>343.98942499999998</v>
      </c>
      <c r="G1102">
        <f t="shared" si="389"/>
        <v>343.99</v>
      </c>
      <c r="H1102">
        <v>1044</v>
      </c>
      <c r="I1102">
        <v>35</v>
      </c>
      <c r="J1102" s="35" t="s">
        <v>4119</v>
      </c>
      <c r="K1102" t="str">
        <f t="shared" si="381"/>
        <v>4772</v>
      </c>
      <c r="L1102" s="36" t="s">
        <v>5093</v>
      </c>
      <c r="M1102" s="35">
        <v>7629</v>
      </c>
      <c r="N1102" s="36" t="s">
        <v>5269</v>
      </c>
      <c r="O1102" s="35" t="s">
        <v>5863</v>
      </c>
      <c r="P1102" s="35" t="s">
        <v>5864</v>
      </c>
    </row>
    <row r="1103" spans="1:16" hidden="1">
      <c r="A1103" s="35">
        <v>4773</v>
      </c>
      <c r="B1103" s="36" t="s">
        <v>2739</v>
      </c>
      <c r="C1103" t="e">
        <f>VLOOKUP(A1103,'TABELA SPOLINE'!A:J,10,FALSE)</f>
        <v>#N/A</v>
      </c>
      <c r="H1103">
        <v>1044</v>
      </c>
      <c r="I1103">
        <v>35</v>
      </c>
      <c r="J1103" s="35" t="s">
        <v>4120</v>
      </c>
      <c r="K1103" t="str">
        <f t="shared" si="381"/>
        <v>4773</v>
      </c>
      <c r="L1103" s="36" t="s">
        <v>5094</v>
      </c>
      <c r="M1103" s="35">
        <v>7629</v>
      </c>
      <c r="N1103" s="36" t="s">
        <v>5269</v>
      </c>
      <c r="O1103" s="35" t="s">
        <v>5863</v>
      </c>
      <c r="P1103" s="35" t="s">
        <v>5864</v>
      </c>
    </row>
    <row r="1104" spans="1:16" hidden="1">
      <c r="A1104" s="35">
        <v>4774</v>
      </c>
      <c r="B1104" s="36" t="s">
        <v>2740</v>
      </c>
      <c r="C1104" t="e">
        <f>VLOOKUP(A1104,'TABELA SPOLINE'!A:J,10,FALSE)</f>
        <v>#N/A</v>
      </c>
      <c r="H1104">
        <v>1044</v>
      </c>
      <c r="I1104">
        <v>35</v>
      </c>
      <c r="J1104" s="35" t="s">
        <v>4121</v>
      </c>
      <c r="K1104" t="str">
        <f t="shared" si="381"/>
        <v>4774</v>
      </c>
      <c r="L1104" s="36" t="s">
        <v>5091</v>
      </c>
      <c r="M1104" s="35">
        <v>7629</v>
      </c>
      <c r="N1104" s="36" t="s">
        <v>5269</v>
      </c>
      <c r="O1104" s="35" t="s">
        <v>5280</v>
      </c>
      <c r="P1104" s="35" t="s">
        <v>5281</v>
      </c>
    </row>
    <row r="1105" spans="1:16" hidden="1">
      <c r="A1105" s="35">
        <v>4775</v>
      </c>
      <c r="B1105" s="36" t="s">
        <v>2741</v>
      </c>
      <c r="C1105" t="e">
        <f>VLOOKUP(A1105,'TABELA SPOLINE'!A:J,10,FALSE)</f>
        <v>#N/A</v>
      </c>
      <c r="H1105">
        <v>1044</v>
      </c>
      <c r="I1105">
        <v>35</v>
      </c>
      <c r="J1105" s="35" t="s">
        <v>4122</v>
      </c>
      <c r="K1105" t="str">
        <f t="shared" si="381"/>
        <v>4775</v>
      </c>
      <c r="L1105" s="36" t="s">
        <v>5095</v>
      </c>
      <c r="M1105" s="35">
        <v>7629</v>
      </c>
      <c r="N1105" s="36" t="s">
        <v>5269</v>
      </c>
      <c r="O1105" s="35" t="s">
        <v>5863</v>
      </c>
      <c r="P1105" s="35" t="s">
        <v>5864</v>
      </c>
    </row>
    <row r="1106" spans="1:16" hidden="1">
      <c r="A1106" s="35">
        <v>4776</v>
      </c>
      <c r="B1106" s="36" t="s">
        <v>2742</v>
      </c>
      <c r="C1106" t="e">
        <f>VLOOKUP(A1106,'TABELA SPOLINE'!A:J,10,FALSE)</f>
        <v>#N/A</v>
      </c>
      <c r="H1106">
        <v>1044</v>
      </c>
      <c r="I1106">
        <v>35</v>
      </c>
      <c r="J1106" s="35" t="s">
        <v>4123</v>
      </c>
      <c r="K1106" t="str">
        <f t="shared" si="381"/>
        <v>4776</v>
      </c>
      <c r="L1106" s="36" t="s">
        <v>5096</v>
      </c>
      <c r="M1106" s="35">
        <v>7629</v>
      </c>
      <c r="N1106" s="36" t="s">
        <v>5269</v>
      </c>
      <c r="O1106" s="35" t="s">
        <v>5867</v>
      </c>
      <c r="P1106" s="35" t="s">
        <v>5868</v>
      </c>
    </row>
    <row r="1107" spans="1:16" hidden="1">
      <c r="A1107" s="35">
        <v>4777</v>
      </c>
      <c r="B1107" s="36" t="s">
        <v>2743</v>
      </c>
      <c r="C1107" t="e">
        <f>VLOOKUP(A1107,'TABELA SPOLINE'!A:J,10,FALSE)</f>
        <v>#N/A</v>
      </c>
      <c r="H1107">
        <v>1044</v>
      </c>
      <c r="I1107">
        <v>35</v>
      </c>
      <c r="J1107" s="35" t="s">
        <v>4124</v>
      </c>
      <c r="K1107" t="str">
        <f t="shared" si="381"/>
        <v>4777</v>
      </c>
      <c r="L1107" s="36" t="s">
        <v>5097</v>
      </c>
      <c r="M1107" s="35">
        <v>7629</v>
      </c>
      <c r="N1107" s="36" t="s">
        <v>5269</v>
      </c>
      <c r="O1107" s="35" t="s">
        <v>5867</v>
      </c>
      <c r="P1107" s="35" t="s">
        <v>5868</v>
      </c>
    </row>
    <row r="1108" spans="1:16">
      <c r="A1108" s="35">
        <v>4778</v>
      </c>
      <c r="B1108" s="36" t="s">
        <v>2744</v>
      </c>
      <c r="C1108">
        <f>VLOOKUP(A1108,'TABELA SPOLINE'!A:J,10,FALSE)</f>
        <v>368.40300000000002</v>
      </c>
      <c r="D1108">
        <f t="shared" ref="D1108:D1110" si="390">C1108*0.1+C1108</f>
        <v>405.24330000000003</v>
      </c>
      <c r="E1108">
        <f t="shared" ref="E1108:E1110" si="391">ROUNDUP(D1108,2)</f>
        <v>405.25</v>
      </c>
      <c r="F1108">
        <f t="shared" ref="F1108:F1110" si="392">E1108*0.0975+E1108</f>
        <v>444.76187500000003</v>
      </c>
      <c r="G1108">
        <f t="shared" ref="G1108:G1110" si="393">ROUNDUP(F1108,2)</f>
        <v>444.77</v>
      </c>
      <c r="H1108">
        <v>1044</v>
      </c>
      <c r="I1108">
        <v>50</v>
      </c>
      <c r="J1108" s="35" t="s">
        <v>4125</v>
      </c>
      <c r="K1108" t="str">
        <f t="shared" si="381"/>
        <v>4778</v>
      </c>
      <c r="L1108" s="36" t="s">
        <v>5098</v>
      </c>
      <c r="M1108" s="35">
        <v>7629</v>
      </c>
      <c r="N1108" s="36" t="s">
        <v>5269</v>
      </c>
      <c r="O1108" s="35" t="s">
        <v>5869</v>
      </c>
      <c r="P1108" s="35" t="s">
        <v>5870</v>
      </c>
    </row>
    <row r="1109" spans="1:16">
      <c r="A1109" s="35">
        <v>4779</v>
      </c>
      <c r="B1109" s="36" t="s">
        <v>2745</v>
      </c>
      <c r="C1109">
        <f>VLOOKUP(A1109,'TABELA SPOLINE'!A:J,10,FALSE)</f>
        <v>368.40300000000002</v>
      </c>
      <c r="D1109">
        <f t="shared" si="390"/>
        <v>405.24330000000003</v>
      </c>
      <c r="E1109">
        <f t="shared" si="391"/>
        <v>405.25</v>
      </c>
      <c r="F1109">
        <f t="shared" si="392"/>
        <v>444.76187500000003</v>
      </c>
      <c r="G1109">
        <f t="shared" si="393"/>
        <v>444.77</v>
      </c>
      <c r="H1109">
        <v>1044</v>
      </c>
      <c r="I1109">
        <v>50</v>
      </c>
      <c r="J1109" s="35" t="s">
        <v>4126</v>
      </c>
      <c r="K1109" t="str">
        <f t="shared" si="381"/>
        <v>4779</v>
      </c>
      <c r="L1109" s="36" t="s">
        <v>5099</v>
      </c>
      <c r="M1109" s="35">
        <v>7629</v>
      </c>
      <c r="N1109" s="36" t="s">
        <v>5269</v>
      </c>
      <c r="O1109" s="35" t="s">
        <v>5871</v>
      </c>
      <c r="P1109" s="35" t="s">
        <v>5872</v>
      </c>
    </row>
    <row r="1110" spans="1:16">
      <c r="A1110" s="35">
        <v>4780</v>
      </c>
      <c r="B1110" s="36" t="s">
        <v>2746</v>
      </c>
      <c r="C1110">
        <f>VLOOKUP(A1110,'TABELA SPOLINE'!A:J,10,FALSE)</f>
        <v>368.40300000000002</v>
      </c>
      <c r="D1110">
        <f t="shared" si="390"/>
        <v>405.24330000000003</v>
      </c>
      <c r="E1110">
        <f t="shared" si="391"/>
        <v>405.25</v>
      </c>
      <c r="F1110">
        <f t="shared" si="392"/>
        <v>444.76187500000003</v>
      </c>
      <c r="G1110">
        <f t="shared" si="393"/>
        <v>444.77</v>
      </c>
      <c r="H1110">
        <v>1044</v>
      </c>
      <c r="I1110">
        <v>50</v>
      </c>
      <c r="J1110" s="35" t="s">
        <v>4127</v>
      </c>
      <c r="K1110" t="str">
        <f t="shared" si="381"/>
        <v>4780</v>
      </c>
      <c r="L1110" s="36" t="s">
        <v>5100</v>
      </c>
      <c r="M1110" s="35">
        <v>7629</v>
      </c>
      <c r="N1110" s="36" t="s">
        <v>5269</v>
      </c>
      <c r="O1110" s="35" t="s">
        <v>5871</v>
      </c>
      <c r="P1110" s="35" t="s">
        <v>5872</v>
      </c>
    </row>
    <row r="1111" spans="1:16" hidden="1">
      <c r="A1111" s="35">
        <v>4781</v>
      </c>
      <c r="B1111" s="36" t="s">
        <v>2747</v>
      </c>
      <c r="C1111" t="e">
        <f>VLOOKUP(A1111,'TABELA SPOLINE'!A:J,10,FALSE)</f>
        <v>#N/A</v>
      </c>
      <c r="H1111">
        <v>1044</v>
      </c>
      <c r="I1111">
        <v>50</v>
      </c>
      <c r="J1111" s="35" t="s">
        <v>4128</v>
      </c>
      <c r="K1111" t="str">
        <f t="shared" si="381"/>
        <v>4781</v>
      </c>
      <c r="L1111" s="36" t="s">
        <v>5101</v>
      </c>
      <c r="M1111" s="35">
        <v>7629</v>
      </c>
      <c r="N1111" s="36" t="s">
        <v>5269</v>
      </c>
      <c r="O1111" s="35" t="s">
        <v>5873</v>
      </c>
      <c r="P1111" s="35" t="s">
        <v>5874</v>
      </c>
    </row>
    <row r="1112" spans="1:16">
      <c r="A1112" s="35">
        <v>4782</v>
      </c>
      <c r="B1112" s="36" t="s">
        <v>2748</v>
      </c>
      <c r="C1112">
        <f>VLOOKUP(A1112,'TABELA SPOLINE'!A:J,10,FALSE)</f>
        <v>368.40300000000002</v>
      </c>
      <c r="D1112">
        <f t="shared" ref="D1112:D1114" si="394">C1112*0.1+C1112</f>
        <v>405.24330000000003</v>
      </c>
      <c r="E1112">
        <f t="shared" ref="E1112:E1114" si="395">ROUNDUP(D1112,2)</f>
        <v>405.25</v>
      </c>
      <c r="F1112">
        <f t="shared" ref="F1112:F1114" si="396">E1112*0.0975+E1112</f>
        <v>444.76187500000003</v>
      </c>
      <c r="G1112">
        <f t="shared" ref="G1112:G1114" si="397">ROUNDUP(F1112,2)</f>
        <v>444.77</v>
      </c>
      <c r="H1112">
        <v>1044</v>
      </c>
      <c r="I1112">
        <v>50</v>
      </c>
      <c r="J1112" s="35" t="s">
        <v>4129</v>
      </c>
      <c r="K1112" t="str">
        <f t="shared" si="381"/>
        <v>4782</v>
      </c>
      <c r="L1112" s="36" t="s">
        <v>5102</v>
      </c>
      <c r="M1112" s="35">
        <v>7629</v>
      </c>
      <c r="N1112" s="36" t="s">
        <v>5269</v>
      </c>
      <c r="O1112" s="35" t="s">
        <v>5867</v>
      </c>
      <c r="P1112" s="35" t="s">
        <v>5868</v>
      </c>
    </row>
    <row r="1113" spans="1:16">
      <c r="A1113" s="35">
        <v>4783</v>
      </c>
      <c r="B1113" s="36" t="s">
        <v>2749</v>
      </c>
      <c r="C1113">
        <f>VLOOKUP(A1113,'TABELA SPOLINE'!A:J,10,FALSE)</f>
        <v>368.40300000000002</v>
      </c>
      <c r="D1113">
        <f t="shared" si="394"/>
        <v>405.24330000000003</v>
      </c>
      <c r="E1113">
        <f t="shared" si="395"/>
        <v>405.25</v>
      </c>
      <c r="F1113">
        <f t="shared" si="396"/>
        <v>444.76187500000003</v>
      </c>
      <c r="G1113">
        <f t="shared" si="397"/>
        <v>444.77</v>
      </c>
      <c r="H1113">
        <v>1044</v>
      </c>
      <c r="I1113">
        <v>50</v>
      </c>
      <c r="J1113" s="35" t="s">
        <v>4130</v>
      </c>
      <c r="K1113" t="str">
        <f t="shared" si="381"/>
        <v>4783</v>
      </c>
      <c r="L1113" s="36" t="s">
        <v>5103</v>
      </c>
      <c r="M1113" s="35">
        <v>7629</v>
      </c>
      <c r="N1113" s="36" t="s">
        <v>5269</v>
      </c>
      <c r="O1113" s="35" t="s">
        <v>5871</v>
      </c>
      <c r="P1113" s="35" t="s">
        <v>5872</v>
      </c>
    </row>
    <row r="1114" spans="1:16">
      <c r="A1114" s="35">
        <v>4784</v>
      </c>
      <c r="B1114" s="36" t="s">
        <v>2750</v>
      </c>
      <c r="C1114">
        <f>VLOOKUP(A1114,'TABELA SPOLINE'!A:J,10,FALSE)</f>
        <v>368.40300000000002</v>
      </c>
      <c r="D1114">
        <f t="shared" si="394"/>
        <v>405.24330000000003</v>
      </c>
      <c r="E1114">
        <f t="shared" si="395"/>
        <v>405.25</v>
      </c>
      <c r="F1114">
        <f t="shared" si="396"/>
        <v>444.76187500000003</v>
      </c>
      <c r="G1114">
        <f t="shared" si="397"/>
        <v>444.77</v>
      </c>
      <c r="H1114">
        <v>1044</v>
      </c>
      <c r="I1114">
        <v>50</v>
      </c>
      <c r="J1114" s="35" t="s">
        <v>4131</v>
      </c>
      <c r="K1114" t="str">
        <f t="shared" si="381"/>
        <v>4784</v>
      </c>
      <c r="L1114" s="36" t="s">
        <v>5104</v>
      </c>
      <c r="M1114" s="35">
        <v>7629</v>
      </c>
      <c r="N1114" s="36" t="s">
        <v>5269</v>
      </c>
      <c r="O1114" s="35" t="s">
        <v>5875</v>
      </c>
      <c r="P1114" s="35" t="s">
        <v>5876</v>
      </c>
    </row>
    <row r="1115" spans="1:16" hidden="1">
      <c r="A1115" s="35">
        <v>4785</v>
      </c>
      <c r="B1115" s="36" t="s">
        <v>2751</v>
      </c>
      <c r="C1115" t="e">
        <f>VLOOKUP(A1115,'TABELA SPOLINE'!A:J,10,FALSE)</f>
        <v>#N/A</v>
      </c>
      <c r="H1115">
        <v>1044</v>
      </c>
      <c r="I1115">
        <v>50</v>
      </c>
      <c r="J1115" s="35" t="s">
        <v>4132</v>
      </c>
      <c r="K1115" t="str">
        <f t="shared" si="381"/>
        <v>4785</v>
      </c>
      <c r="L1115" s="36" t="s">
        <v>5105</v>
      </c>
      <c r="M1115" s="35">
        <v>7629</v>
      </c>
      <c r="N1115" s="36" t="s">
        <v>5269</v>
      </c>
      <c r="O1115" s="35" t="s">
        <v>5875</v>
      </c>
      <c r="P1115" s="35" t="s">
        <v>5876</v>
      </c>
    </row>
    <row r="1116" spans="1:16" hidden="1">
      <c r="A1116" s="35">
        <v>4786</v>
      </c>
      <c r="B1116" s="36" t="s">
        <v>2561</v>
      </c>
      <c r="C1116" t="e">
        <f>VLOOKUP(A1116,'TABELA SPOLINE'!A:J,10,FALSE)</f>
        <v>#N/A</v>
      </c>
      <c r="H1116">
        <v>1043</v>
      </c>
      <c r="I1116">
        <v>35</v>
      </c>
      <c r="J1116" s="35" t="s">
        <v>3944</v>
      </c>
      <c r="K1116" t="str">
        <f t="shared" si="381"/>
        <v>4786</v>
      </c>
      <c r="L1116" s="36" t="s">
        <v>5106</v>
      </c>
      <c r="M1116" s="35">
        <v>7629</v>
      </c>
      <c r="N1116" s="36" t="s">
        <v>5269</v>
      </c>
      <c r="O1116" s="35" t="s">
        <v>5875</v>
      </c>
      <c r="P1116" s="35" t="s">
        <v>5876</v>
      </c>
    </row>
    <row r="1117" spans="1:16" hidden="1">
      <c r="A1117" s="35">
        <v>4787</v>
      </c>
      <c r="B1117" s="36" t="s">
        <v>2562</v>
      </c>
      <c r="C1117" t="e">
        <f>VLOOKUP(A1117,'TABELA SPOLINE'!A:J,10,FALSE)</f>
        <v>#N/A</v>
      </c>
      <c r="H1117">
        <v>1043</v>
      </c>
      <c r="I1117">
        <v>35</v>
      </c>
      <c r="J1117" s="35" t="s">
        <v>3945</v>
      </c>
      <c r="K1117" t="str">
        <f t="shared" si="381"/>
        <v>4787</v>
      </c>
      <c r="L1117" s="36" t="s">
        <v>5107</v>
      </c>
      <c r="M1117" s="35">
        <v>7629</v>
      </c>
      <c r="N1117" s="36" t="s">
        <v>5269</v>
      </c>
      <c r="O1117" s="35" t="s">
        <v>5875</v>
      </c>
      <c r="P1117" s="35" t="s">
        <v>5876</v>
      </c>
    </row>
    <row r="1118" spans="1:16" hidden="1">
      <c r="A1118" s="35">
        <v>4788</v>
      </c>
      <c r="B1118" s="36" t="s">
        <v>2563</v>
      </c>
      <c r="C1118" t="e">
        <f>VLOOKUP(A1118,'TABELA SPOLINE'!A:J,10,FALSE)</f>
        <v>#N/A</v>
      </c>
      <c r="H1118">
        <v>1043</v>
      </c>
      <c r="I1118">
        <v>35</v>
      </c>
      <c r="J1118" s="35" t="s">
        <v>3946</v>
      </c>
      <c r="K1118" t="str">
        <f t="shared" si="381"/>
        <v>4788</v>
      </c>
      <c r="L1118" s="36" t="s">
        <v>5108</v>
      </c>
      <c r="M1118" s="35">
        <v>7629</v>
      </c>
      <c r="N1118" s="36" t="s">
        <v>5269</v>
      </c>
      <c r="O1118" s="35" t="s">
        <v>5875</v>
      </c>
      <c r="P1118" s="35" t="s">
        <v>5876</v>
      </c>
    </row>
    <row r="1119" spans="1:16" hidden="1">
      <c r="A1119" s="35">
        <v>4789</v>
      </c>
      <c r="B1119" s="36" t="s">
        <v>2564</v>
      </c>
      <c r="C1119" t="e">
        <f>VLOOKUP(A1119,'TABELA SPOLINE'!A:J,10,FALSE)</f>
        <v>#N/A</v>
      </c>
      <c r="H1119">
        <v>1043</v>
      </c>
      <c r="I1119">
        <v>35</v>
      </c>
      <c r="J1119" s="35" t="s">
        <v>3947</v>
      </c>
      <c r="K1119" t="str">
        <f t="shared" si="381"/>
        <v>4789</v>
      </c>
      <c r="L1119" s="36" t="s">
        <v>5109</v>
      </c>
      <c r="M1119" s="35">
        <v>7629</v>
      </c>
      <c r="N1119" s="36" t="s">
        <v>5269</v>
      </c>
      <c r="O1119" s="35" t="s">
        <v>5875</v>
      </c>
      <c r="P1119" s="35" t="s">
        <v>5876</v>
      </c>
    </row>
    <row r="1120" spans="1:16">
      <c r="A1120" s="35">
        <v>4794</v>
      </c>
      <c r="B1120" s="36" t="s">
        <v>2565</v>
      </c>
      <c r="C1120">
        <f>VLOOKUP(A1120,'TABELA SPOLINE'!A:J,10,FALSE)</f>
        <v>377.30700000000002</v>
      </c>
      <c r="D1120">
        <f t="shared" ref="D1120:D1122" si="398">C1120*0.1+C1120</f>
        <v>415.03770000000003</v>
      </c>
      <c r="E1120">
        <f t="shared" ref="E1120:E1122" si="399">ROUNDUP(D1120,2)</f>
        <v>415.03999999999996</v>
      </c>
      <c r="F1120">
        <f t="shared" ref="F1120:F1122" si="400">E1120*0.0975+E1120</f>
        <v>455.50639999999999</v>
      </c>
      <c r="G1120">
        <f t="shared" ref="G1120:G1122" si="401">ROUNDUP(F1120,2)</f>
        <v>455.51</v>
      </c>
      <c r="H1120">
        <v>1043</v>
      </c>
      <c r="I1120">
        <v>50</v>
      </c>
      <c r="J1120" s="35" t="s">
        <v>3948</v>
      </c>
      <c r="K1120" t="str">
        <f t="shared" si="381"/>
        <v>4794</v>
      </c>
      <c r="L1120" s="36" t="s">
        <v>5110</v>
      </c>
      <c r="M1120" s="35">
        <v>7629</v>
      </c>
      <c r="N1120" s="36" t="s">
        <v>5269</v>
      </c>
      <c r="O1120" s="35" t="s">
        <v>5877</v>
      </c>
      <c r="P1120" s="35" t="s">
        <v>5878</v>
      </c>
    </row>
    <row r="1121" spans="1:16">
      <c r="A1121" s="35">
        <v>4795</v>
      </c>
      <c r="B1121" s="36" t="s">
        <v>2566</v>
      </c>
      <c r="C1121">
        <f>VLOOKUP(A1121,'TABELA SPOLINE'!A:J,10,FALSE)</f>
        <v>377.30700000000002</v>
      </c>
      <c r="D1121">
        <f t="shared" si="398"/>
        <v>415.03770000000003</v>
      </c>
      <c r="E1121">
        <f t="shared" si="399"/>
        <v>415.03999999999996</v>
      </c>
      <c r="F1121">
        <f t="shared" si="400"/>
        <v>455.50639999999999</v>
      </c>
      <c r="G1121">
        <f t="shared" si="401"/>
        <v>455.51</v>
      </c>
      <c r="H1121">
        <v>1043</v>
      </c>
      <c r="I1121">
        <v>50</v>
      </c>
      <c r="J1121" s="35" t="s">
        <v>3949</v>
      </c>
      <c r="K1121" t="str">
        <f t="shared" si="381"/>
        <v>4795</v>
      </c>
      <c r="L1121" s="36" t="s">
        <v>5111</v>
      </c>
      <c r="M1121" s="35">
        <v>7629</v>
      </c>
      <c r="N1121" s="36" t="s">
        <v>5269</v>
      </c>
      <c r="O1121" s="35" t="s">
        <v>5877</v>
      </c>
      <c r="P1121" s="35" t="s">
        <v>5878</v>
      </c>
    </row>
    <row r="1122" spans="1:16">
      <c r="A1122" s="35">
        <v>4796</v>
      </c>
      <c r="B1122" s="36" t="s">
        <v>2567</v>
      </c>
      <c r="C1122">
        <f>VLOOKUP(A1122,'TABELA SPOLINE'!A:J,10,FALSE)</f>
        <v>377.30700000000002</v>
      </c>
      <c r="D1122">
        <f t="shared" si="398"/>
        <v>415.03770000000003</v>
      </c>
      <c r="E1122">
        <f t="shared" si="399"/>
        <v>415.03999999999996</v>
      </c>
      <c r="F1122">
        <f t="shared" si="400"/>
        <v>455.50639999999999</v>
      </c>
      <c r="G1122">
        <f t="shared" si="401"/>
        <v>455.51</v>
      </c>
      <c r="H1122">
        <v>1043</v>
      </c>
      <c r="I1122">
        <v>50</v>
      </c>
      <c r="J1122" s="35" t="s">
        <v>3950</v>
      </c>
      <c r="K1122" t="str">
        <f t="shared" si="381"/>
        <v>4796</v>
      </c>
      <c r="L1122" s="36" t="s">
        <v>5112</v>
      </c>
      <c r="M1122" s="35">
        <v>7629</v>
      </c>
      <c r="N1122" s="36" t="s">
        <v>5269</v>
      </c>
      <c r="O1122" s="35" t="s">
        <v>5877</v>
      </c>
      <c r="P1122" s="35" t="s">
        <v>5878</v>
      </c>
    </row>
    <row r="1123" spans="1:16" hidden="1">
      <c r="A1123" s="35">
        <v>4797</v>
      </c>
      <c r="B1123" s="36" t="s">
        <v>2568</v>
      </c>
      <c r="C1123" t="e">
        <f>VLOOKUP(A1123,'TABELA SPOLINE'!A:J,10,FALSE)</f>
        <v>#N/A</v>
      </c>
      <c r="H1123">
        <v>1043</v>
      </c>
      <c r="I1123">
        <v>50</v>
      </c>
      <c r="J1123" s="35" t="s">
        <v>3951</v>
      </c>
      <c r="K1123" t="str">
        <f t="shared" si="381"/>
        <v>4797</v>
      </c>
      <c r="L1123" s="36" t="s">
        <v>5113</v>
      </c>
      <c r="M1123" s="35">
        <v>7629</v>
      </c>
      <c r="N1123" s="36" t="s">
        <v>5269</v>
      </c>
      <c r="O1123" s="35" t="s">
        <v>5877</v>
      </c>
      <c r="P1123" s="35" t="s">
        <v>5878</v>
      </c>
    </row>
    <row r="1124" spans="1:16">
      <c r="A1124" s="35">
        <v>4823</v>
      </c>
      <c r="B1124" s="36" t="s">
        <v>2659</v>
      </c>
      <c r="C1124">
        <f>VLOOKUP(A1124,'TABELA SPOLINE'!A:J,10,FALSE)</f>
        <v>228.16500000000002</v>
      </c>
      <c r="D1124">
        <f>C1124*0.1+C1124</f>
        <v>250.98150000000004</v>
      </c>
      <c r="E1124">
        <f>ROUNDUP(D1124,2)</f>
        <v>250.98999999999998</v>
      </c>
      <c r="F1124">
        <f>E1124*0.0975+E1124</f>
        <v>275.46152499999999</v>
      </c>
      <c r="G1124">
        <f>ROUNDUP(F1124,2)</f>
        <v>275.46999999999997</v>
      </c>
      <c r="H1124">
        <v>844</v>
      </c>
      <c r="I1124">
        <v>1</v>
      </c>
      <c r="J1124" s="35" t="s">
        <v>4040</v>
      </c>
      <c r="K1124" t="str">
        <f t="shared" si="381"/>
        <v>4823</v>
      </c>
      <c r="L1124" s="36" t="s">
        <v>5114</v>
      </c>
      <c r="M1124" s="35">
        <v>7629</v>
      </c>
      <c r="N1124" s="36" t="s">
        <v>5269</v>
      </c>
      <c r="O1124" s="35" t="s">
        <v>5877</v>
      </c>
      <c r="P1124" s="35" t="s">
        <v>5878</v>
      </c>
    </row>
    <row r="1125" spans="1:16" hidden="1">
      <c r="A1125" s="35">
        <v>4829</v>
      </c>
      <c r="B1125" s="36" t="s">
        <v>2652</v>
      </c>
      <c r="C1125" t="e">
        <f>VLOOKUP(A1125,'TABELA SPOLINE'!A:J,10,FALSE)</f>
        <v>#N/A</v>
      </c>
      <c r="H1125">
        <v>991</v>
      </c>
      <c r="I1125">
        <v>1</v>
      </c>
      <c r="J1125" s="35" t="s">
        <v>4035</v>
      </c>
      <c r="K1125" t="str">
        <f t="shared" si="381"/>
        <v>4829</v>
      </c>
      <c r="L1125" s="36" t="s">
        <v>5115</v>
      </c>
      <c r="M1125" s="35">
        <v>7629</v>
      </c>
      <c r="N1125" s="36" t="s">
        <v>5269</v>
      </c>
      <c r="O1125" s="35" t="s">
        <v>5877</v>
      </c>
      <c r="P1125" s="35" t="s">
        <v>5878</v>
      </c>
    </row>
    <row r="1126" spans="1:16" hidden="1">
      <c r="A1126" s="35">
        <v>4850</v>
      </c>
      <c r="B1126" s="36" t="s">
        <v>1933</v>
      </c>
      <c r="C1126" t="e">
        <f>VLOOKUP(A1126,'TABELA SPOLINE'!A:J,10,FALSE)</f>
        <v>#N/A</v>
      </c>
      <c r="H1126">
        <v>799</v>
      </c>
      <c r="I1126">
        <v>1</v>
      </c>
      <c r="J1126" s="35" t="s">
        <v>3318</v>
      </c>
      <c r="K1126" t="str">
        <f t="shared" si="381"/>
        <v>4850</v>
      </c>
      <c r="L1126" s="36" t="s">
        <v>5116</v>
      </c>
      <c r="M1126" s="35">
        <v>7629</v>
      </c>
      <c r="N1126" s="36" t="s">
        <v>5269</v>
      </c>
      <c r="O1126" s="35" t="s">
        <v>5879</v>
      </c>
      <c r="P1126" s="35" t="s">
        <v>5880</v>
      </c>
    </row>
    <row r="1127" spans="1:16">
      <c r="A1127" s="35">
        <v>4857</v>
      </c>
      <c r="B1127" s="36" t="s">
        <v>2531</v>
      </c>
      <c r="C1127">
        <f>VLOOKUP(A1127,'TABELA SPOLINE'!A:J,10,FALSE)</f>
        <v>477.47700000000003</v>
      </c>
      <c r="D1127">
        <f t="shared" ref="D1127:D1130" si="402">C1127*0.1+C1127</f>
        <v>525.22469999999998</v>
      </c>
      <c r="E1127">
        <f t="shared" ref="E1127:E1130" si="403">ROUNDUP(D1127,2)</f>
        <v>525.23</v>
      </c>
      <c r="F1127">
        <f t="shared" ref="F1127:F1130" si="404">E1127*0.0975+E1127</f>
        <v>576.43992500000002</v>
      </c>
      <c r="G1127">
        <f t="shared" ref="G1127:G1130" si="405">ROUNDUP(F1127,2)</f>
        <v>576.43999999999994</v>
      </c>
      <c r="H1127">
        <v>1007</v>
      </c>
      <c r="I1127">
        <v>6</v>
      </c>
      <c r="J1127" s="35" t="s">
        <v>3914</v>
      </c>
      <c r="K1127" t="str">
        <f t="shared" si="381"/>
        <v>4857</v>
      </c>
      <c r="L1127" s="36" t="s">
        <v>5117</v>
      </c>
      <c r="M1127" s="35">
        <v>7629</v>
      </c>
      <c r="N1127" s="36" t="s">
        <v>5269</v>
      </c>
      <c r="O1127" s="35" t="s">
        <v>5879</v>
      </c>
      <c r="P1127" s="35" t="s">
        <v>5880</v>
      </c>
    </row>
    <row r="1128" spans="1:16">
      <c r="A1128" s="35">
        <v>4867</v>
      </c>
      <c r="B1128" s="36" t="s">
        <v>2050</v>
      </c>
      <c r="C1128">
        <f>VLOOKUP(A1128,'TABELA SPOLINE'!A:J,10,FALSE)</f>
        <v>495.28500000000003</v>
      </c>
      <c r="D1128">
        <f t="shared" si="402"/>
        <v>544.81349999999998</v>
      </c>
      <c r="E1128">
        <f t="shared" si="403"/>
        <v>544.81999999999994</v>
      </c>
      <c r="F1128">
        <f t="shared" si="404"/>
        <v>597.93994999999995</v>
      </c>
      <c r="G1128">
        <f t="shared" si="405"/>
        <v>597.93999999999994</v>
      </c>
      <c r="H1128">
        <v>830</v>
      </c>
      <c r="I1128">
        <v>1</v>
      </c>
      <c r="J1128" s="35" t="s">
        <v>3435</v>
      </c>
      <c r="K1128" t="str">
        <f t="shared" si="381"/>
        <v>4867</v>
      </c>
      <c r="L1128" s="36" t="s">
        <v>5118</v>
      </c>
      <c r="M1128" s="35">
        <v>7629</v>
      </c>
      <c r="N1128" s="36" t="s">
        <v>5269</v>
      </c>
      <c r="O1128" s="35" t="s">
        <v>5881</v>
      </c>
      <c r="P1128" s="35" t="s">
        <v>5882</v>
      </c>
    </row>
    <row r="1129" spans="1:16">
      <c r="A1129" s="35">
        <v>4868</v>
      </c>
      <c r="B1129" s="36" t="s">
        <v>2431</v>
      </c>
      <c r="C1129">
        <f>VLOOKUP(A1129,'TABELA SPOLINE'!A:J,10,FALSE)</f>
        <v>194.77500000000001</v>
      </c>
      <c r="D1129">
        <f t="shared" si="402"/>
        <v>214.2525</v>
      </c>
      <c r="E1129">
        <f t="shared" si="403"/>
        <v>214.26</v>
      </c>
      <c r="F1129">
        <f t="shared" si="404"/>
        <v>235.15035</v>
      </c>
      <c r="G1129">
        <f t="shared" si="405"/>
        <v>235.16</v>
      </c>
      <c r="H1129">
        <v>1040</v>
      </c>
      <c r="I1129">
        <v>1</v>
      </c>
      <c r="J1129" s="35" t="s">
        <v>3814</v>
      </c>
      <c r="K1129" t="str">
        <f t="shared" si="381"/>
        <v>4868</v>
      </c>
      <c r="L1129" s="36" t="s">
        <v>5119</v>
      </c>
      <c r="M1129" s="35">
        <v>7629</v>
      </c>
      <c r="N1129" s="36" t="s">
        <v>5269</v>
      </c>
      <c r="O1129" s="35" t="s">
        <v>5883</v>
      </c>
      <c r="P1129" s="35" t="s">
        <v>5884</v>
      </c>
    </row>
    <row r="1130" spans="1:16">
      <c r="A1130" s="35">
        <v>4869</v>
      </c>
      <c r="B1130" s="36" t="s">
        <v>2532</v>
      </c>
      <c r="C1130">
        <f>VLOOKUP(A1130,'TABELA SPOLINE'!A:J,10,FALSE)</f>
        <v>477.47700000000003</v>
      </c>
      <c r="D1130">
        <f t="shared" si="402"/>
        <v>525.22469999999998</v>
      </c>
      <c r="E1130">
        <f t="shared" si="403"/>
        <v>525.23</v>
      </c>
      <c r="F1130">
        <f t="shared" si="404"/>
        <v>576.43992500000002</v>
      </c>
      <c r="G1130">
        <f t="shared" si="405"/>
        <v>576.43999999999994</v>
      </c>
      <c r="H1130">
        <v>1007</v>
      </c>
      <c r="I1130">
        <v>6</v>
      </c>
      <c r="J1130" s="35" t="s">
        <v>3915</v>
      </c>
      <c r="K1130" t="str">
        <f t="shared" si="381"/>
        <v>4869</v>
      </c>
      <c r="L1130" s="36" t="s">
        <v>5120</v>
      </c>
      <c r="M1130" s="35">
        <v>7629</v>
      </c>
      <c r="N1130" s="36" t="s">
        <v>5269</v>
      </c>
      <c r="O1130" s="35" t="s">
        <v>5883</v>
      </c>
      <c r="P1130" s="35" t="s">
        <v>5884</v>
      </c>
    </row>
    <row r="1131" spans="1:16" hidden="1">
      <c r="A1131" s="35">
        <v>4879</v>
      </c>
      <c r="B1131" s="36" t="s">
        <v>1987</v>
      </c>
      <c r="C1131" t="e">
        <f>VLOOKUP(A1131,'TABELA SPOLINE'!A:J,10,FALSE)</f>
        <v>#N/A</v>
      </c>
      <c r="H1131">
        <v>810</v>
      </c>
      <c r="I1131">
        <v>120</v>
      </c>
      <c r="J1131" s="35" t="s">
        <v>3372</v>
      </c>
      <c r="K1131" t="str">
        <f t="shared" si="381"/>
        <v>4879</v>
      </c>
      <c r="L1131" s="36" t="s">
        <v>5121</v>
      </c>
      <c r="M1131" s="35">
        <v>7629</v>
      </c>
      <c r="N1131" s="36" t="s">
        <v>5269</v>
      </c>
      <c r="O1131" s="35" t="s">
        <v>5288</v>
      </c>
      <c r="P1131" s="35" t="s">
        <v>5289</v>
      </c>
    </row>
    <row r="1132" spans="1:16" hidden="1">
      <c r="A1132" s="35">
        <v>4880</v>
      </c>
      <c r="B1132" s="36" t="s">
        <v>1764</v>
      </c>
      <c r="C1132" t="e">
        <f>VLOOKUP(A1132,'TABELA SPOLINE'!A:J,10,FALSE)</f>
        <v>#N/A</v>
      </c>
      <c r="H1132">
        <v>633</v>
      </c>
      <c r="I1132">
        <v>3</v>
      </c>
      <c r="J1132" s="35" t="s">
        <v>3151</v>
      </c>
      <c r="K1132" t="str">
        <f t="shared" si="381"/>
        <v>4880</v>
      </c>
      <c r="L1132" s="36" t="s">
        <v>5122</v>
      </c>
      <c r="M1132" s="35">
        <v>7629</v>
      </c>
      <c r="N1132" s="36" t="s">
        <v>5269</v>
      </c>
      <c r="O1132" s="35" t="s">
        <v>5879</v>
      </c>
      <c r="P1132" s="35" t="s">
        <v>5880</v>
      </c>
    </row>
    <row r="1133" spans="1:16">
      <c r="A1133" s="35">
        <v>4881</v>
      </c>
      <c r="B1133" s="36" t="s">
        <v>2653</v>
      </c>
      <c r="C1133">
        <f>VLOOKUP(A1133,'TABELA SPOLINE'!A:J,10,FALSE)</f>
        <v>158.93639999999999</v>
      </c>
      <c r="D1133">
        <f>C1133*0.1+C1133</f>
        <v>174.83004</v>
      </c>
      <c r="E1133">
        <f>ROUNDUP(D1133,2)</f>
        <v>174.84</v>
      </c>
      <c r="F1133">
        <f>E1133*0.0975+E1133</f>
        <v>191.8869</v>
      </c>
      <c r="G1133">
        <f>ROUNDUP(F1133,2)</f>
        <v>191.89</v>
      </c>
      <c r="H1133">
        <v>991</v>
      </c>
      <c r="I1133">
        <v>1</v>
      </c>
      <c r="J1133" s="35" t="s">
        <v>4036</v>
      </c>
      <c r="K1133" t="str">
        <f t="shared" si="381"/>
        <v>4881</v>
      </c>
      <c r="L1133" s="36" t="s">
        <v>5123</v>
      </c>
      <c r="M1133" s="35">
        <v>7629</v>
      </c>
      <c r="N1133" s="36" t="s">
        <v>5269</v>
      </c>
      <c r="O1133" s="35" t="s">
        <v>5883</v>
      </c>
      <c r="P1133" s="35" t="s">
        <v>5884</v>
      </c>
    </row>
    <row r="1134" spans="1:16" hidden="1">
      <c r="A1134" s="35">
        <v>4887</v>
      </c>
      <c r="B1134" s="36" t="s">
        <v>1935</v>
      </c>
      <c r="C1134" t="e">
        <f>VLOOKUP(A1134,'TABELA SPOLINE'!A:J,10,FALSE)</f>
        <v>#N/A</v>
      </c>
      <c r="H1134">
        <v>799</v>
      </c>
      <c r="I1134">
        <v>1</v>
      </c>
      <c r="J1134" s="35" t="s">
        <v>3320</v>
      </c>
      <c r="K1134" t="str">
        <f t="shared" si="381"/>
        <v>4887</v>
      </c>
      <c r="L1134" s="36" t="s">
        <v>5124</v>
      </c>
      <c r="M1134" s="35">
        <v>7629</v>
      </c>
      <c r="N1134" s="36" t="s">
        <v>5269</v>
      </c>
      <c r="O1134" s="35" t="s">
        <v>5885</v>
      </c>
      <c r="P1134" s="35" t="s">
        <v>5886</v>
      </c>
    </row>
    <row r="1135" spans="1:16">
      <c r="A1135" s="35">
        <v>4895</v>
      </c>
      <c r="B1135" s="36" t="s">
        <v>2198</v>
      </c>
      <c r="C1135">
        <f>VLOOKUP(A1135,'TABELA SPOLINE'!A:J,10,FALSE)</f>
        <v>121.31700000000001</v>
      </c>
      <c r="D1135">
        <f>C1135*0.1+C1135</f>
        <v>133.4487</v>
      </c>
      <c r="E1135">
        <f>ROUNDUP(D1135,2)</f>
        <v>133.44999999999999</v>
      </c>
      <c r="F1135">
        <f>E1135*0.0975+E1135</f>
        <v>146.46137499999998</v>
      </c>
      <c r="G1135">
        <f>ROUNDUP(F1135,2)</f>
        <v>146.47</v>
      </c>
      <c r="H1135">
        <v>803</v>
      </c>
      <c r="I1135">
        <v>1</v>
      </c>
      <c r="J1135" s="35" t="s">
        <v>3583</v>
      </c>
      <c r="K1135" t="str">
        <f t="shared" si="381"/>
        <v>4895</v>
      </c>
      <c r="L1135" s="36" t="s">
        <v>5125</v>
      </c>
      <c r="M1135" s="35">
        <v>7629</v>
      </c>
      <c r="N1135" s="36" t="s">
        <v>5269</v>
      </c>
      <c r="O1135" s="35" t="s">
        <v>5885</v>
      </c>
      <c r="P1135" s="35" t="s">
        <v>5886</v>
      </c>
    </row>
    <row r="1136" spans="1:16" hidden="1">
      <c r="A1136" s="35">
        <v>4897</v>
      </c>
      <c r="B1136" s="36" t="s">
        <v>2343</v>
      </c>
      <c r="C1136" t="e">
        <f>VLOOKUP(A1136,'TABELA SPOLINE'!A:J,10,FALSE)</f>
        <v>#N/A</v>
      </c>
      <c r="H1136">
        <v>831</v>
      </c>
      <c r="I1136">
        <v>60</v>
      </c>
      <c r="J1136" s="35" t="s">
        <v>3728</v>
      </c>
      <c r="K1136" t="str">
        <f t="shared" si="381"/>
        <v>4897</v>
      </c>
      <c r="L1136" s="36" t="s">
        <v>5126</v>
      </c>
      <c r="M1136" s="35">
        <v>7629</v>
      </c>
      <c r="N1136" s="36" t="s">
        <v>5269</v>
      </c>
      <c r="O1136" s="35" t="s">
        <v>5885</v>
      </c>
      <c r="P1136" s="35" t="s">
        <v>5886</v>
      </c>
    </row>
    <row r="1137" spans="1:16" hidden="1">
      <c r="A1137" s="35">
        <v>4909</v>
      </c>
      <c r="B1137" s="36" t="s">
        <v>2648</v>
      </c>
      <c r="C1137" t="e">
        <f>VLOOKUP(A1137,'TABELA SPOLINE'!A:J,10,FALSE)</f>
        <v>#N/A</v>
      </c>
      <c r="H1137">
        <v>991</v>
      </c>
      <c r="I1137">
        <v>1</v>
      </c>
      <c r="J1137" s="35" t="s">
        <v>4031</v>
      </c>
      <c r="K1137" t="str">
        <f t="shared" si="381"/>
        <v>4909</v>
      </c>
      <c r="L1137" s="36" t="s">
        <v>5127</v>
      </c>
      <c r="M1137" s="35">
        <v>7629</v>
      </c>
      <c r="N1137" s="36" t="s">
        <v>5269</v>
      </c>
      <c r="O1137" s="35" t="s">
        <v>5887</v>
      </c>
      <c r="P1137" s="35" t="s">
        <v>5888</v>
      </c>
    </row>
    <row r="1138" spans="1:16" hidden="1">
      <c r="A1138" s="35">
        <v>4910</v>
      </c>
      <c r="B1138" s="36" t="s">
        <v>2647</v>
      </c>
      <c r="C1138" t="e">
        <f>VLOOKUP(A1138,'TABELA SPOLINE'!A:J,10,FALSE)</f>
        <v>#N/A</v>
      </c>
      <c r="H1138">
        <v>991</v>
      </c>
      <c r="I1138">
        <v>1</v>
      </c>
      <c r="J1138" s="35" t="s">
        <v>4030</v>
      </c>
      <c r="K1138" t="str">
        <f t="shared" si="381"/>
        <v>4910</v>
      </c>
      <c r="L1138" s="36" t="s">
        <v>5128</v>
      </c>
      <c r="M1138" s="35">
        <v>7629</v>
      </c>
      <c r="N1138" s="36" t="s">
        <v>5269</v>
      </c>
      <c r="O1138" s="35" t="s">
        <v>5887</v>
      </c>
      <c r="P1138" s="35" t="s">
        <v>5888</v>
      </c>
    </row>
    <row r="1139" spans="1:16">
      <c r="A1139" s="35">
        <v>4912</v>
      </c>
      <c r="B1139" s="36" t="s">
        <v>1690</v>
      </c>
      <c r="C1139">
        <f>VLOOKUP(A1139,'TABELA SPOLINE'!A:J,10,FALSE)</f>
        <v>238.18199999999999</v>
      </c>
      <c r="D1139">
        <f t="shared" ref="D1139:D1141" si="406">C1139*0.1+C1139</f>
        <v>262.00020000000001</v>
      </c>
      <c r="E1139">
        <f t="shared" ref="E1139:E1141" si="407">ROUNDUP(D1139,2)</f>
        <v>262.01</v>
      </c>
      <c r="F1139">
        <f t="shared" ref="F1139:F1141" si="408">E1139*0.0975+E1139</f>
        <v>287.55597499999999</v>
      </c>
      <c r="G1139">
        <f t="shared" ref="G1139:G1141" si="409">ROUNDUP(F1139,2)</f>
        <v>287.56</v>
      </c>
      <c r="H1139">
        <v>824</v>
      </c>
      <c r="I1139">
        <v>30</v>
      </c>
      <c r="J1139" s="35" t="s">
        <v>3078</v>
      </c>
      <c r="K1139" t="str">
        <f t="shared" si="381"/>
        <v>4912</v>
      </c>
      <c r="L1139" s="36" t="s">
        <v>5129</v>
      </c>
      <c r="M1139" s="35">
        <v>7629</v>
      </c>
      <c r="N1139" s="36" t="s">
        <v>5269</v>
      </c>
      <c r="O1139" s="35" t="s">
        <v>5887</v>
      </c>
      <c r="P1139" s="35" t="s">
        <v>5888</v>
      </c>
    </row>
    <row r="1140" spans="1:16">
      <c r="A1140" s="35">
        <v>4915</v>
      </c>
      <c r="B1140" s="36" t="s">
        <v>1702</v>
      </c>
      <c r="C1140">
        <f>VLOOKUP(A1140,'TABELA SPOLINE'!A:J,10,FALSE)</f>
        <v>463.00800000000004</v>
      </c>
      <c r="D1140">
        <f t="shared" si="406"/>
        <v>509.30880000000002</v>
      </c>
      <c r="E1140">
        <f t="shared" si="407"/>
        <v>509.31</v>
      </c>
      <c r="F1140">
        <f t="shared" si="408"/>
        <v>558.96772499999997</v>
      </c>
      <c r="G1140">
        <f t="shared" si="409"/>
        <v>558.97</v>
      </c>
      <c r="H1140">
        <v>824</v>
      </c>
      <c r="I1140">
        <v>30</v>
      </c>
      <c r="J1140" s="35" t="s">
        <v>3090</v>
      </c>
      <c r="K1140" t="str">
        <f t="shared" si="381"/>
        <v>4915</v>
      </c>
      <c r="L1140" s="36" t="s">
        <v>5130</v>
      </c>
      <c r="M1140" s="35">
        <v>7629</v>
      </c>
      <c r="N1140" s="36" t="s">
        <v>5269</v>
      </c>
      <c r="O1140" s="35" t="s">
        <v>5887</v>
      </c>
      <c r="P1140" s="35" t="s">
        <v>5888</v>
      </c>
    </row>
    <row r="1141" spans="1:16">
      <c r="A1141" s="35">
        <v>4925</v>
      </c>
      <c r="B1141" s="36" t="s">
        <v>2222</v>
      </c>
      <c r="C1141">
        <f>VLOOKUP(A1141,'TABELA SPOLINE'!A:J,10,FALSE)</f>
        <v>150.255</v>
      </c>
      <c r="D1141">
        <f t="shared" si="406"/>
        <v>165.28049999999999</v>
      </c>
      <c r="E1141">
        <f t="shared" si="407"/>
        <v>165.29</v>
      </c>
      <c r="F1141">
        <f t="shared" si="408"/>
        <v>181.40577500000001</v>
      </c>
      <c r="G1141">
        <f t="shared" si="409"/>
        <v>181.41</v>
      </c>
      <c r="H1141">
        <v>821</v>
      </c>
      <c r="I1141">
        <v>1</v>
      </c>
      <c r="J1141" s="35" t="s">
        <v>3607</v>
      </c>
      <c r="K1141" t="str">
        <f t="shared" si="381"/>
        <v>4925</v>
      </c>
      <c r="L1141" s="36" t="s">
        <v>5131</v>
      </c>
      <c r="M1141" s="35">
        <v>7629</v>
      </c>
      <c r="N1141" s="36" t="s">
        <v>5269</v>
      </c>
      <c r="O1141" s="35" t="s">
        <v>5887</v>
      </c>
      <c r="P1141" s="35" t="s">
        <v>5888</v>
      </c>
    </row>
    <row r="1142" spans="1:16" hidden="1">
      <c r="A1142" s="35">
        <v>4926</v>
      </c>
      <c r="B1142" s="36" t="s">
        <v>1957</v>
      </c>
      <c r="C1142" t="e">
        <f>VLOOKUP(A1142,'TABELA SPOLINE'!A:J,10,FALSE)</f>
        <v>#N/A</v>
      </c>
      <c r="H1142">
        <v>804</v>
      </c>
      <c r="I1142">
        <v>4</v>
      </c>
      <c r="J1142" s="35" t="s">
        <v>3342</v>
      </c>
      <c r="K1142" t="str">
        <f t="shared" si="381"/>
        <v>4926</v>
      </c>
      <c r="L1142" s="36" t="s">
        <v>5132</v>
      </c>
      <c r="M1142" s="35">
        <v>7629</v>
      </c>
      <c r="N1142" s="36" t="s">
        <v>5269</v>
      </c>
      <c r="O1142" s="35" t="s">
        <v>5889</v>
      </c>
      <c r="P1142" s="35" t="s">
        <v>5890</v>
      </c>
    </row>
    <row r="1143" spans="1:16">
      <c r="A1143" s="35">
        <v>4927</v>
      </c>
      <c r="B1143" s="36" t="s">
        <v>1956</v>
      </c>
      <c r="C1143">
        <f>VLOOKUP(A1143,'TABELA SPOLINE'!A:J,10,FALSE)</f>
        <v>621.05399999999997</v>
      </c>
      <c r="D1143">
        <f>C1143*0.1+C1143</f>
        <v>683.15940000000001</v>
      </c>
      <c r="E1143">
        <f>ROUNDUP(D1143,2)</f>
        <v>683.16</v>
      </c>
      <c r="F1143">
        <f>E1143*0.0975+E1143</f>
        <v>749.7681</v>
      </c>
      <c r="G1143">
        <f>ROUNDUP(F1143,2)</f>
        <v>749.77</v>
      </c>
      <c r="H1143">
        <v>804</v>
      </c>
      <c r="I1143">
        <v>4</v>
      </c>
      <c r="J1143" s="35" t="s">
        <v>3341</v>
      </c>
      <c r="K1143" t="str">
        <f t="shared" si="381"/>
        <v>4927</v>
      </c>
      <c r="L1143" s="36" t="s">
        <v>5133</v>
      </c>
      <c r="M1143" s="35">
        <v>7629</v>
      </c>
      <c r="N1143" s="36" t="s">
        <v>5269</v>
      </c>
      <c r="O1143" s="35" t="s">
        <v>5889</v>
      </c>
      <c r="P1143" s="35" t="s">
        <v>5890</v>
      </c>
    </row>
    <row r="1144" spans="1:16" hidden="1">
      <c r="A1144" s="35">
        <v>4928</v>
      </c>
      <c r="B1144" s="36" t="s">
        <v>1958</v>
      </c>
      <c r="C1144" t="e">
        <f>VLOOKUP(A1144,'TABELA SPOLINE'!A:J,10,FALSE)</f>
        <v>#N/A</v>
      </c>
      <c r="H1144">
        <v>804</v>
      </c>
      <c r="I1144">
        <v>4</v>
      </c>
      <c r="J1144" s="35" t="s">
        <v>3343</v>
      </c>
      <c r="K1144" t="str">
        <f t="shared" si="381"/>
        <v>4928</v>
      </c>
      <c r="L1144" s="36" t="s">
        <v>5134</v>
      </c>
      <c r="M1144" s="35">
        <v>7629</v>
      </c>
      <c r="N1144" s="36" t="s">
        <v>5269</v>
      </c>
      <c r="O1144" s="35" t="s">
        <v>5889</v>
      </c>
      <c r="P1144" s="35" t="s">
        <v>5890</v>
      </c>
    </row>
    <row r="1145" spans="1:16" hidden="1">
      <c r="A1145" s="35">
        <v>4929</v>
      </c>
      <c r="B1145" s="36" t="s">
        <v>1959</v>
      </c>
      <c r="C1145" t="e">
        <f>VLOOKUP(A1145,'TABELA SPOLINE'!A:J,10,FALSE)</f>
        <v>#N/A</v>
      </c>
      <c r="H1145">
        <v>804</v>
      </c>
      <c r="I1145">
        <v>4</v>
      </c>
      <c r="J1145" s="35" t="s">
        <v>3344</v>
      </c>
      <c r="K1145" t="str">
        <f t="shared" si="381"/>
        <v>4929</v>
      </c>
      <c r="L1145" s="36" t="s">
        <v>5135</v>
      </c>
      <c r="M1145" s="35">
        <v>7629</v>
      </c>
      <c r="N1145" s="36" t="s">
        <v>5269</v>
      </c>
      <c r="O1145" s="35" t="s">
        <v>5891</v>
      </c>
      <c r="P1145" s="35" t="s">
        <v>5892</v>
      </c>
    </row>
    <row r="1146" spans="1:16" hidden="1">
      <c r="A1146" s="35">
        <v>4933</v>
      </c>
      <c r="B1146" s="36" t="s">
        <v>2226</v>
      </c>
      <c r="C1146" t="e">
        <f>VLOOKUP(A1146,'TABELA SPOLINE'!A:J,10,FALSE)</f>
        <v>#N/A</v>
      </c>
      <c r="H1146">
        <v>821</v>
      </c>
      <c r="I1146">
        <v>1</v>
      </c>
      <c r="J1146" s="35" t="s">
        <v>3611</v>
      </c>
      <c r="K1146" t="str">
        <f t="shared" si="381"/>
        <v>4933</v>
      </c>
      <c r="L1146" s="36" t="s">
        <v>5136</v>
      </c>
      <c r="M1146" s="35">
        <v>7629</v>
      </c>
      <c r="N1146" s="36" t="s">
        <v>5269</v>
      </c>
      <c r="O1146" s="35" t="s">
        <v>5889</v>
      </c>
      <c r="P1146" s="35" t="s">
        <v>5890</v>
      </c>
    </row>
    <row r="1147" spans="1:16" hidden="1">
      <c r="A1147" s="35">
        <v>4934</v>
      </c>
      <c r="B1147" s="36" t="s">
        <v>2228</v>
      </c>
      <c r="C1147" t="e">
        <f>VLOOKUP(A1147,'TABELA SPOLINE'!A:J,10,FALSE)</f>
        <v>#N/A</v>
      </c>
      <c r="H1147">
        <v>821</v>
      </c>
      <c r="I1147">
        <v>1</v>
      </c>
      <c r="J1147" s="35" t="s">
        <v>3613</v>
      </c>
      <c r="K1147" t="str">
        <f t="shared" si="381"/>
        <v>4934</v>
      </c>
      <c r="L1147" s="36" t="s">
        <v>5137</v>
      </c>
      <c r="M1147" s="35">
        <v>7629</v>
      </c>
      <c r="N1147" s="36" t="s">
        <v>5269</v>
      </c>
      <c r="O1147" s="35" t="s">
        <v>5889</v>
      </c>
      <c r="P1147" s="35" t="s">
        <v>5890</v>
      </c>
    </row>
    <row r="1148" spans="1:16" hidden="1">
      <c r="A1148" s="35">
        <v>4935</v>
      </c>
      <c r="B1148" s="36" t="s">
        <v>2229</v>
      </c>
      <c r="C1148" t="e">
        <f>VLOOKUP(A1148,'TABELA SPOLINE'!A:J,10,FALSE)</f>
        <v>#N/A</v>
      </c>
      <c r="H1148">
        <v>821</v>
      </c>
      <c r="I1148">
        <v>1</v>
      </c>
      <c r="J1148" s="35" t="s">
        <v>3614</v>
      </c>
      <c r="K1148" t="str">
        <f t="shared" si="381"/>
        <v>4935</v>
      </c>
      <c r="L1148" s="36" t="s">
        <v>5138</v>
      </c>
      <c r="M1148" s="35">
        <v>7629</v>
      </c>
      <c r="N1148" s="36" t="s">
        <v>5269</v>
      </c>
      <c r="O1148" s="35" t="s">
        <v>5889</v>
      </c>
      <c r="P1148" s="35" t="s">
        <v>5890</v>
      </c>
    </row>
    <row r="1149" spans="1:16" hidden="1">
      <c r="A1149" s="35">
        <v>4937</v>
      </c>
      <c r="B1149" s="36" t="s">
        <v>2230</v>
      </c>
      <c r="C1149" t="e">
        <f>VLOOKUP(A1149,'TABELA SPOLINE'!A:J,10,FALSE)</f>
        <v>#N/A</v>
      </c>
      <c r="H1149">
        <v>821</v>
      </c>
      <c r="I1149">
        <v>1</v>
      </c>
      <c r="J1149" s="35" t="s">
        <v>3615</v>
      </c>
      <c r="K1149" t="str">
        <f t="shared" si="381"/>
        <v>4937</v>
      </c>
      <c r="L1149" s="36" t="s">
        <v>5139</v>
      </c>
      <c r="M1149" s="35">
        <v>7629</v>
      </c>
      <c r="N1149" s="36" t="s">
        <v>5269</v>
      </c>
      <c r="O1149" s="35" t="s">
        <v>5891</v>
      </c>
      <c r="P1149" s="35" t="s">
        <v>5892</v>
      </c>
    </row>
    <row r="1150" spans="1:16" hidden="1">
      <c r="A1150" s="35">
        <v>4937</v>
      </c>
      <c r="B1150" s="36" t="s">
        <v>2281</v>
      </c>
      <c r="C1150" t="e">
        <f>VLOOKUP(A1150,'TABELA SPOLINE'!A:J,10,FALSE)</f>
        <v>#N/A</v>
      </c>
      <c r="H1150">
        <v>836</v>
      </c>
      <c r="I1150">
        <v>1</v>
      </c>
      <c r="J1150" s="35" t="s">
        <v>3666</v>
      </c>
      <c r="K1150" t="str">
        <f t="shared" si="381"/>
        <v>4937</v>
      </c>
      <c r="L1150" s="36" t="s">
        <v>5140</v>
      </c>
      <c r="M1150" s="35">
        <v>7629</v>
      </c>
      <c r="N1150" s="36" t="s">
        <v>5269</v>
      </c>
      <c r="O1150" s="35" t="s">
        <v>5893</v>
      </c>
      <c r="P1150" s="35" t="s">
        <v>5894</v>
      </c>
    </row>
    <row r="1151" spans="1:16" hidden="1">
      <c r="A1151" s="35">
        <v>4938</v>
      </c>
      <c r="B1151" s="36" t="s">
        <v>1894</v>
      </c>
      <c r="C1151" t="e">
        <f>VLOOKUP(A1151,'TABELA SPOLINE'!A:J,10,FALSE)</f>
        <v>#N/A</v>
      </c>
      <c r="H1151">
        <v>784</v>
      </c>
      <c r="I1151">
        <v>2</v>
      </c>
      <c r="J1151" s="35" t="s">
        <v>3279</v>
      </c>
      <c r="K1151" t="str">
        <f t="shared" si="381"/>
        <v>4938</v>
      </c>
      <c r="L1151" s="36" t="s">
        <v>5141</v>
      </c>
      <c r="M1151" s="35">
        <v>7629</v>
      </c>
      <c r="N1151" s="36" t="s">
        <v>5269</v>
      </c>
      <c r="O1151" s="35" t="s">
        <v>5895</v>
      </c>
      <c r="P1151" s="35" t="s">
        <v>5896</v>
      </c>
    </row>
    <row r="1152" spans="1:16" hidden="1">
      <c r="A1152" s="35">
        <v>4940</v>
      </c>
      <c r="B1152" s="36" t="s">
        <v>2289</v>
      </c>
      <c r="C1152" t="e">
        <f>VLOOKUP(A1152,'TABELA SPOLINE'!A:J,10,FALSE)</f>
        <v>#N/A</v>
      </c>
      <c r="H1152">
        <v>836</v>
      </c>
      <c r="I1152">
        <v>1</v>
      </c>
      <c r="J1152" s="35" t="s">
        <v>3674</v>
      </c>
      <c r="K1152" t="str">
        <f t="shared" si="381"/>
        <v>4940</v>
      </c>
      <c r="L1152" s="36" t="s">
        <v>5142</v>
      </c>
      <c r="M1152" s="35">
        <v>7629</v>
      </c>
      <c r="N1152" s="36" t="s">
        <v>5269</v>
      </c>
      <c r="O1152" s="35" t="s">
        <v>5895</v>
      </c>
      <c r="P1152" s="35" t="s">
        <v>5896</v>
      </c>
    </row>
    <row r="1153" spans="1:16" hidden="1">
      <c r="A1153" s="35">
        <v>4944</v>
      </c>
      <c r="B1153" s="36" t="s">
        <v>1899</v>
      </c>
      <c r="C1153" t="e">
        <f>VLOOKUP(A1153,'TABELA SPOLINE'!A:J,10,FALSE)</f>
        <v>#N/A</v>
      </c>
      <c r="H1153">
        <v>786</v>
      </c>
      <c r="I1153">
        <v>1</v>
      </c>
      <c r="J1153" s="35" t="s">
        <v>3284</v>
      </c>
      <c r="K1153" t="str">
        <f t="shared" si="381"/>
        <v>4944</v>
      </c>
      <c r="L1153" s="36" t="s">
        <v>5143</v>
      </c>
      <c r="M1153" s="35">
        <v>7629</v>
      </c>
      <c r="N1153" s="36" t="s">
        <v>5269</v>
      </c>
      <c r="O1153" s="35" t="s">
        <v>5897</v>
      </c>
      <c r="P1153" s="35" t="s">
        <v>5898</v>
      </c>
    </row>
    <row r="1154" spans="1:16" hidden="1">
      <c r="A1154" s="35">
        <v>4945</v>
      </c>
      <c r="B1154" s="36" t="s">
        <v>1907</v>
      </c>
      <c r="C1154" t="e">
        <f>VLOOKUP(A1154,'TABELA SPOLINE'!A:J,10,FALSE)</f>
        <v>#N/A</v>
      </c>
      <c r="H1154">
        <v>786</v>
      </c>
      <c r="I1154">
        <v>1</v>
      </c>
      <c r="J1154" s="35" t="s">
        <v>3292</v>
      </c>
      <c r="K1154" t="str">
        <f t="shared" si="381"/>
        <v>4945</v>
      </c>
      <c r="L1154" s="36" t="s">
        <v>5144</v>
      </c>
      <c r="M1154" s="35">
        <v>7629</v>
      </c>
      <c r="N1154" s="36" t="s">
        <v>5269</v>
      </c>
      <c r="O1154" s="35" t="s">
        <v>5899</v>
      </c>
      <c r="P1154" s="35" t="s">
        <v>5900</v>
      </c>
    </row>
    <row r="1155" spans="1:16" hidden="1">
      <c r="A1155" s="35">
        <v>4947</v>
      </c>
      <c r="B1155" s="36" t="s">
        <v>2285</v>
      </c>
      <c r="C1155" t="e">
        <f>VLOOKUP(A1155,'TABELA SPOLINE'!A:J,10,FALSE)</f>
        <v>#N/A</v>
      </c>
      <c r="H1155">
        <v>836</v>
      </c>
      <c r="I1155">
        <v>1</v>
      </c>
      <c r="J1155" s="35" t="s">
        <v>3670</v>
      </c>
      <c r="K1155" t="str">
        <f t="shared" ref="K1155:K1218" si="410">TRIM(A1155)</f>
        <v>4947</v>
      </c>
      <c r="L1155" s="36" t="s">
        <v>5145</v>
      </c>
      <c r="M1155" s="35">
        <v>7629</v>
      </c>
      <c r="N1155" s="36" t="s">
        <v>5269</v>
      </c>
      <c r="O1155" s="35" t="s">
        <v>5901</v>
      </c>
      <c r="P1155" s="35" t="s">
        <v>5902</v>
      </c>
    </row>
    <row r="1156" spans="1:16" hidden="1">
      <c r="A1156" s="35">
        <v>4948</v>
      </c>
      <c r="B1156" s="36" t="s">
        <v>2291</v>
      </c>
      <c r="C1156" t="e">
        <f>VLOOKUP(A1156,'TABELA SPOLINE'!A:J,10,FALSE)</f>
        <v>#N/A</v>
      </c>
      <c r="H1156">
        <v>836</v>
      </c>
      <c r="I1156">
        <v>1</v>
      </c>
      <c r="J1156" s="35" t="s">
        <v>3676</v>
      </c>
      <c r="K1156" t="str">
        <f t="shared" si="410"/>
        <v>4948</v>
      </c>
      <c r="L1156" s="36" t="s">
        <v>5146</v>
      </c>
      <c r="M1156" s="35">
        <v>7629</v>
      </c>
      <c r="N1156" s="36" t="s">
        <v>5269</v>
      </c>
      <c r="O1156" s="35" t="s">
        <v>5903</v>
      </c>
      <c r="P1156" s="35" t="s">
        <v>5904</v>
      </c>
    </row>
    <row r="1157" spans="1:16" hidden="1">
      <c r="A1157" s="35">
        <v>4949</v>
      </c>
      <c r="B1157" s="36" t="s">
        <v>2292</v>
      </c>
      <c r="C1157" t="e">
        <f>VLOOKUP(A1157,'TABELA SPOLINE'!A:J,10,FALSE)</f>
        <v>#N/A</v>
      </c>
      <c r="H1157">
        <v>836</v>
      </c>
      <c r="I1157">
        <v>1</v>
      </c>
      <c r="J1157" s="35" t="s">
        <v>3677</v>
      </c>
      <c r="K1157" t="str">
        <f t="shared" si="410"/>
        <v>4949</v>
      </c>
      <c r="L1157" s="36" t="s">
        <v>5147</v>
      </c>
      <c r="M1157" s="35">
        <v>7629</v>
      </c>
      <c r="N1157" s="36" t="s">
        <v>5269</v>
      </c>
      <c r="O1157" s="35" t="s">
        <v>5905</v>
      </c>
      <c r="P1157" s="35" t="s">
        <v>5906</v>
      </c>
    </row>
    <row r="1158" spans="1:16" hidden="1">
      <c r="A1158" s="35">
        <v>4950</v>
      </c>
      <c r="B1158" s="36" t="s">
        <v>2331</v>
      </c>
      <c r="C1158" t="e">
        <f>VLOOKUP(A1158,'TABELA SPOLINE'!A:J,10,FALSE)</f>
        <v>#N/A</v>
      </c>
      <c r="H1158">
        <v>837</v>
      </c>
      <c r="I1158">
        <v>1</v>
      </c>
      <c r="J1158" s="35" t="s">
        <v>3716</v>
      </c>
      <c r="K1158" t="str">
        <f t="shared" si="410"/>
        <v>4950</v>
      </c>
      <c r="L1158" s="36" t="s">
        <v>5148</v>
      </c>
      <c r="M1158" s="35">
        <v>7629</v>
      </c>
      <c r="N1158" s="36" t="s">
        <v>5269</v>
      </c>
      <c r="O1158" s="35" t="s">
        <v>5907</v>
      </c>
      <c r="P1158" s="35" t="s">
        <v>5908</v>
      </c>
    </row>
    <row r="1159" spans="1:16" hidden="1">
      <c r="A1159" s="35">
        <v>4951</v>
      </c>
      <c r="B1159" s="36" t="s">
        <v>2335</v>
      </c>
      <c r="C1159" t="e">
        <f>VLOOKUP(A1159,'TABELA SPOLINE'!A:J,10,FALSE)</f>
        <v>#N/A</v>
      </c>
      <c r="H1159">
        <v>837</v>
      </c>
      <c r="I1159">
        <v>1</v>
      </c>
      <c r="J1159" s="35" t="s">
        <v>3720</v>
      </c>
      <c r="K1159" t="str">
        <f t="shared" si="410"/>
        <v>4951</v>
      </c>
      <c r="L1159" s="36" t="s">
        <v>5149</v>
      </c>
      <c r="M1159" s="35">
        <v>7629</v>
      </c>
      <c r="N1159" s="36" t="s">
        <v>5269</v>
      </c>
      <c r="O1159" s="35" t="s">
        <v>5909</v>
      </c>
      <c r="P1159" s="35" t="s">
        <v>5910</v>
      </c>
    </row>
    <row r="1160" spans="1:16" hidden="1">
      <c r="A1160" s="35">
        <v>4952</v>
      </c>
      <c r="B1160" s="36" t="s">
        <v>2336</v>
      </c>
      <c r="C1160" t="e">
        <f>VLOOKUP(A1160,'TABELA SPOLINE'!A:J,10,FALSE)</f>
        <v>#N/A</v>
      </c>
      <c r="H1160">
        <v>837</v>
      </c>
      <c r="I1160">
        <v>1</v>
      </c>
      <c r="J1160" s="35" t="s">
        <v>3721</v>
      </c>
      <c r="K1160" t="str">
        <f t="shared" si="410"/>
        <v>4952</v>
      </c>
      <c r="L1160" s="36" t="s">
        <v>5150</v>
      </c>
      <c r="M1160" s="35">
        <v>7629</v>
      </c>
      <c r="N1160" s="36" t="s">
        <v>5269</v>
      </c>
      <c r="O1160" s="35" t="s">
        <v>5911</v>
      </c>
      <c r="P1160" s="35" t="s">
        <v>5912</v>
      </c>
    </row>
    <row r="1161" spans="1:16" hidden="1">
      <c r="A1161" s="35">
        <v>4953</v>
      </c>
      <c r="B1161" s="36" t="s">
        <v>2337</v>
      </c>
      <c r="C1161" t="e">
        <f>VLOOKUP(A1161,'TABELA SPOLINE'!A:J,10,FALSE)</f>
        <v>#N/A</v>
      </c>
      <c r="H1161">
        <v>837</v>
      </c>
      <c r="I1161">
        <v>1</v>
      </c>
      <c r="J1161" s="35" t="s">
        <v>3722</v>
      </c>
      <c r="K1161" t="str">
        <f t="shared" si="410"/>
        <v>4953</v>
      </c>
      <c r="L1161" s="36" t="s">
        <v>5151</v>
      </c>
      <c r="M1161" s="35">
        <v>7629</v>
      </c>
      <c r="N1161" s="36" t="s">
        <v>5269</v>
      </c>
      <c r="O1161" s="35" t="s">
        <v>5913</v>
      </c>
      <c r="P1161" s="35" t="s">
        <v>5914</v>
      </c>
    </row>
    <row r="1162" spans="1:16" hidden="1">
      <c r="A1162" s="35">
        <v>4954</v>
      </c>
      <c r="B1162" s="36" t="s">
        <v>1934</v>
      </c>
      <c r="C1162" t="e">
        <f>VLOOKUP(A1162,'TABELA SPOLINE'!A:J,10,FALSE)</f>
        <v>#N/A</v>
      </c>
      <c r="H1162">
        <v>799</v>
      </c>
      <c r="I1162">
        <v>1</v>
      </c>
      <c r="J1162" s="35" t="s">
        <v>3319</v>
      </c>
      <c r="K1162" t="str">
        <f t="shared" si="410"/>
        <v>4954</v>
      </c>
      <c r="L1162" s="36" t="s">
        <v>5152</v>
      </c>
      <c r="M1162" s="35">
        <v>7629</v>
      </c>
      <c r="N1162" s="36" t="s">
        <v>5269</v>
      </c>
      <c r="O1162" s="35" t="s">
        <v>5915</v>
      </c>
      <c r="P1162" s="35" t="s">
        <v>5916</v>
      </c>
    </row>
    <row r="1163" spans="1:16" hidden="1">
      <c r="A1163" s="35">
        <v>4955</v>
      </c>
      <c r="B1163" s="36" t="s">
        <v>2150</v>
      </c>
      <c r="C1163" t="e">
        <f>VLOOKUP(A1163,'TABELA SPOLINE'!A:J,10,FALSE)</f>
        <v>#N/A</v>
      </c>
      <c r="H1163">
        <v>790</v>
      </c>
      <c r="I1163">
        <v>1</v>
      </c>
      <c r="J1163" s="35" t="s">
        <v>3535</v>
      </c>
      <c r="K1163" t="str">
        <f t="shared" si="410"/>
        <v>4955</v>
      </c>
      <c r="L1163" s="36" t="s">
        <v>5153</v>
      </c>
      <c r="M1163" s="35">
        <v>7629</v>
      </c>
      <c r="N1163" s="36" t="s">
        <v>5269</v>
      </c>
      <c r="O1163" s="35" t="s">
        <v>5917</v>
      </c>
      <c r="P1163" s="35" t="s">
        <v>5918</v>
      </c>
    </row>
    <row r="1164" spans="1:16" hidden="1">
      <c r="A1164" s="35">
        <v>4956</v>
      </c>
      <c r="B1164" s="36" t="s">
        <v>2155</v>
      </c>
      <c r="C1164" t="e">
        <f>VLOOKUP(A1164,'TABELA SPOLINE'!A:J,10,FALSE)</f>
        <v>#N/A</v>
      </c>
      <c r="H1164">
        <v>790</v>
      </c>
      <c r="I1164">
        <v>1</v>
      </c>
      <c r="J1164" s="35" t="s">
        <v>3540</v>
      </c>
      <c r="K1164" t="str">
        <f t="shared" si="410"/>
        <v>4956</v>
      </c>
      <c r="L1164" s="36" t="s">
        <v>5154</v>
      </c>
      <c r="M1164" s="35">
        <v>7629</v>
      </c>
      <c r="N1164" s="36" t="s">
        <v>5269</v>
      </c>
      <c r="O1164" s="35" t="s">
        <v>5917</v>
      </c>
      <c r="P1164" s="35" t="s">
        <v>5918</v>
      </c>
    </row>
    <row r="1165" spans="1:16">
      <c r="A1165" s="35">
        <v>4967</v>
      </c>
      <c r="B1165" s="36" t="s">
        <v>1707</v>
      </c>
      <c r="C1165">
        <f>VLOOKUP(A1165,'TABELA SPOLINE'!A:J,10,FALSE)</f>
        <v>271.572</v>
      </c>
      <c r="D1165">
        <f t="shared" ref="D1165:D1166" si="411">C1165*0.1+C1165</f>
        <v>298.72919999999999</v>
      </c>
      <c r="E1165">
        <f t="shared" ref="E1165:E1166" si="412">ROUNDUP(D1165,2)</f>
        <v>298.73</v>
      </c>
      <c r="F1165">
        <f t="shared" ref="F1165:F1166" si="413">E1165*0.0975+E1165</f>
        <v>327.85617500000001</v>
      </c>
      <c r="G1165">
        <f t="shared" ref="G1165:G1166" si="414">ROUNDUP(F1165,2)</f>
        <v>327.86</v>
      </c>
      <c r="H1165">
        <v>825</v>
      </c>
      <c r="I1165">
        <v>30</v>
      </c>
      <c r="J1165" s="35" t="s">
        <v>3095</v>
      </c>
      <c r="K1165" t="str">
        <f t="shared" si="410"/>
        <v>4967</v>
      </c>
      <c r="L1165" s="36" t="s">
        <v>5155</v>
      </c>
      <c r="M1165" s="35">
        <v>7629</v>
      </c>
      <c r="N1165" s="36" t="s">
        <v>5269</v>
      </c>
      <c r="O1165" s="35" t="s">
        <v>5917</v>
      </c>
      <c r="P1165" s="35" t="s">
        <v>5918</v>
      </c>
    </row>
    <row r="1166" spans="1:16">
      <c r="A1166" s="35">
        <v>4968</v>
      </c>
      <c r="B1166" s="36" t="s">
        <v>1676</v>
      </c>
      <c r="C1166">
        <f>VLOOKUP(A1166,'TABELA SPOLINE'!A:J,10,FALSE)</f>
        <v>230.39100000000002</v>
      </c>
      <c r="D1166">
        <f t="shared" si="411"/>
        <v>253.43010000000004</v>
      </c>
      <c r="E1166">
        <f t="shared" si="412"/>
        <v>253.44</v>
      </c>
      <c r="F1166">
        <f t="shared" si="413"/>
        <v>278.15039999999999</v>
      </c>
      <c r="G1166">
        <f t="shared" si="414"/>
        <v>278.15999999999997</v>
      </c>
      <c r="H1166">
        <v>812</v>
      </c>
      <c r="I1166">
        <v>60</v>
      </c>
      <c r="J1166" s="35" t="s">
        <v>3064</v>
      </c>
      <c r="K1166" t="str">
        <f t="shared" si="410"/>
        <v>4968</v>
      </c>
      <c r="L1166" s="36" t="s">
        <v>5156</v>
      </c>
      <c r="M1166" s="35">
        <v>7629</v>
      </c>
      <c r="N1166" s="36" t="s">
        <v>5269</v>
      </c>
      <c r="O1166" s="35" t="s">
        <v>5919</v>
      </c>
      <c r="P1166" s="35" t="s">
        <v>5920</v>
      </c>
    </row>
    <row r="1167" spans="1:16" hidden="1">
      <c r="A1167" s="35">
        <v>4969</v>
      </c>
      <c r="B1167" s="36" t="s">
        <v>1677</v>
      </c>
      <c r="C1167" t="e">
        <f>VLOOKUP(A1167,'TABELA SPOLINE'!A:J,10,FALSE)</f>
        <v>#N/A</v>
      </c>
      <c r="H1167">
        <v>812</v>
      </c>
      <c r="I1167">
        <v>60</v>
      </c>
      <c r="J1167" s="35" t="s">
        <v>3065</v>
      </c>
      <c r="K1167" t="str">
        <f t="shared" si="410"/>
        <v>4969</v>
      </c>
      <c r="L1167" s="36" t="s">
        <v>5157</v>
      </c>
      <c r="M1167" s="35">
        <v>7629</v>
      </c>
      <c r="N1167" s="36" t="s">
        <v>5269</v>
      </c>
      <c r="O1167" s="35" t="s">
        <v>5921</v>
      </c>
      <c r="P1167" s="35" t="s">
        <v>5922</v>
      </c>
    </row>
    <row r="1168" spans="1:16">
      <c r="A1168" s="35">
        <v>4970</v>
      </c>
      <c r="B1168" s="36" t="s">
        <v>1682</v>
      </c>
      <c r="C1168">
        <f>VLOOKUP(A1168,'TABELA SPOLINE'!A:J,10,FALSE)</f>
        <v>363.95100000000002</v>
      </c>
      <c r="D1168">
        <f>C1168*0.1+C1168</f>
        <v>400.34610000000004</v>
      </c>
      <c r="E1168">
        <f>ROUNDUP(D1168,2)</f>
        <v>400.34999999999997</v>
      </c>
      <c r="F1168">
        <f>E1168*0.0975+E1168</f>
        <v>439.38412499999998</v>
      </c>
      <c r="G1168">
        <f>ROUNDUP(F1168,2)</f>
        <v>439.39</v>
      </c>
      <c r="H1168">
        <v>812</v>
      </c>
      <c r="I1168">
        <v>120</v>
      </c>
      <c r="J1168" s="35" t="s">
        <v>3070</v>
      </c>
      <c r="K1168" t="str">
        <f t="shared" si="410"/>
        <v>4970</v>
      </c>
      <c r="L1168" s="36" t="s">
        <v>5158</v>
      </c>
      <c r="M1168" s="35">
        <v>7629</v>
      </c>
      <c r="N1168" s="36" t="s">
        <v>5269</v>
      </c>
      <c r="O1168" s="35" t="s">
        <v>5923</v>
      </c>
      <c r="P1168" s="35" t="s">
        <v>5924</v>
      </c>
    </row>
    <row r="1169" spans="1:16" hidden="1">
      <c r="A1169" s="35">
        <v>4971</v>
      </c>
      <c r="B1169" s="36" t="s">
        <v>1683</v>
      </c>
      <c r="C1169" t="e">
        <f>VLOOKUP(A1169,'TABELA SPOLINE'!A:J,10,FALSE)</f>
        <v>#N/A</v>
      </c>
      <c r="H1169">
        <v>812</v>
      </c>
      <c r="I1169">
        <v>120</v>
      </c>
      <c r="J1169" s="35" t="s">
        <v>3071</v>
      </c>
      <c r="K1169" t="str">
        <f t="shared" si="410"/>
        <v>4971</v>
      </c>
      <c r="L1169" s="36" t="s">
        <v>5159</v>
      </c>
      <c r="M1169" s="35">
        <v>7629</v>
      </c>
      <c r="N1169" s="36" t="s">
        <v>5269</v>
      </c>
      <c r="O1169" s="35" t="s">
        <v>5925</v>
      </c>
      <c r="P1169" s="35" t="s">
        <v>5926</v>
      </c>
    </row>
    <row r="1170" spans="1:16">
      <c r="A1170" s="35">
        <v>4972</v>
      </c>
      <c r="B1170" s="36" t="s">
        <v>2039</v>
      </c>
      <c r="C1170">
        <f>VLOOKUP(A1170,'TABELA SPOLINE'!A:J,10,FALSE)</f>
        <v>608.81100000000004</v>
      </c>
      <c r="D1170">
        <f>C1170*0.1+C1170</f>
        <v>669.69209999999998</v>
      </c>
      <c r="E1170">
        <f>ROUNDUP(D1170,2)</f>
        <v>669.7</v>
      </c>
      <c r="F1170">
        <f>E1170*0.0975+E1170</f>
        <v>734.99575000000004</v>
      </c>
      <c r="G1170">
        <f>ROUNDUP(F1170,2)</f>
        <v>735</v>
      </c>
      <c r="H1170">
        <v>829</v>
      </c>
      <c r="I1170">
        <v>3</v>
      </c>
      <c r="J1170" s="35" t="s">
        <v>3424</v>
      </c>
      <c r="K1170" t="str">
        <f t="shared" si="410"/>
        <v>4972</v>
      </c>
      <c r="L1170" s="36" t="s">
        <v>5160</v>
      </c>
      <c r="M1170" s="35">
        <v>7629</v>
      </c>
      <c r="N1170" s="36" t="s">
        <v>5269</v>
      </c>
      <c r="O1170" s="35" t="s">
        <v>5748</v>
      </c>
      <c r="P1170" s="35" t="s">
        <v>5749</v>
      </c>
    </row>
    <row r="1171" spans="1:16" hidden="1">
      <c r="A1171" s="35">
        <v>4973</v>
      </c>
      <c r="B1171" s="36" t="s">
        <v>2056</v>
      </c>
      <c r="C1171" t="e">
        <f>VLOOKUP(A1171,'TABELA SPOLINE'!A:J,10,FALSE)</f>
        <v>#N/A</v>
      </c>
      <c r="H1171">
        <v>830</v>
      </c>
      <c r="I1171">
        <v>1</v>
      </c>
      <c r="J1171" s="35" t="s">
        <v>3441</v>
      </c>
      <c r="K1171" t="str">
        <f t="shared" si="410"/>
        <v>4973</v>
      </c>
      <c r="L1171" s="36" t="s">
        <v>5161</v>
      </c>
      <c r="M1171" s="35">
        <v>7629</v>
      </c>
      <c r="N1171" s="36" t="s">
        <v>5269</v>
      </c>
      <c r="O1171" s="35" t="s">
        <v>5630</v>
      </c>
      <c r="P1171" s="35" t="s">
        <v>5631</v>
      </c>
    </row>
    <row r="1172" spans="1:16" hidden="1">
      <c r="A1172" s="35">
        <v>4974</v>
      </c>
      <c r="B1172" s="36" t="s">
        <v>2057</v>
      </c>
      <c r="C1172" t="e">
        <f>VLOOKUP(A1172,'TABELA SPOLINE'!A:J,10,FALSE)</f>
        <v>#N/A</v>
      </c>
      <c r="H1172">
        <v>830</v>
      </c>
      <c r="I1172">
        <v>1</v>
      </c>
      <c r="J1172" s="35" t="s">
        <v>3442</v>
      </c>
      <c r="K1172" t="str">
        <f t="shared" si="410"/>
        <v>4974</v>
      </c>
      <c r="L1172" s="36" t="s">
        <v>881</v>
      </c>
      <c r="M1172" s="35">
        <v>7629</v>
      </c>
      <c r="N1172" s="36" t="s">
        <v>5269</v>
      </c>
      <c r="O1172" s="35" t="s">
        <v>5320</v>
      </c>
      <c r="P1172" s="35" t="s">
        <v>5321</v>
      </c>
    </row>
    <row r="1173" spans="1:16" hidden="1">
      <c r="A1173" s="35">
        <v>4975</v>
      </c>
      <c r="B1173" s="36" t="s">
        <v>2058</v>
      </c>
      <c r="C1173" t="e">
        <f>VLOOKUP(A1173,'TABELA SPOLINE'!A:J,10,FALSE)</f>
        <v>#N/A</v>
      </c>
      <c r="H1173">
        <v>830</v>
      </c>
      <c r="I1173">
        <v>1</v>
      </c>
      <c r="J1173" s="35" t="s">
        <v>3443</v>
      </c>
      <c r="K1173" t="str">
        <f t="shared" si="410"/>
        <v>4975</v>
      </c>
      <c r="L1173" s="36" t="s">
        <v>5162</v>
      </c>
      <c r="M1173" s="35">
        <v>7629</v>
      </c>
      <c r="N1173" s="36" t="s">
        <v>5269</v>
      </c>
      <c r="O1173" s="35" t="s">
        <v>5927</v>
      </c>
      <c r="P1173" s="35" t="s">
        <v>5928</v>
      </c>
    </row>
    <row r="1174" spans="1:16" hidden="1">
      <c r="A1174" s="35">
        <v>4976</v>
      </c>
      <c r="B1174" s="36" t="s">
        <v>2059</v>
      </c>
      <c r="C1174" t="e">
        <f>VLOOKUP(A1174,'TABELA SPOLINE'!A:J,10,FALSE)</f>
        <v>#N/A</v>
      </c>
      <c r="H1174">
        <v>830</v>
      </c>
      <c r="I1174">
        <v>1</v>
      </c>
      <c r="J1174" s="35" t="s">
        <v>3444</v>
      </c>
      <c r="K1174" t="str">
        <f t="shared" si="410"/>
        <v>4976</v>
      </c>
      <c r="L1174" s="36" t="s">
        <v>5163</v>
      </c>
      <c r="M1174" s="35">
        <v>7629</v>
      </c>
      <c r="N1174" s="36" t="s">
        <v>5269</v>
      </c>
      <c r="O1174" s="35" t="s">
        <v>5929</v>
      </c>
      <c r="P1174" s="35" t="s">
        <v>5930</v>
      </c>
    </row>
    <row r="1175" spans="1:16" hidden="1">
      <c r="A1175" s="35">
        <v>4977</v>
      </c>
      <c r="B1175" s="36" t="s">
        <v>2060</v>
      </c>
      <c r="C1175" t="e">
        <f>VLOOKUP(A1175,'TABELA SPOLINE'!A:J,10,FALSE)</f>
        <v>#N/A</v>
      </c>
      <c r="H1175">
        <v>830</v>
      </c>
      <c r="I1175">
        <v>1</v>
      </c>
      <c r="J1175" s="35" t="s">
        <v>3445</v>
      </c>
      <c r="K1175" t="str">
        <f t="shared" si="410"/>
        <v>4977</v>
      </c>
      <c r="L1175" s="36" t="s">
        <v>5164</v>
      </c>
      <c r="M1175" s="35">
        <v>7629</v>
      </c>
      <c r="N1175" s="36" t="s">
        <v>5269</v>
      </c>
      <c r="O1175" s="35" t="s">
        <v>5931</v>
      </c>
      <c r="P1175" s="35" t="s">
        <v>5932</v>
      </c>
    </row>
    <row r="1176" spans="1:16" hidden="1">
      <c r="A1176" s="35">
        <v>4978</v>
      </c>
      <c r="B1176" s="36" t="s">
        <v>1991</v>
      </c>
      <c r="C1176" t="e">
        <f>VLOOKUP(A1176,'TABELA SPOLINE'!A:J,10,FALSE)</f>
        <v>#N/A</v>
      </c>
      <c r="H1176">
        <v>810</v>
      </c>
      <c r="I1176">
        <v>120</v>
      </c>
      <c r="J1176" s="35" t="s">
        <v>3376</v>
      </c>
      <c r="K1176" t="str">
        <f t="shared" si="410"/>
        <v>4978</v>
      </c>
      <c r="L1176" s="36" t="s">
        <v>5165</v>
      </c>
      <c r="M1176" s="35">
        <v>7629</v>
      </c>
      <c r="N1176" s="36" t="s">
        <v>5269</v>
      </c>
      <c r="O1176" s="35" t="s">
        <v>5931</v>
      </c>
      <c r="P1176" s="35" t="s">
        <v>5932</v>
      </c>
    </row>
    <row r="1177" spans="1:16" hidden="1">
      <c r="A1177" s="35">
        <v>4979</v>
      </c>
      <c r="B1177" s="36" t="s">
        <v>2237</v>
      </c>
      <c r="C1177" t="e">
        <f>VLOOKUP(A1177,'TABELA SPOLINE'!A:J,10,FALSE)</f>
        <v>#N/A</v>
      </c>
      <c r="H1177">
        <v>822</v>
      </c>
      <c r="I1177">
        <v>2</v>
      </c>
      <c r="J1177" s="35" t="s">
        <v>3622</v>
      </c>
      <c r="K1177" t="str">
        <f t="shared" si="410"/>
        <v>4979</v>
      </c>
      <c r="L1177" s="36" t="s">
        <v>5166</v>
      </c>
      <c r="M1177" s="35">
        <v>7629</v>
      </c>
      <c r="N1177" s="36" t="s">
        <v>5269</v>
      </c>
      <c r="O1177" s="35" t="s">
        <v>5933</v>
      </c>
      <c r="P1177" s="35" t="s">
        <v>5934</v>
      </c>
    </row>
    <row r="1178" spans="1:16" hidden="1">
      <c r="A1178" s="35">
        <v>4984</v>
      </c>
      <c r="B1178" s="36" t="s">
        <v>2244</v>
      </c>
      <c r="C1178" t="e">
        <f>VLOOKUP(A1178,'TABELA SPOLINE'!A:J,10,FALSE)</f>
        <v>#N/A</v>
      </c>
      <c r="H1178">
        <v>823</v>
      </c>
      <c r="I1178">
        <v>60</v>
      </c>
      <c r="J1178" s="35" t="s">
        <v>3629</v>
      </c>
      <c r="K1178" t="str">
        <f t="shared" si="410"/>
        <v>4984</v>
      </c>
      <c r="L1178" s="36" t="s">
        <v>5167</v>
      </c>
      <c r="M1178" s="35">
        <v>7629</v>
      </c>
      <c r="N1178" s="36" t="s">
        <v>5269</v>
      </c>
      <c r="O1178" s="35" t="s">
        <v>5933</v>
      </c>
      <c r="P1178" s="35" t="s">
        <v>5934</v>
      </c>
    </row>
    <row r="1179" spans="1:16" hidden="1">
      <c r="A1179" s="35">
        <v>4985</v>
      </c>
      <c r="B1179" s="36" t="s">
        <v>1768</v>
      </c>
      <c r="C1179" t="e">
        <f>VLOOKUP(A1179,'TABELA SPOLINE'!A:J,10,FALSE)</f>
        <v>#N/A</v>
      </c>
      <c r="H1179">
        <v>634</v>
      </c>
      <c r="I1179">
        <v>1</v>
      </c>
      <c r="J1179" s="35" t="s">
        <v>3155</v>
      </c>
      <c r="K1179" t="str">
        <f t="shared" si="410"/>
        <v>4985</v>
      </c>
      <c r="L1179" s="36" t="s">
        <v>5168</v>
      </c>
      <c r="M1179" s="35">
        <v>7629</v>
      </c>
      <c r="N1179" s="36" t="s">
        <v>5269</v>
      </c>
      <c r="O1179" s="35" t="s">
        <v>5935</v>
      </c>
      <c r="P1179" s="35" t="s">
        <v>5936</v>
      </c>
    </row>
    <row r="1180" spans="1:16" hidden="1">
      <c r="A1180" s="35">
        <v>4988</v>
      </c>
      <c r="B1180" s="36" t="s">
        <v>1793</v>
      </c>
      <c r="C1180" t="e">
        <f>VLOOKUP(A1180,'TABELA SPOLINE'!A:J,10,FALSE)</f>
        <v>#N/A</v>
      </c>
      <c r="H1180">
        <v>723</v>
      </c>
      <c r="I1180">
        <v>8</v>
      </c>
      <c r="J1180" s="35" t="s">
        <v>3178</v>
      </c>
      <c r="K1180" t="str">
        <f t="shared" si="410"/>
        <v>4988</v>
      </c>
      <c r="L1180" s="36" t="s">
        <v>5169</v>
      </c>
      <c r="M1180" s="35">
        <v>7629</v>
      </c>
      <c r="N1180" s="36" t="s">
        <v>5269</v>
      </c>
      <c r="O1180" s="35" t="s">
        <v>5935</v>
      </c>
      <c r="P1180" s="35" t="s">
        <v>5936</v>
      </c>
    </row>
    <row r="1181" spans="1:16" hidden="1">
      <c r="A1181" s="35">
        <v>4989</v>
      </c>
      <c r="B1181" s="36" t="s">
        <v>1650</v>
      </c>
      <c r="C1181" t="e">
        <f>VLOOKUP(A1181,'TABELA SPOLINE'!A:J,10,FALSE)</f>
        <v>#N/A</v>
      </c>
      <c r="H1181">
        <v>735</v>
      </c>
      <c r="I1181">
        <v>25</v>
      </c>
      <c r="J1181" s="35" t="s">
        <v>3038</v>
      </c>
      <c r="K1181" t="str">
        <f t="shared" si="410"/>
        <v>4989</v>
      </c>
      <c r="L1181" s="36" t="s">
        <v>5170</v>
      </c>
      <c r="M1181" s="35">
        <v>7629</v>
      </c>
      <c r="N1181" s="36" t="s">
        <v>5269</v>
      </c>
      <c r="O1181" s="35" t="s">
        <v>5937</v>
      </c>
      <c r="P1181" s="35" t="s">
        <v>5938</v>
      </c>
    </row>
    <row r="1182" spans="1:16" hidden="1">
      <c r="A1182" s="35">
        <v>4990</v>
      </c>
      <c r="B1182" s="36" t="s">
        <v>1651</v>
      </c>
      <c r="C1182" t="e">
        <f>VLOOKUP(A1182,'TABELA SPOLINE'!A:J,10,FALSE)</f>
        <v>#N/A</v>
      </c>
      <c r="H1182">
        <v>735</v>
      </c>
      <c r="I1182">
        <v>25</v>
      </c>
      <c r="J1182" s="35" t="s">
        <v>3039</v>
      </c>
      <c r="K1182" t="str">
        <f t="shared" si="410"/>
        <v>4990</v>
      </c>
      <c r="L1182" s="36" t="s">
        <v>5171</v>
      </c>
      <c r="M1182" s="35">
        <v>7629</v>
      </c>
      <c r="N1182" s="36" t="s">
        <v>5269</v>
      </c>
      <c r="O1182" s="35" t="s">
        <v>5939</v>
      </c>
      <c r="P1182" s="35" t="s">
        <v>5940</v>
      </c>
    </row>
    <row r="1183" spans="1:16" hidden="1">
      <c r="A1183" s="35">
        <v>4991</v>
      </c>
      <c r="B1183" s="36" t="s">
        <v>1659</v>
      </c>
      <c r="C1183" t="e">
        <f>VLOOKUP(A1183,'TABELA SPOLINE'!A:J,10,FALSE)</f>
        <v>#N/A</v>
      </c>
      <c r="H1183">
        <v>735</v>
      </c>
      <c r="I1183">
        <v>35</v>
      </c>
      <c r="J1183" s="35" t="s">
        <v>3047</v>
      </c>
      <c r="K1183" t="str">
        <f t="shared" si="410"/>
        <v>4991</v>
      </c>
      <c r="L1183" s="36" t="s">
        <v>5172</v>
      </c>
      <c r="M1183" s="35">
        <v>7629</v>
      </c>
      <c r="N1183" s="36" t="s">
        <v>5269</v>
      </c>
      <c r="O1183" s="35" t="s">
        <v>5941</v>
      </c>
      <c r="P1183" s="35" t="s">
        <v>5942</v>
      </c>
    </row>
    <row r="1184" spans="1:16" hidden="1">
      <c r="A1184" s="35">
        <v>4992</v>
      </c>
      <c r="B1184" s="36" t="s">
        <v>1664</v>
      </c>
      <c r="C1184" t="e">
        <f>VLOOKUP(A1184,'TABELA SPOLINE'!A:J,10,FALSE)</f>
        <v>#N/A</v>
      </c>
      <c r="H1184">
        <v>735</v>
      </c>
      <c r="I1184">
        <v>50</v>
      </c>
      <c r="J1184" s="35" t="s">
        <v>3052</v>
      </c>
      <c r="K1184" t="str">
        <f t="shared" si="410"/>
        <v>4992</v>
      </c>
      <c r="L1184" s="36" t="s">
        <v>5173</v>
      </c>
      <c r="M1184" s="35">
        <v>7629</v>
      </c>
      <c r="N1184" s="36" t="s">
        <v>5269</v>
      </c>
      <c r="O1184" s="35" t="s">
        <v>5943</v>
      </c>
      <c r="P1184" s="35" t="s">
        <v>5944</v>
      </c>
    </row>
    <row r="1185" spans="1:16" hidden="1">
      <c r="A1185" s="35">
        <v>4993</v>
      </c>
      <c r="B1185" s="36" t="s">
        <v>1665</v>
      </c>
      <c r="C1185" t="e">
        <f>VLOOKUP(A1185,'TABELA SPOLINE'!A:J,10,FALSE)</f>
        <v>#N/A</v>
      </c>
      <c r="H1185">
        <v>735</v>
      </c>
      <c r="I1185">
        <v>50</v>
      </c>
      <c r="J1185" s="35" t="s">
        <v>3053</v>
      </c>
      <c r="K1185" t="str">
        <f t="shared" si="410"/>
        <v>4993</v>
      </c>
      <c r="L1185" s="36" t="s">
        <v>5174</v>
      </c>
      <c r="M1185" s="35">
        <v>7629</v>
      </c>
      <c r="N1185" s="36" t="s">
        <v>5269</v>
      </c>
      <c r="O1185" s="35" t="s">
        <v>5945</v>
      </c>
      <c r="P1185" s="35" t="s">
        <v>5946</v>
      </c>
    </row>
    <row r="1186" spans="1:16" hidden="1">
      <c r="A1186" s="35">
        <v>4994</v>
      </c>
      <c r="B1186" s="36" t="s">
        <v>1835</v>
      </c>
      <c r="C1186" t="e">
        <f>VLOOKUP(A1186,'TABELA SPOLINE'!A:J,10,FALSE)</f>
        <v>#N/A</v>
      </c>
      <c r="H1186">
        <v>736</v>
      </c>
      <c r="I1186">
        <v>35</v>
      </c>
      <c r="J1186" s="35" t="s">
        <v>3220</v>
      </c>
      <c r="K1186" t="str">
        <f t="shared" si="410"/>
        <v>4994</v>
      </c>
      <c r="L1186" s="36" t="s">
        <v>5175</v>
      </c>
      <c r="M1186" s="35">
        <v>7629</v>
      </c>
      <c r="N1186" s="36" t="s">
        <v>5269</v>
      </c>
      <c r="O1186" s="35" t="s">
        <v>5947</v>
      </c>
      <c r="P1186" s="35" t="s">
        <v>5948</v>
      </c>
    </row>
    <row r="1187" spans="1:16" hidden="1">
      <c r="A1187" s="35">
        <v>4997</v>
      </c>
      <c r="B1187" s="36" t="s">
        <v>1843</v>
      </c>
      <c r="C1187" t="e">
        <f>VLOOKUP(A1187,'TABELA SPOLINE'!A:J,10,FALSE)</f>
        <v>#N/A</v>
      </c>
      <c r="H1187">
        <v>736</v>
      </c>
      <c r="I1187">
        <v>50</v>
      </c>
      <c r="J1187" s="35" t="s">
        <v>3228</v>
      </c>
      <c r="K1187" t="str">
        <f t="shared" si="410"/>
        <v>4997</v>
      </c>
      <c r="L1187" s="36" t="s">
        <v>5176</v>
      </c>
      <c r="M1187" s="35">
        <v>7629</v>
      </c>
      <c r="N1187" s="36" t="s">
        <v>5269</v>
      </c>
      <c r="O1187" s="35" t="s">
        <v>5949</v>
      </c>
      <c r="P1187" s="35" t="s">
        <v>5764</v>
      </c>
    </row>
    <row r="1188" spans="1:16" hidden="1">
      <c r="A1188" s="35">
        <v>5000</v>
      </c>
      <c r="B1188" s="36" t="s">
        <v>1635</v>
      </c>
      <c r="C1188" t="e">
        <f>VLOOKUP(A1188,'TABELA SPOLINE'!A:J,10,FALSE)</f>
        <v>#N/A</v>
      </c>
      <c r="H1188">
        <v>385</v>
      </c>
      <c r="I1188">
        <v>3</v>
      </c>
      <c r="J1188" s="35" t="s">
        <v>3023</v>
      </c>
      <c r="K1188" t="str">
        <f t="shared" si="410"/>
        <v>5000</v>
      </c>
      <c r="L1188" s="36" t="s">
        <v>5177</v>
      </c>
      <c r="M1188" s="35">
        <v>7629</v>
      </c>
      <c r="N1188" s="36" t="s">
        <v>5269</v>
      </c>
      <c r="O1188" s="35" t="s">
        <v>5935</v>
      </c>
      <c r="P1188" s="35" t="s">
        <v>5936</v>
      </c>
    </row>
    <row r="1189" spans="1:16">
      <c r="A1189" s="35">
        <v>5002</v>
      </c>
      <c r="B1189" s="36" t="s">
        <v>1722</v>
      </c>
      <c r="C1189">
        <f>VLOOKUP(A1189,'TABELA SPOLINE'!A:J,10,FALSE)</f>
        <v>311.64000000000004</v>
      </c>
      <c r="D1189">
        <f>C1189*0.1+C1189</f>
        <v>342.80400000000003</v>
      </c>
      <c r="E1189">
        <f>ROUNDUP(D1189,2)</f>
        <v>342.81</v>
      </c>
      <c r="F1189">
        <f>E1189*0.0975+E1189</f>
        <v>376.23397499999999</v>
      </c>
      <c r="G1189">
        <f>ROUNDUP(F1189,2)</f>
        <v>376.24</v>
      </c>
      <c r="H1189">
        <v>386</v>
      </c>
      <c r="I1189">
        <v>5</v>
      </c>
      <c r="J1189" s="35" t="s">
        <v>3109</v>
      </c>
      <c r="K1189" t="str">
        <f t="shared" si="410"/>
        <v>5002</v>
      </c>
      <c r="L1189" s="36" t="s">
        <v>68</v>
      </c>
      <c r="M1189" s="35">
        <v>7629</v>
      </c>
      <c r="N1189" s="36" t="s">
        <v>5269</v>
      </c>
      <c r="O1189" s="35" t="s">
        <v>5950</v>
      </c>
      <c r="P1189" s="35" t="s">
        <v>5951</v>
      </c>
    </row>
    <row r="1190" spans="1:16" hidden="1">
      <c r="A1190" s="35">
        <v>5003</v>
      </c>
      <c r="B1190" s="36" t="s">
        <v>1723</v>
      </c>
      <c r="C1190" t="e">
        <f>VLOOKUP(A1190,'TABELA SPOLINE'!A:J,10,FALSE)</f>
        <v>#N/A</v>
      </c>
      <c r="H1190">
        <v>386</v>
      </c>
      <c r="I1190">
        <v>5</v>
      </c>
      <c r="J1190" s="35" t="s">
        <v>3110</v>
      </c>
      <c r="K1190" t="str">
        <f t="shared" si="410"/>
        <v>5003</v>
      </c>
      <c r="L1190" s="36" t="s">
        <v>5178</v>
      </c>
      <c r="M1190" s="35">
        <v>7629</v>
      </c>
      <c r="N1190" s="36" t="s">
        <v>5269</v>
      </c>
      <c r="O1190" s="35" t="s">
        <v>5586</v>
      </c>
      <c r="P1190" s="35" t="s">
        <v>5587</v>
      </c>
    </row>
    <row r="1191" spans="1:16" hidden="1">
      <c r="A1191" s="35">
        <v>5005</v>
      </c>
      <c r="B1191" s="36" t="s">
        <v>1716</v>
      </c>
      <c r="C1191" t="e">
        <f>VLOOKUP(A1191,'TABELA SPOLINE'!A:J,10,FALSE)</f>
        <v>#N/A</v>
      </c>
      <c r="H1191">
        <v>386</v>
      </c>
      <c r="I1191">
        <v>3</v>
      </c>
      <c r="J1191" s="35" t="s">
        <v>3103</v>
      </c>
      <c r="K1191" t="str">
        <f t="shared" si="410"/>
        <v>5005</v>
      </c>
      <c r="L1191" s="36" t="s">
        <v>5179</v>
      </c>
      <c r="M1191" s="35">
        <v>7629</v>
      </c>
      <c r="N1191" s="36" t="s">
        <v>5269</v>
      </c>
      <c r="O1191" s="35" t="s">
        <v>5584</v>
      </c>
      <c r="P1191" s="35" t="s">
        <v>5585</v>
      </c>
    </row>
    <row r="1192" spans="1:16" hidden="1">
      <c r="A1192" s="35">
        <v>5013</v>
      </c>
      <c r="B1192" s="36" t="s">
        <v>1736</v>
      </c>
      <c r="C1192" t="e">
        <f>VLOOKUP(A1192,'TABELA SPOLINE'!A:J,10,FALSE)</f>
        <v>#N/A</v>
      </c>
      <c r="H1192">
        <v>432</v>
      </c>
      <c r="I1192">
        <v>1</v>
      </c>
      <c r="J1192" s="35" t="s">
        <v>3123</v>
      </c>
      <c r="K1192" t="str">
        <f t="shared" si="410"/>
        <v>5013</v>
      </c>
      <c r="L1192" s="36" t="s">
        <v>5180</v>
      </c>
      <c r="M1192" s="35">
        <v>7629</v>
      </c>
      <c r="N1192" s="36" t="s">
        <v>5269</v>
      </c>
      <c r="O1192" s="35" t="s">
        <v>5952</v>
      </c>
      <c r="P1192" s="35" t="s">
        <v>5953</v>
      </c>
    </row>
    <row r="1193" spans="1:16">
      <c r="A1193" s="35">
        <v>5015</v>
      </c>
      <c r="B1193" s="36" t="s">
        <v>2298</v>
      </c>
      <c r="C1193">
        <f>VLOOKUP(A1193,'TABELA SPOLINE'!A:J,10,FALSE)</f>
        <v>244.86</v>
      </c>
      <c r="D1193">
        <f t="shared" ref="D1193:D1200" si="415">C1193*0.1+C1193</f>
        <v>269.346</v>
      </c>
      <c r="E1193">
        <f t="shared" ref="E1193:E1200" si="416">ROUNDUP(D1193,2)</f>
        <v>269.34999999999997</v>
      </c>
      <c r="F1193">
        <f t="shared" ref="F1193:F1200" si="417">E1193*0.0975+E1193</f>
        <v>295.61162499999995</v>
      </c>
      <c r="G1193">
        <f t="shared" ref="G1193:G1200" si="418">ROUNDUP(F1193,2)</f>
        <v>295.62</v>
      </c>
      <c r="H1193">
        <v>449</v>
      </c>
      <c r="I1193">
        <v>1</v>
      </c>
      <c r="J1193" s="35" t="s">
        <v>3683</v>
      </c>
      <c r="K1193" t="str">
        <f t="shared" si="410"/>
        <v>5015</v>
      </c>
      <c r="L1193" s="36" t="s">
        <v>5181</v>
      </c>
      <c r="M1193" s="35">
        <v>7629</v>
      </c>
      <c r="N1193" s="36" t="s">
        <v>5269</v>
      </c>
      <c r="O1193" s="35" t="s">
        <v>5954</v>
      </c>
      <c r="P1193" s="35" t="s">
        <v>5955</v>
      </c>
    </row>
    <row r="1194" spans="1:16">
      <c r="A1194" s="35">
        <v>5030</v>
      </c>
      <c r="B1194" s="36" t="s">
        <v>2569</v>
      </c>
      <c r="C1194">
        <f>VLOOKUP(A1194,'TABELA SPOLINE'!A:J,10,FALSE)</f>
        <v>84.588000000000008</v>
      </c>
      <c r="D1194">
        <f t="shared" si="415"/>
        <v>93.046800000000005</v>
      </c>
      <c r="E1194">
        <f t="shared" si="416"/>
        <v>93.050000000000011</v>
      </c>
      <c r="F1194">
        <f t="shared" si="417"/>
        <v>102.12237500000001</v>
      </c>
      <c r="G1194">
        <f t="shared" si="418"/>
        <v>102.13000000000001</v>
      </c>
      <c r="H1194">
        <v>1048</v>
      </c>
      <c r="I1194">
        <v>1</v>
      </c>
      <c r="J1194" s="35" t="s">
        <v>3952</v>
      </c>
      <c r="K1194" t="str">
        <f t="shared" si="410"/>
        <v>5030</v>
      </c>
      <c r="L1194" s="36" t="s">
        <v>5182</v>
      </c>
      <c r="M1194" s="35">
        <v>7629</v>
      </c>
      <c r="N1194" s="36" t="s">
        <v>5269</v>
      </c>
      <c r="O1194" s="35" t="s">
        <v>5956</v>
      </c>
      <c r="P1194" s="35" t="s">
        <v>5957</v>
      </c>
    </row>
    <row r="1195" spans="1:16">
      <c r="A1195" s="35">
        <v>5031</v>
      </c>
      <c r="B1195" s="36" t="s">
        <v>2570</v>
      </c>
      <c r="C1195">
        <f>VLOOKUP(A1195,'TABELA SPOLINE'!A:J,10,FALSE)</f>
        <v>100.86006000000002</v>
      </c>
      <c r="D1195">
        <f t="shared" si="415"/>
        <v>110.94606600000002</v>
      </c>
      <c r="E1195">
        <f t="shared" si="416"/>
        <v>110.95</v>
      </c>
      <c r="F1195">
        <f t="shared" si="417"/>
        <v>121.76762500000001</v>
      </c>
      <c r="G1195">
        <f t="shared" si="418"/>
        <v>121.77000000000001</v>
      </c>
      <c r="H1195">
        <v>1048</v>
      </c>
      <c r="I1195">
        <v>1</v>
      </c>
      <c r="J1195" s="35" t="s">
        <v>3953</v>
      </c>
      <c r="K1195" t="str">
        <f t="shared" si="410"/>
        <v>5031</v>
      </c>
      <c r="L1195" s="36" t="s">
        <v>5183</v>
      </c>
      <c r="M1195" s="35">
        <v>7629</v>
      </c>
      <c r="N1195" s="36" t="s">
        <v>5269</v>
      </c>
      <c r="O1195" s="35" t="s">
        <v>5956</v>
      </c>
      <c r="P1195" s="35" t="s">
        <v>5957</v>
      </c>
    </row>
    <row r="1196" spans="1:16">
      <c r="A1196" s="35">
        <v>5032</v>
      </c>
      <c r="B1196" s="36" t="s">
        <v>2571</v>
      </c>
      <c r="C1196">
        <f>VLOOKUP(A1196,'TABELA SPOLINE'!A:J,10,FALSE)</f>
        <v>84.588000000000008</v>
      </c>
      <c r="D1196">
        <f t="shared" si="415"/>
        <v>93.046800000000005</v>
      </c>
      <c r="E1196">
        <f t="shared" si="416"/>
        <v>93.050000000000011</v>
      </c>
      <c r="F1196">
        <f t="shared" si="417"/>
        <v>102.12237500000001</v>
      </c>
      <c r="G1196">
        <f t="shared" si="418"/>
        <v>102.13000000000001</v>
      </c>
      <c r="H1196">
        <v>1048</v>
      </c>
      <c r="I1196">
        <v>1</v>
      </c>
      <c r="J1196" s="35" t="s">
        <v>3954</v>
      </c>
      <c r="K1196" t="str">
        <f t="shared" si="410"/>
        <v>5032</v>
      </c>
      <c r="L1196" s="36" t="s">
        <v>5184</v>
      </c>
      <c r="M1196" s="35">
        <v>7629</v>
      </c>
      <c r="N1196" s="36" t="s">
        <v>5269</v>
      </c>
      <c r="O1196" s="35" t="s">
        <v>5956</v>
      </c>
      <c r="P1196" s="35" t="s">
        <v>5957</v>
      </c>
    </row>
    <row r="1197" spans="1:16">
      <c r="A1197" s="35">
        <v>5032</v>
      </c>
      <c r="B1197" s="36" t="s">
        <v>2988</v>
      </c>
      <c r="C1197">
        <f>VLOOKUP(A1197,'TABELA SPOLINE'!A:J,10,FALSE)</f>
        <v>84.588000000000008</v>
      </c>
      <c r="D1197">
        <f t="shared" si="415"/>
        <v>93.046800000000005</v>
      </c>
      <c r="E1197">
        <f t="shared" si="416"/>
        <v>93.050000000000011</v>
      </c>
      <c r="F1197">
        <f t="shared" si="417"/>
        <v>102.12237500000001</v>
      </c>
      <c r="G1197">
        <f t="shared" si="418"/>
        <v>102.13000000000001</v>
      </c>
      <c r="J1197" s="35" t="s">
        <v>2987</v>
      </c>
      <c r="K1197" t="str">
        <f t="shared" si="410"/>
        <v>5032</v>
      </c>
      <c r="L1197" s="36" t="s">
        <v>5185</v>
      </c>
      <c r="M1197" s="35">
        <v>7629</v>
      </c>
      <c r="N1197" s="36" t="s">
        <v>5269</v>
      </c>
      <c r="O1197" s="35" t="s">
        <v>5956</v>
      </c>
      <c r="P1197" s="35" t="s">
        <v>5957</v>
      </c>
    </row>
    <row r="1198" spans="1:16">
      <c r="A1198" s="35">
        <v>5033</v>
      </c>
      <c r="B1198" s="36" t="s">
        <v>2572</v>
      </c>
      <c r="C1198">
        <f>VLOOKUP(A1198,'TABELA SPOLINE'!A:J,10,FALSE)</f>
        <v>84.588000000000008</v>
      </c>
      <c r="D1198">
        <f t="shared" si="415"/>
        <v>93.046800000000005</v>
      </c>
      <c r="E1198">
        <f t="shared" si="416"/>
        <v>93.050000000000011</v>
      </c>
      <c r="F1198">
        <f t="shared" si="417"/>
        <v>102.12237500000001</v>
      </c>
      <c r="G1198">
        <f t="shared" si="418"/>
        <v>102.13000000000001</v>
      </c>
      <c r="H1198">
        <v>1048</v>
      </c>
      <c r="I1198">
        <v>1</v>
      </c>
      <c r="J1198" s="35" t="s">
        <v>3955</v>
      </c>
      <c r="K1198" t="str">
        <f t="shared" si="410"/>
        <v>5033</v>
      </c>
      <c r="L1198" s="36" t="s">
        <v>5186</v>
      </c>
      <c r="M1198" s="35">
        <v>7629</v>
      </c>
      <c r="N1198" s="36" t="s">
        <v>5269</v>
      </c>
      <c r="O1198" s="35" t="s">
        <v>5958</v>
      </c>
      <c r="P1198" s="35" t="s">
        <v>5959</v>
      </c>
    </row>
    <row r="1199" spans="1:16">
      <c r="A1199" s="35">
        <v>5034</v>
      </c>
      <c r="B1199" s="36" t="s">
        <v>2573</v>
      </c>
      <c r="C1199">
        <f>VLOOKUP(A1199,'TABELA SPOLINE'!A:J,10,FALSE)</f>
        <v>84.588000000000008</v>
      </c>
      <c r="D1199">
        <f t="shared" si="415"/>
        <v>93.046800000000005</v>
      </c>
      <c r="E1199">
        <f t="shared" si="416"/>
        <v>93.050000000000011</v>
      </c>
      <c r="F1199">
        <f t="shared" si="417"/>
        <v>102.12237500000001</v>
      </c>
      <c r="G1199">
        <f t="shared" si="418"/>
        <v>102.13000000000001</v>
      </c>
      <c r="H1199">
        <v>1048</v>
      </c>
      <c r="I1199">
        <v>1</v>
      </c>
      <c r="J1199" s="35" t="s">
        <v>3956</v>
      </c>
      <c r="K1199" t="str">
        <f t="shared" si="410"/>
        <v>5034</v>
      </c>
      <c r="L1199" s="36" t="s">
        <v>5187</v>
      </c>
      <c r="M1199" s="35">
        <v>7629</v>
      </c>
      <c r="N1199" s="36" t="s">
        <v>5269</v>
      </c>
      <c r="O1199" s="35" t="s">
        <v>5960</v>
      </c>
      <c r="P1199" s="35" t="s">
        <v>5961</v>
      </c>
    </row>
    <row r="1200" spans="1:16">
      <c r="A1200" s="35">
        <v>5035</v>
      </c>
      <c r="B1200" s="36" t="s">
        <v>2574</v>
      </c>
      <c r="C1200">
        <f>VLOOKUP(A1200,'TABELA SPOLINE'!A:J,10,FALSE)</f>
        <v>84.588000000000008</v>
      </c>
      <c r="D1200">
        <f t="shared" si="415"/>
        <v>93.046800000000005</v>
      </c>
      <c r="E1200">
        <f t="shared" si="416"/>
        <v>93.050000000000011</v>
      </c>
      <c r="F1200">
        <f t="shared" si="417"/>
        <v>102.12237500000001</v>
      </c>
      <c r="G1200">
        <f t="shared" si="418"/>
        <v>102.13000000000001</v>
      </c>
      <c r="H1200">
        <v>1048</v>
      </c>
      <c r="I1200">
        <v>1</v>
      </c>
      <c r="J1200" s="35" t="s">
        <v>3957</v>
      </c>
      <c r="K1200" t="str">
        <f t="shared" si="410"/>
        <v>5035</v>
      </c>
      <c r="L1200" s="36" t="s">
        <v>1002</v>
      </c>
      <c r="M1200" s="35">
        <v>7629</v>
      </c>
      <c r="N1200" s="36" t="s">
        <v>5269</v>
      </c>
      <c r="O1200" s="35" t="s">
        <v>5962</v>
      </c>
      <c r="P1200" s="35" t="s">
        <v>5963</v>
      </c>
    </row>
    <row r="1201" spans="1:16" hidden="1">
      <c r="A1201" s="35">
        <v>5045</v>
      </c>
      <c r="B1201" s="36" t="s">
        <v>1994</v>
      </c>
      <c r="C1201" t="e">
        <f>VLOOKUP(A1201,'TABELA SPOLINE'!A:J,10,FALSE)</f>
        <v>#N/A</v>
      </c>
      <c r="H1201">
        <v>810</v>
      </c>
      <c r="I1201">
        <v>60</v>
      </c>
      <c r="J1201" s="35" t="s">
        <v>3379</v>
      </c>
      <c r="K1201" t="str">
        <f t="shared" si="410"/>
        <v>5045</v>
      </c>
      <c r="L1201" s="36" t="s">
        <v>1003</v>
      </c>
      <c r="M1201" s="35">
        <v>7629</v>
      </c>
      <c r="N1201" s="36" t="s">
        <v>5269</v>
      </c>
      <c r="O1201" s="35" t="s">
        <v>5964</v>
      </c>
      <c r="P1201" s="35" t="s">
        <v>5965</v>
      </c>
    </row>
    <row r="1202" spans="1:16" hidden="1">
      <c r="A1202" s="35">
        <v>5046</v>
      </c>
      <c r="B1202" s="36" t="s">
        <v>1995</v>
      </c>
      <c r="C1202" t="e">
        <f>VLOOKUP(A1202,'TABELA SPOLINE'!A:J,10,FALSE)</f>
        <v>#N/A</v>
      </c>
      <c r="H1202">
        <v>810</v>
      </c>
      <c r="I1202">
        <v>60</v>
      </c>
      <c r="J1202" s="35" t="s">
        <v>3380</v>
      </c>
      <c r="K1202" t="str">
        <f t="shared" si="410"/>
        <v>5046</v>
      </c>
      <c r="L1202" s="36" t="s">
        <v>1004</v>
      </c>
      <c r="M1202" s="35">
        <v>7629</v>
      </c>
      <c r="N1202" s="36" t="s">
        <v>5269</v>
      </c>
      <c r="O1202" s="35" t="s">
        <v>5964</v>
      </c>
      <c r="P1202" s="35" t="s">
        <v>5965</v>
      </c>
    </row>
    <row r="1203" spans="1:16" hidden="1">
      <c r="A1203" s="35">
        <v>5047</v>
      </c>
      <c r="B1203" s="36" t="s">
        <v>1998</v>
      </c>
      <c r="C1203" t="e">
        <f>VLOOKUP(A1203,'TABELA SPOLINE'!A:J,10,FALSE)</f>
        <v>#N/A</v>
      </c>
      <c r="H1203">
        <v>810</v>
      </c>
      <c r="I1203">
        <v>60</v>
      </c>
      <c r="J1203" s="35" t="s">
        <v>3383</v>
      </c>
      <c r="K1203" t="str">
        <f t="shared" si="410"/>
        <v>5047</v>
      </c>
      <c r="L1203" s="36" t="s">
        <v>5188</v>
      </c>
      <c r="M1203" s="35">
        <v>7629</v>
      </c>
      <c r="N1203" s="36" t="s">
        <v>5269</v>
      </c>
      <c r="O1203" s="35" t="s">
        <v>5966</v>
      </c>
      <c r="P1203" s="35" t="s">
        <v>5967</v>
      </c>
    </row>
    <row r="1204" spans="1:16" hidden="1">
      <c r="A1204" s="35">
        <v>5048</v>
      </c>
      <c r="B1204" s="36" t="s">
        <v>1999</v>
      </c>
      <c r="C1204" t="e">
        <f>VLOOKUP(A1204,'TABELA SPOLINE'!A:J,10,FALSE)</f>
        <v>#N/A</v>
      </c>
      <c r="H1204">
        <v>810</v>
      </c>
      <c r="I1204">
        <v>60</v>
      </c>
      <c r="J1204" s="35" t="s">
        <v>3384</v>
      </c>
      <c r="K1204" t="str">
        <f t="shared" si="410"/>
        <v>5048</v>
      </c>
      <c r="L1204" s="36" t="s">
        <v>5189</v>
      </c>
      <c r="M1204" s="35">
        <v>7629</v>
      </c>
      <c r="N1204" s="36" t="s">
        <v>5269</v>
      </c>
      <c r="O1204" s="35" t="s">
        <v>5968</v>
      </c>
      <c r="P1204" s="35" t="s">
        <v>5969</v>
      </c>
    </row>
    <row r="1205" spans="1:16" hidden="1">
      <c r="A1205" s="35">
        <v>5061</v>
      </c>
      <c r="B1205" s="36" t="s">
        <v>1642</v>
      </c>
      <c r="C1205" t="e">
        <f>VLOOKUP(A1205,'TABELA SPOLINE'!A:J,10,FALSE)</f>
        <v>#N/A</v>
      </c>
      <c r="H1205">
        <v>385</v>
      </c>
      <c r="I1205">
        <v>5</v>
      </c>
      <c r="J1205" s="35" t="s">
        <v>3030</v>
      </c>
      <c r="K1205" t="str">
        <f t="shared" si="410"/>
        <v>5061</v>
      </c>
      <c r="L1205" s="36" t="s">
        <v>5190</v>
      </c>
      <c r="M1205" s="35">
        <v>7629</v>
      </c>
      <c r="N1205" s="36" t="s">
        <v>5269</v>
      </c>
      <c r="O1205" s="35" t="s">
        <v>5966</v>
      </c>
      <c r="P1205" s="35" t="s">
        <v>5967</v>
      </c>
    </row>
    <row r="1206" spans="1:16">
      <c r="A1206" s="35">
        <v>5134</v>
      </c>
      <c r="B1206" s="36" t="s">
        <v>2707</v>
      </c>
      <c r="C1206">
        <f>VLOOKUP(A1206,'TABELA SPOLINE'!A:J,10,FALSE)</f>
        <v>65.667000000000002</v>
      </c>
      <c r="D1206">
        <f>C1206*0.1+C1206</f>
        <v>72.233699999999999</v>
      </c>
      <c r="E1206">
        <f>ROUNDUP(D1206,2)</f>
        <v>72.240000000000009</v>
      </c>
      <c r="F1206">
        <f>E1206*0.0975+E1206</f>
        <v>79.283400000000015</v>
      </c>
      <c r="G1206">
        <f>ROUNDUP(F1206,2)</f>
        <v>79.290000000000006</v>
      </c>
      <c r="H1206">
        <v>994</v>
      </c>
      <c r="I1206">
        <v>1</v>
      </c>
      <c r="J1206" s="35" t="s">
        <v>4088</v>
      </c>
      <c r="K1206" t="str">
        <f t="shared" si="410"/>
        <v>5134</v>
      </c>
      <c r="L1206" s="36" t="s">
        <v>5191</v>
      </c>
      <c r="M1206" s="35">
        <v>7629</v>
      </c>
      <c r="N1206" s="36" t="s">
        <v>5269</v>
      </c>
      <c r="O1206" s="35" t="s">
        <v>5640</v>
      </c>
      <c r="P1206" s="35" t="s">
        <v>5641</v>
      </c>
    </row>
    <row r="1207" spans="1:16" hidden="1">
      <c r="A1207" s="35">
        <v>5135</v>
      </c>
      <c r="B1207" s="36" t="s">
        <v>2470</v>
      </c>
      <c r="C1207" t="e">
        <f>VLOOKUP(A1207,'TABELA SPOLINE'!A:J,10,FALSE)</f>
        <v>#N/A</v>
      </c>
      <c r="H1207">
        <v>856</v>
      </c>
      <c r="I1207">
        <v>1</v>
      </c>
      <c r="J1207" s="35" t="s">
        <v>3853</v>
      </c>
      <c r="K1207" t="str">
        <f t="shared" si="410"/>
        <v>5135</v>
      </c>
      <c r="L1207" s="36" t="s">
        <v>5192</v>
      </c>
      <c r="M1207" s="35">
        <v>7629</v>
      </c>
      <c r="N1207" s="36" t="s">
        <v>5269</v>
      </c>
      <c r="O1207" s="35" t="s">
        <v>5658</v>
      </c>
      <c r="P1207" s="35" t="s">
        <v>5659</v>
      </c>
    </row>
    <row r="1208" spans="1:16">
      <c r="A1208" s="35">
        <v>5136</v>
      </c>
      <c r="B1208" s="36" t="s">
        <v>2634</v>
      </c>
      <c r="C1208">
        <f>VLOOKUP(A1208,'TABELA SPOLINE'!A:J,10,FALSE)</f>
        <v>222.60000000000002</v>
      </c>
      <c r="D1208">
        <f t="shared" ref="D1208:D1214" si="419">C1208*0.1+C1208</f>
        <v>244.86</v>
      </c>
      <c r="E1208">
        <f t="shared" ref="E1208:E1214" si="420">ROUNDUP(D1208,2)</f>
        <v>244.86</v>
      </c>
      <c r="F1208">
        <f t="shared" ref="F1208:F1214" si="421">E1208*0.0975+E1208</f>
        <v>268.73385000000002</v>
      </c>
      <c r="G1208">
        <f t="shared" ref="G1208:G1214" si="422">ROUNDUP(F1208,2)</f>
        <v>268.74</v>
      </c>
      <c r="H1208">
        <v>895</v>
      </c>
      <c r="I1208">
        <v>1</v>
      </c>
      <c r="J1208" s="35" t="s">
        <v>4017</v>
      </c>
      <c r="K1208" t="str">
        <f t="shared" si="410"/>
        <v>5136</v>
      </c>
      <c r="L1208" s="36" t="s">
        <v>5193</v>
      </c>
      <c r="M1208" s="35">
        <v>7629</v>
      </c>
      <c r="N1208" s="36" t="s">
        <v>5269</v>
      </c>
      <c r="O1208" s="35" t="s">
        <v>5658</v>
      </c>
      <c r="P1208" s="35" t="s">
        <v>5659</v>
      </c>
    </row>
    <row r="1209" spans="1:16">
      <c r="A1209" s="35">
        <v>5243</v>
      </c>
      <c r="B1209" s="36" t="s">
        <v>2947</v>
      </c>
      <c r="C1209">
        <f>VLOOKUP(A1209,'TABELA SPOLINE'!A:J,10,FALSE)</f>
        <v>366.17700000000002</v>
      </c>
      <c r="D1209">
        <f t="shared" si="419"/>
        <v>402.79470000000003</v>
      </c>
      <c r="E1209">
        <f t="shared" si="420"/>
        <v>402.8</v>
      </c>
      <c r="F1209">
        <f t="shared" si="421"/>
        <v>442.07300000000004</v>
      </c>
      <c r="G1209">
        <f t="shared" si="422"/>
        <v>442.08</v>
      </c>
      <c r="J1209" s="35" t="s">
        <v>2946</v>
      </c>
      <c r="K1209" t="str">
        <f t="shared" si="410"/>
        <v>5243</v>
      </c>
      <c r="L1209" s="36" t="s">
        <v>5194</v>
      </c>
      <c r="M1209" s="35">
        <v>7629</v>
      </c>
      <c r="N1209" s="36" t="s">
        <v>5269</v>
      </c>
      <c r="O1209" s="35" t="s">
        <v>5708</v>
      </c>
      <c r="P1209" s="35" t="s">
        <v>5709</v>
      </c>
    </row>
    <row r="1210" spans="1:16">
      <c r="A1210" s="35">
        <v>5277</v>
      </c>
      <c r="B1210" s="36" t="s">
        <v>2885</v>
      </c>
      <c r="C1210">
        <f>VLOOKUP(A1210,'TABELA SPOLINE'!A:J,10,FALSE)</f>
        <v>521.99700000000007</v>
      </c>
      <c r="D1210">
        <f t="shared" si="419"/>
        <v>574.19670000000008</v>
      </c>
      <c r="E1210">
        <f t="shared" si="420"/>
        <v>574.20000000000005</v>
      </c>
      <c r="F1210">
        <f t="shared" si="421"/>
        <v>630.18450000000007</v>
      </c>
      <c r="G1210">
        <f t="shared" si="422"/>
        <v>630.18999999999994</v>
      </c>
      <c r="J1210" s="35" t="s">
        <v>2884</v>
      </c>
      <c r="K1210" t="str">
        <f t="shared" si="410"/>
        <v>5277</v>
      </c>
      <c r="L1210" s="36" t="s">
        <v>5195</v>
      </c>
      <c r="M1210" s="35">
        <v>7629</v>
      </c>
      <c r="N1210" s="36" t="s">
        <v>5269</v>
      </c>
      <c r="O1210" s="35" t="s">
        <v>5970</v>
      </c>
      <c r="P1210" s="35" t="s">
        <v>5971</v>
      </c>
    </row>
    <row r="1211" spans="1:16">
      <c r="A1211" s="35">
        <v>5411</v>
      </c>
      <c r="B1211" s="36" t="s">
        <v>2829</v>
      </c>
      <c r="C1211">
        <f>VLOOKUP(A1211,'TABELA SPOLINE'!A:J,10,FALSE)</f>
        <v>212.58300000000003</v>
      </c>
      <c r="D1211">
        <f t="shared" si="419"/>
        <v>233.84130000000005</v>
      </c>
      <c r="E1211">
        <f t="shared" si="420"/>
        <v>233.85</v>
      </c>
      <c r="F1211">
        <f t="shared" si="421"/>
        <v>256.650375</v>
      </c>
      <c r="G1211">
        <f t="shared" si="422"/>
        <v>256.65999999999997</v>
      </c>
      <c r="J1211" s="35" t="s">
        <v>2828</v>
      </c>
      <c r="K1211" t="str">
        <f t="shared" si="410"/>
        <v>5411</v>
      </c>
      <c r="L1211" s="36" t="s">
        <v>5196</v>
      </c>
      <c r="M1211" s="35">
        <v>7629</v>
      </c>
      <c r="N1211" s="36" t="s">
        <v>5269</v>
      </c>
      <c r="O1211" s="35" t="s">
        <v>5972</v>
      </c>
      <c r="P1211" s="35" t="s">
        <v>5973</v>
      </c>
    </row>
    <row r="1212" spans="1:16">
      <c r="A1212" s="35">
        <v>5419</v>
      </c>
      <c r="B1212" s="36" t="s">
        <v>2953</v>
      </c>
      <c r="C1212">
        <f>VLOOKUP(A1212,'TABELA SPOLINE'!A:J,10,FALSE)</f>
        <v>243.10401929631598</v>
      </c>
      <c r="D1212">
        <f t="shared" si="419"/>
        <v>267.41442122594759</v>
      </c>
      <c r="E1212">
        <f t="shared" si="420"/>
        <v>267.42</v>
      </c>
      <c r="F1212">
        <f t="shared" si="421"/>
        <v>293.49345</v>
      </c>
      <c r="G1212">
        <f t="shared" si="422"/>
        <v>293.5</v>
      </c>
      <c r="J1212" s="35" t="s">
        <v>2952</v>
      </c>
      <c r="K1212" t="str">
        <f t="shared" si="410"/>
        <v>5419</v>
      </c>
      <c r="L1212" s="36" t="s">
        <v>5197</v>
      </c>
      <c r="M1212" s="35">
        <v>7629</v>
      </c>
      <c r="N1212" s="36" t="s">
        <v>5269</v>
      </c>
      <c r="O1212" s="35" t="s">
        <v>5640</v>
      </c>
      <c r="P1212" s="35" t="s">
        <v>5641</v>
      </c>
    </row>
    <row r="1213" spans="1:16">
      <c r="A1213" s="35">
        <v>5446</v>
      </c>
      <c r="B1213" s="36" t="s">
        <v>2814</v>
      </c>
      <c r="C1213">
        <f>VLOOKUP(A1213,'TABELA SPOLINE'!A:J,10,FALSE)</f>
        <v>300.49940000000004</v>
      </c>
      <c r="D1213">
        <f t="shared" si="419"/>
        <v>330.54934000000003</v>
      </c>
      <c r="E1213">
        <f t="shared" si="420"/>
        <v>330.55</v>
      </c>
      <c r="F1213">
        <f t="shared" si="421"/>
        <v>362.77862500000003</v>
      </c>
      <c r="G1213">
        <f t="shared" si="422"/>
        <v>362.78</v>
      </c>
      <c r="J1213" s="35" t="s">
        <v>2813</v>
      </c>
      <c r="K1213" t="str">
        <f t="shared" si="410"/>
        <v>5446</v>
      </c>
      <c r="L1213" s="36" t="s">
        <v>5198</v>
      </c>
      <c r="M1213" s="35">
        <v>7629</v>
      </c>
      <c r="N1213" s="36" t="s">
        <v>5269</v>
      </c>
      <c r="O1213" s="35" t="s">
        <v>5974</v>
      </c>
      <c r="P1213" s="35" t="s">
        <v>5975</v>
      </c>
    </row>
    <row r="1214" spans="1:16">
      <c r="A1214" s="35">
        <v>5452</v>
      </c>
      <c r="B1214" s="36" t="s">
        <v>2800</v>
      </c>
      <c r="C1214">
        <f>VLOOKUP(A1214,'TABELA SPOLINE'!A:J,10,FALSE)</f>
        <v>401.74</v>
      </c>
      <c r="D1214">
        <f t="shared" si="419"/>
        <v>441.91399999999999</v>
      </c>
      <c r="E1214">
        <f t="shared" si="420"/>
        <v>441.92</v>
      </c>
      <c r="F1214">
        <f t="shared" si="421"/>
        <v>485.00720000000001</v>
      </c>
      <c r="G1214">
        <f t="shared" si="422"/>
        <v>485.01</v>
      </c>
      <c r="J1214" s="35" t="s">
        <v>2799</v>
      </c>
      <c r="K1214" t="str">
        <f t="shared" si="410"/>
        <v>5452</v>
      </c>
      <c r="L1214" s="36" t="s">
        <v>5199</v>
      </c>
      <c r="M1214" s="35">
        <v>7629</v>
      </c>
      <c r="N1214" s="36" t="s">
        <v>5269</v>
      </c>
      <c r="O1214" s="35" t="s">
        <v>5976</v>
      </c>
      <c r="P1214" s="35" t="s">
        <v>5977</v>
      </c>
    </row>
    <row r="1215" spans="1:16" hidden="1">
      <c r="A1215" s="35">
        <v>5456</v>
      </c>
      <c r="B1215" s="36" t="s">
        <v>2798</v>
      </c>
      <c r="C1215" t="e">
        <f>VLOOKUP(A1215,'TABELA SPOLINE'!A:J,10,FALSE)</f>
        <v>#N/A</v>
      </c>
      <c r="J1215" s="35" t="s">
        <v>2797</v>
      </c>
      <c r="K1215" t="str">
        <f t="shared" si="410"/>
        <v>5456</v>
      </c>
      <c r="L1215" s="36" t="s">
        <v>5200</v>
      </c>
      <c r="M1215" s="35">
        <v>7629</v>
      </c>
      <c r="N1215" s="36" t="s">
        <v>5269</v>
      </c>
      <c r="O1215" s="35" t="s">
        <v>5978</v>
      </c>
      <c r="P1215" s="35" t="s">
        <v>5979</v>
      </c>
    </row>
    <row r="1216" spans="1:16">
      <c r="A1216" s="35">
        <v>5554</v>
      </c>
      <c r="B1216" s="36" t="s">
        <v>2868</v>
      </c>
      <c r="C1216">
        <f>VLOOKUP(A1216,'TABELA SPOLINE'!A:J,10,FALSE)</f>
        <v>122.43</v>
      </c>
      <c r="D1216">
        <f t="shared" ref="D1216:D1232" si="423">C1216*0.1+C1216</f>
        <v>134.673</v>
      </c>
      <c r="E1216">
        <f t="shared" ref="E1216:E1232" si="424">ROUNDUP(D1216,2)</f>
        <v>134.67999999999998</v>
      </c>
      <c r="F1216">
        <f t="shared" ref="F1216:F1232" si="425">E1216*0.0975+E1216</f>
        <v>147.81129999999999</v>
      </c>
      <c r="G1216">
        <f t="shared" ref="G1216:G1232" si="426">ROUNDUP(F1216,2)</f>
        <v>147.82</v>
      </c>
      <c r="J1216" s="35" t="s">
        <v>2867</v>
      </c>
      <c r="K1216" t="str">
        <f t="shared" si="410"/>
        <v>5554</v>
      </c>
      <c r="L1216" s="36" t="s">
        <v>5201</v>
      </c>
      <c r="M1216" s="35">
        <v>7629</v>
      </c>
      <c r="N1216" s="36" t="s">
        <v>5269</v>
      </c>
      <c r="O1216" s="35" t="s">
        <v>5980</v>
      </c>
      <c r="P1216" s="35" t="s">
        <v>5981</v>
      </c>
    </row>
    <row r="1217" spans="1:16">
      <c r="A1217" s="35">
        <v>5562</v>
      </c>
      <c r="B1217" s="36" t="s">
        <v>2870</v>
      </c>
      <c r="C1217">
        <f>VLOOKUP(A1217,'TABELA SPOLINE'!A:J,10,FALSE)</f>
        <v>199.227</v>
      </c>
      <c r="D1217">
        <f t="shared" si="423"/>
        <v>219.1497</v>
      </c>
      <c r="E1217">
        <f t="shared" si="424"/>
        <v>219.14999999999998</v>
      </c>
      <c r="F1217">
        <f t="shared" si="425"/>
        <v>240.51712499999996</v>
      </c>
      <c r="G1217">
        <f t="shared" si="426"/>
        <v>240.51999999999998</v>
      </c>
      <c r="J1217" s="35" t="s">
        <v>2869</v>
      </c>
      <c r="K1217" t="str">
        <f t="shared" si="410"/>
        <v>5562</v>
      </c>
      <c r="L1217" s="36" t="s">
        <v>5202</v>
      </c>
      <c r="M1217" s="35">
        <v>7629</v>
      </c>
      <c r="N1217" s="36" t="s">
        <v>5269</v>
      </c>
      <c r="O1217" s="35" t="s">
        <v>5982</v>
      </c>
      <c r="P1217" s="35" t="s">
        <v>5983</v>
      </c>
    </row>
    <row r="1218" spans="1:16">
      <c r="A1218" s="35">
        <v>5570</v>
      </c>
      <c r="B1218" s="36" t="s">
        <v>2872</v>
      </c>
      <c r="C1218">
        <f>VLOOKUP(A1218,'TABELA SPOLINE'!A:J,10,FALSE)</f>
        <v>243.74700000000001</v>
      </c>
      <c r="D1218">
        <f t="shared" si="423"/>
        <v>268.12170000000003</v>
      </c>
      <c r="E1218">
        <f t="shared" si="424"/>
        <v>268.13</v>
      </c>
      <c r="F1218">
        <f t="shared" si="425"/>
        <v>294.27267499999999</v>
      </c>
      <c r="G1218">
        <f t="shared" si="426"/>
        <v>294.27999999999997</v>
      </c>
      <c r="J1218" s="35" t="s">
        <v>2871</v>
      </c>
      <c r="K1218" t="str">
        <f t="shared" si="410"/>
        <v>5570</v>
      </c>
      <c r="L1218" s="36" t="s">
        <v>5203</v>
      </c>
      <c r="M1218" s="35">
        <v>7629</v>
      </c>
      <c r="N1218" s="36" t="s">
        <v>5269</v>
      </c>
      <c r="O1218" s="35" t="s">
        <v>5984</v>
      </c>
      <c r="P1218" s="35" t="s">
        <v>5985</v>
      </c>
    </row>
    <row r="1219" spans="1:16">
      <c r="A1219" s="35">
        <v>5668</v>
      </c>
      <c r="B1219" s="36" t="s">
        <v>2883</v>
      </c>
      <c r="C1219">
        <f>VLOOKUP(A1219,'TABELA SPOLINE'!A:J,10,FALSE)</f>
        <v>239.29500000000002</v>
      </c>
      <c r="D1219">
        <f t="shared" si="423"/>
        <v>263.22450000000003</v>
      </c>
      <c r="E1219">
        <f t="shared" si="424"/>
        <v>263.23</v>
      </c>
      <c r="F1219">
        <f t="shared" si="425"/>
        <v>288.894925</v>
      </c>
      <c r="G1219">
        <f t="shared" si="426"/>
        <v>288.89999999999998</v>
      </c>
      <c r="J1219" s="35" t="s">
        <v>2882</v>
      </c>
      <c r="K1219" t="str">
        <f t="shared" ref="K1219:K1280" si="427">TRIM(A1219)</f>
        <v>5668</v>
      </c>
      <c r="L1219" s="36" t="s">
        <v>5204</v>
      </c>
      <c r="M1219" s="35">
        <v>7629</v>
      </c>
      <c r="N1219" s="36" t="s">
        <v>5269</v>
      </c>
      <c r="O1219" s="35" t="s">
        <v>5986</v>
      </c>
      <c r="P1219" s="35" t="s">
        <v>5987</v>
      </c>
    </row>
    <row r="1220" spans="1:16">
      <c r="A1220" s="35">
        <v>5798</v>
      </c>
      <c r="B1220" s="36" t="s">
        <v>2864</v>
      </c>
      <c r="C1220">
        <f>VLOOKUP(A1220,'TABELA SPOLINE'!A:J,10,FALSE)</f>
        <v>132.447</v>
      </c>
      <c r="D1220">
        <f t="shared" si="423"/>
        <v>145.6917</v>
      </c>
      <c r="E1220">
        <f t="shared" si="424"/>
        <v>145.69999999999999</v>
      </c>
      <c r="F1220">
        <f t="shared" si="425"/>
        <v>159.90574999999998</v>
      </c>
      <c r="G1220">
        <f t="shared" si="426"/>
        <v>159.91</v>
      </c>
      <c r="J1220" s="35" t="s">
        <v>2863</v>
      </c>
      <c r="K1220" t="str">
        <f t="shared" si="427"/>
        <v>5798</v>
      </c>
      <c r="L1220" s="36" t="s">
        <v>5205</v>
      </c>
      <c r="M1220" s="35">
        <v>7629</v>
      </c>
      <c r="N1220" s="36" t="s">
        <v>5269</v>
      </c>
      <c r="O1220" s="35" t="s">
        <v>5670</v>
      </c>
      <c r="P1220" s="35" t="s">
        <v>5671</v>
      </c>
    </row>
    <row r="1221" spans="1:16">
      <c r="A1221" s="35">
        <v>5799</v>
      </c>
      <c r="B1221" s="36" t="s">
        <v>2892</v>
      </c>
      <c r="C1221">
        <f>VLOOKUP(A1221,'TABELA SPOLINE'!A:J,10,FALSE)</f>
        <v>132.447</v>
      </c>
      <c r="D1221">
        <f t="shared" si="423"/>
        <v>145.6917</v>
      </c>
      <c r="E1221">
        <f t="shared" si="424"/>
        <v>145.69999999999999</v>
      </c>
      <c r="F1221">
        <f t="shared" si="425"/>
        <v>159.90574999999998</v>
      </c>
      <c r="G1221">
        <f t="shared" si="426"/>
        <v>159.91</v>
      </c>
      <c r="J1221" s="35" t="s">
        <v>2891</v>
      </c>
      <c r="K1221" t="str">
        <f t="shared" si="427"/>
        <v>5799</v>
      </c>
      <c r="L1221" s="36" t="s">
        <v>5206</v>
      </c>
      <c r="M1221" s="35">
        <v>7629</v>
      </c>
      <c r="N1221" s="36" t="s">
        <v>5269</v>
      </c>
      <c r="O1221" s="35" t="s">
        <v>5670</v>
      </c>
      <c r="P1221" s="35" t="s">
        <v>5671</v>
      </c>
    </row>
    <row r="1222" spans="1:16">
      <c r="A1222" s="35">
        <v>5840</v>
      </c>
      <c r="B1222" s="36" t="s">
        <v>2945</v>
      </c>
      <c r="C1222">
        <f>VLOOKUP(A1222,'TABELA SPOLINE'!A:J,10,FALSE)</f>
        <v>221.48699999999999</v>
      </c>
      <c r="D1222">
        <f t="shared" si="423"/>
        <v>243.63569999999999</v>
      </c>
      <c r="E1222">
        <f t="shared" si="424"/>
        <v>243.64</v>
      </c>
      <c r="F1222">
        <f t="shared" si="425"/>
        <v>267.39490000000001</v>
      </c>
      <c r="G1222">
        <f t="shared" si="426"/>
        <v>267.39999999999998</v>
      </c>
      <c r="J1222" s="35" t="s">
        <v>2944</v>
      </c>
      <c r="K1222" t="str">
        <f t="shared" si="427"/>
        <v>5840</v>
      </c>
      <c r="L1222" s="36" t="s">
        <v>5207</v>
      </c>
      <c r="M1222" s="35">
        <v>7629</v>
      </c>
      <c r="N1222" s="36" t="s">
        <v>5269</v>
      </c>
      <c r="O1222" s="35" t="s">
        <v>5658</v>
      </c>
      <c r="P1222" s="35" t="s">
        <v>5659</v>
      </c>
    </row>
    <row r="1223" spans="1:16">
      <c r="A1223" s="35">
        <v>5844</v>
      </c>
      <c r="B1223" s="36" t="s">
        <v>2943</v>
      </c>
      <c r="C1223">
        <f>VLOOKUP(A1223,'TABELA SPOLINE'!A:J,10,FALSE)</f>
        <v>324.99600000000004</v>
      </c>
      <c r="D1223">
        <f t="shared" si="423"/>
        <v>357.49560000000002</v>
      </c>
      <c r="E1223">
        <f t="shared" si="424"/>
        <v>357.5</v>
      </c>
      <c r="F1223">
        <f t="shared" si="425"/>
        <v>392.35624999999999</v>
      </c>
      <c r="G1223">
        <f t="shared" si="426"/>
        <v>392.36</v>
      </c>
      <c r="J1223" s="35" t="s">
        <v>2942</v>
      </c>
      <c r="K1223" t="str">
        <f t="shared" si="427"/>
        <v>5844</v>
      </c>
      <c r="L1223" s="36" t="s">
        <v>5208</v>
      </c>
      <c r="M1223" s="35">
        <v>7629</v>
      </c>
      <c r="N1223" s="36" t="s">
        <v>5269</v>
      </c>
      <c r="O1223" s="35" t="s">
        <v>5428</v>
      </c>
      <c r="P1223" s="35" t="s">
        <v>5429</v>
      </c>
    </row>
    <row r="1224" spans="1:16">
      <c r="A1224" s="35">
        <v>5909</v>
      </c>
      <c r="B1224" s="36" t="s">
        <v>2866</v>
      </c>
      <c r="C1224">
        <f>VLOOKUP(A1224,'TABELA SPOLINE'!A:J,10,FALSE)</f>
        <v>132.447</v>
      </c>
      <c r="D1224">
        <f t="shared" si="423"/>
        <v>145.6917</v>
      </c>
      <c r="E1224">
        <f t="shared" si="424"/>
        <v>145.69999999999999</v>
      </c>
      <c r="F1224">
        <f t="shared" si="425"/>
        <v>159.90574999999998</v>
      </c>
      <c r="G1224">
        <f t="shared" si="426"/>
        <v>159.91</v>
      </c>
      <c r="J1224" s="35" t="s">
        <v>2865</v>
      </c>
      <c r="K1224" t="str">
        <f t="shared" si="427"/>
        <v>5909</v>
      </c>
      <c r="L1224" s="36" t="s">
        <v>5209</v>
      </c>
      <c r="M1224" s="35">
        <v>7629</v>
      </c>
      <c r="N1224" s="36" t="s">
        <v>5269</v>
      </c>
      <c r="O1224" s="35" t="s">
        <v>5316</v>
      </c>
      <c r="P1224" s="35" t="s">
        <v>5317</v>
      </c>
    </row>
    <row r="1225" spans="1:16">
      <c r="A1225" s="35">
        <v>6046</v>
      </c>
      <c r="B1225" s="36" t="s">
        <v>2939</v>
      </c>
      <c r="C1225">
        <f>VLOOKUP(A1225,'TABELA SPOLINE'!A:J,10,FALSE)</f>
        <v>110.18700000000001</v>
      </c>
      <c r="D1225">
        <f t="shared" si="423"/>
        <v>121.20570000000001</v>
      </c>
      <c r="E1225">
        <f t="shared" si="424"/>
        <v>121.21000000000001</v>
      </c>
      <c r="F1225">
        <f t="shared" si="425"/>
        <v>133.027975</v>
      </c>
      <c r="G1225">
        <f t="shared" si="426"/>
        <v>133.03</v>
      </c>
      <c r="J1225" s="35" t="s">
        <v>2938</v>
      </c>
      <c r="K1225" t="str">
        <f t="shared" si="427"/>
        <v>6046</v>
      </c>
      <c r="L1225" s="36" t="s">
        <v>5210</v>
      </c>
      <c r="M1225" s="35">
        <v>7629</v>
      </c>
      <c r="N1225" s="36" t="s">
        <v>5269</v>
      </c>
      <c r="O1225" s="35" t="s">
        <v>5988</v>
      </c>
      <c r="P1225" s="35" t="s">
        <v>5989</v>
      </c>
    </row>
    <row r="1226" spans="1:16">
      <c r="A1226" s="35">
        <v>6047</v>
      </c>
      <c r="B1226" s="36" t="s">
        <v>2974</v>
      </c>
      <c r="C1226">
        <f>VLOOKUP(A1226,'TABELA SPOLINE'!A:J,10,FALSE)</f>
        <v>110.18700000000001</v>
      </c>
      <c r="D1226">
        <f t="shared" si="423"/>
        <v>121.20570000000001</v>
      </c>
      <c r="E1226">
        <f t="shared" si="424"/>
        <v>121.21000000000001</v>
      </c>
      <c r="F1226">
        <f t="shared" si="425"/>
        <v>133.027975</v>
      </c>
      <c r="G1226">
        <f t="shared" si="426"/>
        <v>133.03</v>
      </c>
      <c r="J1226" s="35" t="s">
        <v>2973</v>
      </c>
      <c r="K1226" t="str">
        <f t="shared" si="427"/>
        <v>6047</v>
      </c>
      <c r="L1226" s="36" t="s">
        <v>5211</v>
      </c>
      <c r="M1226" s="35">
        <v>7629</v>
      </c>
      <c r="N1226" s="36" t="s">
        <v>5269</v>
      </c>
      <c r="O1226" s="35" t="s">
        <v>5990</v>
      </c>
      <c r="P1226" s="35" t="s">
        <v>5991</v>
      </c>
    </row>
    <row r="1227" spans="1:16">
      <c r="A1227" s="35">
        <v>6049</v>
      </c>
      <c r="B1227" s="36" t="s">
        <v>2796</v>
      </c>
      <c r="C1227">
        <f>VLOOKUP(A1227,'TABELA SPOLINE'!A:J,10,FALSE)</f>
        <v>131.334</v>
      </c>
      <c r="D1227">
        <f t="shared" si="423"/>
        <v>144.4674</v>
      </c>
      <c r="E1227">
        <f t="shared" si="424"/>
        <v>144.47</v>
      </c>
      <c r="F1227">
        <f t="shared" si="425"/>
        <v>158.555825</v>
      </c>
      <c r="G1227">
        <f t="shared" si="426"/>
        <v>158.56</v>
      </c>
      <c r="J1227" s="35" t="s">
        <v>2795</v>
      </c>
      <c r="K1227" t="str">
        <f t="shared" si="427"/>
        <v>6049</v>
      </c>
      <c r="L1227" s="36" t="s">
        <v>5212</v>
      </c>
      <c r="M1227" s="35">
        <v>7629</v>
      </c>
      <c r="N1227" s="36" t="s">
        <v>5269</v>
      </c>
      <c r="O1227" s="35" t="s">
        <v>5992</v>
      </c>
      <c r="P1227" s="35" t="s">
        <v>5993</v>
      </c>
    </row>
    <row r="1228" spans="1:16">
      <c r="A1228" s="35">
        <v>6051</v>
      </c>
      <c r="B1228" s="36" t="s">
        <v>2874</v>
      </c>
      <c r="C1228">
        <f>VLOOKUP(A1228,'TABELA SPOLINE'!A:J,10,FALSE)</f>
        <v>150.255</v>
      </c>
      <c r="D1228">
        <f t="shared" si="423"/>
        <v>165.28049999999999</v>
      </c>
      <c r="E1228">
        <f t="shared" si="424"/>
        <v>165.29</v>
      </c>
      <c r="F1228">
        <f t="shared" si="425"/>
        <v>181.40577500000001</v>
      </c>
      <c r="G1228">
        <f t="shared" si="426"/>
        <v>181.41</v>
      </c>
      <c r="J1228" s="35" t="s">
        <v>2873</v>
      </c>
      <c r="K1228" t="str">
        <f t="shared" si="427"/>
        <v>6051</v>
      </c>
      <c r="L1228" s="36" t="s">
        <v>5213</v>
      </c>
      <c r="M1228" s="35">
        <v>7629</v>
      </c>
      <c r="N1228" s="36" t="s">
        <v>5269</v>
      </c>
      <c r="O1228" s="35" t="s">
        <v>5382</v>
      </c>
      <c r="P1228" s="35" t="s">
        <v>5383</v>
      </c>
    </row>
    <row r="1229" spans="1:16">
      <c r="A1229" s="35">
        <v>6052</v>
      </c>
      <c r="B1229" s="36" t="s">
        <v>2862</v>
      </c>
      <c r="C1229">
        <f>VLOOKUP(A1229,'TABELA SPOLINE'!A:J,10,FALSE)</f>
        <v>150.255</v>
      </c>
      <c r="D1229">
        <f t="shared" si="423"/>
        <v>165.28049999999999</v>
      </c>
      <c r="E1229">
        <f t="shared" si="424"/>
        <v>165.29</v>
      </c>
      <c r="F1229">
        <f t="shared" si="425"/>
        <v>181.40577500000001</v>
      </c>
      <c r="G1229">
        <f t="shared" si="426"/>
        <v>181.41</v>
      </c>
      <c r="J1229" s="35" t="s">
        <v>2861</v>
      </c>
      <c r="K1229" t="str">
        <f t="shared" si="427"/>
        <v>6052</v>
      </c>
      <c r="L1229" s="36" t="s">
        <v>5214</v>
      </c>
      <c r="M1229" s="35">
        <v>7629</v>
      </c>
      <c r="N1229" s="36" t="s">
        <v>5269</v>
      </c>
      <c r="O1229" s="35" t="s">
        <v>5994</v>
      </c>
      <c r="P1229" s="35" t="s">
        <v>5995</v>
      </c>
    </row>
    <row r="1230" spans="1:16">
      <c r="A1230" s="35">
        <v>6074</v>
      </c>
      <c r="B1230" s="36" t="s">
        <v>2832</v>
      </c>
      <c r="C1230">
        <f>VLOOKUP(A1230,'TABELA SPOLINE'!A:J,10,FALSE)</f>
        <v>148.02900000000002</v>
      </c>
      <c r="D1230">
        <f t="shared" si="423"/>
        <v>162.83190000000002</v>
      </c>
      <c r="E1230">
        <f t="shared" si="424"/>
        <v>162.84</v>
      </c>
      <c r="F1230">
        <f t="shared" si="425"/>
        <v>178.71690000000001</v>
      </c>
      <c r="G1230">
        <f t="shared" si="426"/>
        <v>178.72</v>
      </c>
      <c r="J1230" s="35" t="s">
        <v>2831</v>
      </c>
      <c r="K1230" t="str">
        <f t="shared" si="427"/>
        <v>6074</v>
      </c>
      <c r="L1230" s="36" t="s">
        <v>5215</v>
      </c>
      <c r="M1230" s="35">
        <v>7629</v>
      </c>
      <c r="N1230" s="36" t="s">
        <v>5269</v>
      </c>
      <c r="O1230" s="35" t="s">
        <v>5996</v>
      </c>
      <c r="P1230" s="35" t="s">
        <v>5997</v>
      </c>
    </row>
    <row r="1231" spans="1:16">
      <c r="A1231" s="35">
        <v>6091</v>
      </c>
      <c r="B1231" s="36" t="s">
        <v>2794</v>
      </c>
      <c r="C1231">
        <f>VLOOKUP(A1231,'TABELA SPOLINE'!A:J,10,FALSE)</f>
        <v>110.18700000000001</v>
      </c>
      <c r="D1231">
        <f t="shared" si="423"/>
        <v>121.20570000000001</v>
      </c>
      <c r="E1231">
        <f t="shared" si="424"/>
        <v>121.21000000000001</v>
      </c>
      <c r="F1231">
        <f t="shared" si="425"/>
        <v>133.027975</v>
      </c>
      <c r="G1231">
        <f t="shared" si="426"/>
        <v>133.03</v>
      </c>
      <c r="J1231" s="35" t="s">
        <v>2793</v>
      </c>
      <c r="K1231" t="str">
        <f t="shared" si="427"/>
        <v>6091</v>
      </c>
      <c r="L1231" s="36" t="s">
        <v>5216</v>
      </c>
      <c r="M1231" s="35">
        <v>7629</v>
      </c>
      <c r="N1231" s="36" t="s">
        <v>5269</v>
      </c>
      <c r="O1231" s="35" t="s">
        <v>5380</v>
      </c>
      <c r="P1231" s="35" t="s">
        <v>5381</v>
      </c>
    </row>
    <row r="1232" spans="1:16">
      <c r="A1232" s="35">
        <v>6115</v>
      </c>
      <c r="B1232" s="36" t="s">
        <v>2826</v>
      </c>
      <c r="C1232">
        <f>VLOOKUP(A1232,'TABELA SPOLINE'!A:J,10,FALSE)</f>
        <v>165.83699999999999</v>
      </c>
      <c r="D1232">
        <f t="shared" si="423"/>
        <v>182.42069999999998</v>
      </c>
      <c r="E1232">
        <f t="shared" si="424"/>
        <v>182.42999999999998</v>
      </c>
      <c r="F1232">
        <f t="shared" si="425"/>
        <v>200.21692499999997</v>
      </c>
      <c r="G1232">
        <f t="shared" si="426"/>
        <v>200.22</v>
      </c>
      <c r="J1232" s="35" t="s">
        <v>2825</v>
      </c>
      <c r="K1232" t="str">
        <f t="shared" si="427"/>
        <v>6115</v>
      </c>
      <c r="L1232" s="36" t="s">
        <v>5217</v>
      </c>
      <c r="M1232" s="35">
        <v>7629</v>
      </c>
      <c r="N1232" s="36" t="s">
        <v>5269</v>
      </c>
      <c r="O1232" s="35" t="s">
        <v>5382</v>
      </c>
      <c r="P1232" s="35" t="s">
        <v>5383</v>
      </c>
    </row>
    <row r="1233" spans="1:16" hidden="1">
      <c r="A1233" s="35">
        <v>6438</v>
      </c>
      <c r="B1233" s="36" t="s">
        <v>2834</v>
      </c>
      <c r="C1233" t="e">
        <f>VLOOKUP(A1233,'TABELA SPOLINE'!A:J,10,FALSE)</f>
        <v>#N/A</v>
      </c>
      <c r="J1233" s="35" t="s">
        <v>2833</v>
      </c>
      <c r="K1233" t="str">
        <f t="shared" si="427"/>
        <v>6438</v>
      </c>
      <c r="L1233" s="36" t="s">
        <v>5218</v>
      </c>
      <c r="M1233" s="35">
        <v>7629</v>
      </c>
      <c r="N1233" s="36" t="s">
        <v>5269</v>
      </c>
      <c r="O1233" s="35" t="s">
        <v>5998</v>
      </c>
      <c r="P1233" s="35" t="s">
        <v>5999</v>
      </c>
    </row>
    <row r="1234" spans="1:16">
      <c r="A1234" s="35">
        <v>6439</v>
      </c>
      <c r="B1234" s="36" t="s">
        <v>2836</v>
      </c>
      <c r="C1234">
        <f>VLOOKUP(A1234,'TABELA SPOLINE'!A:J,10,FALSE)</f>
        <v>100.7</v>
      </c>
      <c r="D1234">
        <f t="shared" ref="D1234:D1238" si="428">C1234*0.1+C1234</f>
        <v>110.77000000000001</v>
      </c>
      <c r="E1234">
        <f t="shared" ref="E1234:E1238" si="429">ROUNDUP(D1234,2)</f>
        <v>110.77</v>
      </c>
      <c r="F1234">
        <f t="shared" ref="F1234:F1238" si="430">E1234*0.0975+E1234</f>
        <v>121.570075</v>
      </c>
      <c r="G1234">
        <f t="shared" ref="G1234:G1238" si="431">ROUNDUP(F1234,2)</f>
        <v>121.58</v>
      </c>
      <c r="J1234" s="35" t="s">
        <v>2835</v>
      </c>
      <c r="K1234" t="str">
        <f t="shared" si="427"/>
        <v>6439</v>
      </c>
      <c r="L1234" s="36" t="s">
        <v>5219</v>
      </c>
      <c r="M1234" s="35">
        <v>7629</v>
      </c>
      <c r="N1234" s="36" t="s">
        <v>5269</v>
      </c>
      <c r="O1234" s="35" t="s">
        <v>5996</v>
      </c>
      <c r="P1234" s="35" t="s">
        <v>5997</v>
      </c>
    </row>
    <row r="1235" spans="1:16">
      <c r="A1235" s="35">
        <v>6440</v>
      </c>
      <c r="B1235" s="36" t="s">
        <v>2842</v>
      </c>
      <c r="C1235">
        <f>VLOOKUP(A1235,'TABELA SPOLINE'!A:J,10,FALSE)</f>
        <v>43.407000000000004</v>
      </c>
      <c r="D1235">
        <f t="shared" si="428"/>
        <v>47.747700000000002</v>
      </c>
      <c r="E1235">
        <f t="shared" si="429"/>
        <v>47.75</v>
      </c>
      <c r="F1235">
        <f t="shared" si="430"/>
        <v>52.405625000000001</v>
      </c>
      <c r="G1235">
        <f t="shared" si="431"/>
        <v>52.41</v>
      </c>
      <c r="J1235" s="35" t="s">
        <v>2841</v>
      </c>
      <c r="K1235" t="str">
        <f t="shared" si="427"/>
        <v>6440</v>
      </c>
      <c r="L1235" s="36" t="s">
        <v>5220</v>
      </c>
      <c r="M1235" s="35">
        <v>7629</v>
      </c>
      <c r="N1235" s="36" t="s">
        <v>5269</v>
      </c>
      <c r="O1235" s="35" t="s">
        <v>5380</v>
      </c>
      <c r="P1235" s="35" t="s">
        <v>5381</v>
      </c>
    </row>
    <row r="1236" spans="1:16">
      <c r="A1236" s="35">
        <v>6441</v>
      </c>
      <c r="B1236" s="36" t="s">
        <v>2844</v>
      </c>
      <c r="C1236">
        <f>VLOOKUP(A1236,'TABELA SPOLINE'!A:J,10,FALSE)</f>
        <v>43.407000000000004</v>
      </c>
      <c r="D1236">
        <f t="shared" si="428"/>
        <v>47.747700000000002</v>
      </c>
      <c r="E1236">
        <f t="shared" si="429"/>
        <v>47.75</v>
      </c>
      <c r="F1236">
        <f t="shared" si="430"/>
        <v>52.405625000000001</v>
      </c>
      <c r="G1236">
        <f t="shared" si="431"/>
        <v>52.41</v>
      </c>
      <c r="J1236" s="35" t="s">
        <v>2843</v>
      </c>
      <c r="K1236" t="str">
        <f t="shared" si="427"/>
        <v>6441</v>
      </c>
      <c r="L1236" s="36" t="s">
        <v>5221</v>
      </c>
      <c r="M1236" s="35">
        <v>7629</v>
      </c>
      <c r="N1236" s="36" t="s">
        <v>5269</v>
      </c>
      <c r="O1236" s="35" t="s">
        <v>5899</v>
      </c>
      <c r="P1236" s="35" t="s">
        <v>5900</v>
      </c>
    </row>
    <row r="1237" spans="1:16">
      <c r="A1237" s="35">
        <v>6442</v>
      </c>
      <c r="B1237" s="36" t="s">
        <v>2840</v>
      </c>
      <c r="C1237">
        <f>VLOOKUP(A1237,'TABELA SPOLINE'!A:J,10,FALSE)</f>
        <v>43.407000000000004</v>
      </c>
      <c r="D1237">
        <f t="shared" si="428"/>
        <v>47.747700000000002</v>
      </c>
      <c r="E1237">
        <f t="shared" si="429"/>
        <v>47.75</v>
      </c>
      <c r="F1237">
        <f t="shared" si="430"/>
        <v>52.405625000000001</v>
      </c>
      <c r="G1237">
        <f t="shared" si="431"/>
        <v>52.41</v>
      </c>
      <c r="J1237" s="35" t="s">
        <v>2839</v>
      </c>
      <c r="K1237" t="str">
        <f t="shared" si="427"/>
        <v>6442</v>
      </c>
      <c r="L1237" s="36" t="s">
        <v>5222</v>
      </c>
      <c r="M1237" s="35">
        <v>7629</v>
      </c>
      <c r="N1237" s="36" t="s">
        <v>5269</v>
      </c>
      <c r="O1237" s="35" t="s">
        <v>5901</v>
      </c>
      <c r="P1237" s="35" t="s">
        <v>5902</v>
      </c>
    </row>
    <row r="1238" spans="1:16">
      <c r="A1238" s="35">
        <v>6443</v>
      </c>
      <c r="B1238" s="36" t="s">
        <v>2838</v>
      </c>
      <c r="C1238">
        <f>VLOOKUP(A1238,'TABELA SPOLINE'!A:J,10,FALSE)</f>
        <v>43.407000000000004</v>
      </c>
      <c r="D1238">
        <f t="shared" si="428"/>
        <v>47.747700000000002</v>
      </c>
      <c r="E1238">
        <f t="shared" si="429"/>
        <v>47.75</v>
      </c>
      <c r="F1238">
        <f t="shared" si="430"/>
        <v>52.405625000000001</v>
      </c>
      <c r="G1238">
        <f t="shared" si="431"/>
        <v>52.41</v>
      </c>
      <c r="J1238" s="35" t="s">
        <v>2837</v>
      </c>
      <c r="K1238" t="str">
        <f t="shared" si="427"/>
        <v>6443</v>
      </c>
      <c r="L1238" s="36" t="s">
        <v>5223</v>
      </c>
      <c r="M1238" s="35">
        <v>7629</v>
      </c>
      <c r="N1238" s="36" t="s">
        <v>5269</v>
      </c>
      <c r="O1238" s="35" t="s">
        <v>5903</v>
      </c>
      <c r="P1238" s="35" t="s">
        <v>5904</v>
      </c>
    </row>
    <row r="1239" spans="1:16" hidden="1">
      <c r="A1239" s="35">
        <v>6444</v>
      </c>
      <c r="B1239" s="36" t="s">
        <v>2846</v>
      </c>
      <c r="C1239" t="e">
        <f>VLOOKUP(A1239,'TABELA SPOLINE'!A:J,10,FALSE)</f>
        <v>#N/A</v>
      </c>
      <c r="J1239" s="35" t="s">
        <v>2845</v>
      </c>
      <c r="K1239" t="str">
        <f t="shared" si="427"/>
        <v>6444</v>
      </c>
      <c r="L1239" s="36" t="s">
        <v>5224</v>
      </c>
      <c r="M1239" s="35">
        <v>7629</v>
      </c>
      <c r="N1239" s="36" t="s">
        <v>5269</v>
      </c>
      <c r="O1239" s="35" t="s">
        <v>5905</v>
      </c>
      <c r="P1239" s="35" t="s">
        <v>5906</v>
      </c>
    </row>
    <row r="1240" spans="1:16">
      <c r="A1240" s="35">
        <v>6445</v>
      </c>
      <c r="B1240" s="36" t="s">
        <v>2848</v>
      </c>
      <c r="C1240">
        <f>VLOOKUP(A1240,'TABELA SPOLINE'!A:J,10,FALSE)</f>
        <v>127.4332</v>
      </c>
      <c r="D1240">
        <f t="shared" ref="D1240:D1243" si="432">C1240*0.1+C1240</f>
        <v>140.17652000000001</v>
      </c>
      <c r="E1240">
        <f t="shared" ref="E1240:E1243" si="433">ROUNDUP(D1240,2)</f>
        <v>140.17999999999998</v>
      </c>
      <c r="F1240">
        <f t="shared" ref="F1240:F1243" si="434">E1240*0.0975+E1240</f>
        <v>153.84754999999998</v>
      </c>
      <c r="G1240">
        <f t="shared" ref="G1240:G1243" si="435">ROUNDUP(F1240,2)</f>
        <v>153.85</v>
      </c>
      <c r="J1240" s="35" t="s">
        <v>2847</v>
      </c>
      <c r="K1240" t="str">
        <f t="shared" si="427"/>
        <v>6445</v>
      </c>
      <c r="L1240" s="36" t="s">
        <v>5225</v>
      </c>
      <c r="M1240" s="35">
        <v>7629</v>
      </c>
      <c r="N1240" s="36" t="s">
        <v>5269</v>
      </c>
      <c r="O1240" s="35" t="s">
        <v>5907</v>
      </c>
      <c r="P1240" s="35" t="s">
        <v>5908</v>
      </c>
    </row>
    <row r="1241" spans="1:16">
      <c r="A1241" s="35">
        <v>6446</v>
      </c>
      <c r="B1241" s="36" t="s">
        <v>2850</v>
      </c>
      <c r="C1241">
        <f>VLOOKUP(A1241,'TABELA SPOLINE'!A:J,10,FALSE)</f>
        <v>56.762999999999998</v>
      </c>
      <c r="D1241">
        <f t="shared" si="432"/>
        <v>62.439299999999996</v>
      </c>
      <c r="E1241">
        <f t="shared" si="433"/>
        <v>62.44</v>
      </c>
      <c r="F1241">
        <f t="shared" si="434"/>
        <v>68.527900000000002</v>
      </c>
      <c r="G1241">
        <f t="shared" si="435"/>
        <v>68.53</v>
      </c>
      <c r="J1241" s="35" t="s">
        <v>2849</v>
      </c>
      <c r="K1241" t="str">
        <f t="shared" si="427"/>
        <v>6446</v>
      </c>
      <c r="L1241" s="36" t="s">
        <v>5226</v>
      </c>
      <c r="M1241" s="35">
        <v>7629</v>
      </c>
      <c r="N1241" s="36" t="s">
        <v>5269</v>
      </c>
      <c r="O1241" s="35" t="s">
        <v>5909</v>
      </c>
      <c r="P1241" s="35" t="s">
        <v>5910</v>
      </c>
    </row>
    <row r="1242" spans="1:16">
      <c r="A1242" s="35">
        <v>6447</v>
      </c>
      <c r="B1242" s="36" t="s">
        <v>2852</v>
      </c>
      <c r="C1242">
        <f>VLOOKUP(A1242,'TABELA SPOLINE'!A:J,10,FALSE)</f>
        <v>50.085000000000001</v>
      </c>
      <c r="D1242">
        <f t="shared" si="432"/>
        <v>55.093499999999999</v>
      </c>
      <c r="E1242">
        <f t="shared" si="433"/>
        <v>55.1</v>
      </c>
      <c r="F1242">
        <f t="shared" si="434"/>
        <v>60.472250000000003</v>
      </c>
      <c r="G1242">
        <f t="shared" si="435"/>
        <v>60.48</v>
      </c>
      <c r="J1242" s="35" t="s">
        <v>2851</v>
      </c>
      <c r="K1242" t="str">
        <f t="shared" si="427"/>
        <v>6447</v>
      </c>
      <c r="L1242" s="36" t="s">
        <v>5227</v>
      </c>
      <c r="M1242" s="35">
        <v>7629</v>
      </c>
      <c r="N1242" s="36" t="s">
        <v>5269</v>
      </c>
      <c r="O1242" s="35" t="s">
        <v>5911</v>
      </c>
      <c r="P1242" s="35" t="s">
        <v>5912</v>
      </c>
    </row>
    <row r="1243" spans="1:16">
      <c r="A1243" s="35">
        <v>6448</v>
      </c>
      <c r="B1243" s="36" t="s">
        <v>2854</v>
      </c>
      <c r="C1243">
        <f>VLOOKUP(A1243,'TABELA SPOLINE'!A:J,10,FALSE)</f>
        <v>50.085000000000001</v>
      </c>
      <c r="D1243">
        <f t="shared" si="432"/>
        <v>55.093499999999999</v>
      </c>
      <c r="E1243">
        <f t="shared" si="433"/>
        <v>55.1</v>
      </c>
      <c r="F1243">
        <f t="shared" si="434"/>
        <v>60.472250000000003</v>
      </c>
      <c r="G1243">
        <f t="shared" si="435"/>
        <v>60.48</v>
      </c>
      <c r="J1243" s="35" t="s">
        <v>2853</v>
      </c>
      <c r="K1243" t="str">
        <f t="shared" si="427"/>
        <v>6448</v>
      </c>
      <c r="L1243" s="36" t="s">
        <v>5228</v>
      </c>
      <c r="M1243" s="35">
        <v>7629</v>
      </c>
      <c r="N1243" s="36" t="s">
        <v>5269</v>
      </c>
      <c r="O1243" s="35" t="s">
        <v>5925</v>
      </c>
      <c r="P1243" s="35" t="s">
        <v>5926</v>
      </c>
    </row>
    <row r="1244" spans="1:16" hidden="1">
      <c r="A1244" s="35">
        <v>6796</v>
      </c>
      <c r="B1244" s="36" t="s">
        <v>2858</v>
      </c>
      <c r="C1244" t="e">
        <f>VLOOKUP(A1244,'TABELA SPOLINE'!A:J,10,FALSE)</f>
        <v>#N/A</v>
      </c>
      <c r="J1244" s="35" t="s">
        <v>2857</v>
      </c>
      <c r="K1244" t="str">
        <f t="shared" si="427"/>
        <v>6796</v>
      </c>
      <c r="L1244" s="36" t="s">
        <v>5229</v>
      </c>
      <c r="M1244" s="35">
        <v>7629</v>
      </c>
      <c r="N1244" s="36" t="s">
        <v>5269</v>
      </c>
      <c r="O1244" s="35" t="s">
        <v>5913</v>
      </c>
      <c r="P1244" s="35" t="s">
        <v>5914</v>
      </c>
    </row>
    <row r="1245" spans="1:16" hidden="1">
      <c r="A1245" s="35">
        <v>6800</v>
      </c>
      <c r="B1245" s="36" t="s">
        <v>2856</v>
      </c>
      <c r="C1245" t="e">
        <f>VLOOKUP(A1245,'TABELA SPOLINE'!A:J,10,FALSE)</f>
        <v>#N/A</v>
      </c>
      <c r="J1245" s="35" t="s">
        <v>2855</v>
      </c>
      <c r="K1245" t="str">
        <f t="shared" si="427"/>
        <v>6800</v>
      </c>
      <c r="L1245" s="36" t="s">
        <v>5230</v>
      </c>
      <c r="M1245" s="35">
        <v>7629</v>
      </c>
      <c r="N1245" s="36" t="s">
        <v>5269</v>
      </c>
      <c r="O1245" s="35" t="s">
        <v>5915</v>
      </c>
      <c r="P1245" s="35" t="s">
        <v>5916</v>
      </c>
    </row>
    <row r="1246" spans="1:16" hidden="1">
      <c r="A1246" s="35">
        <v>6801</v>
      </c>
      <c r="B1246" s="36" t="s">
        <v>2860</v>
      </c>
      <c r="C1246" t="e">
        <f>VLOOKUP(A1246,'TABELA SPOLINE'!A:J,10,FALSE)</f>
        <v>#N/A</v>
      </c>
      <c r="J1246" s="35" t="s">
        <v>2859</v>
      </c>
      <c r="K1246" t="str">
        <f t="shared" si="427"/>
        <v>6801</v>
      </c>
      <c r="L1246" s="36" t="s">
        <v>5231</v>
      </c>
      <c r="M1246" s="35">
        <v>7629</v>
      </c>
      <c r="N1246" s="36" t="s">
        <v>5269</v>
      </c>
      <c r="O1246" s="35" t="s">
        <v>5921</v>
      </c>
      <c r="P1246" s="35" t="s">
        <v>5922</v>
      </c>
    </row>
    <row r="1247" spans="1:16">
      <c r="A1247" s="35">
        <v>7505</v>
      </c>
      <c r="B1247" s="36" t="s">
        <v>2816</v>
      </c>
      <c r="C1247">
        <f>VLOOKUP(A1247,'TABELA SPOLINE'!A:J,10,FALSE)</f>
        <v>51.993000000000002</v>
      </c>
      <c r="D1247">
        <f t="shared" ref="D1247:D1270" si="436">C1247*0.1+C1247</f>
        <v>57.192300000000003</v>
      </c>
      <c r="E1247">
        <f t="shared" ref="E1247:E1270" si="437">ROUNDUP(D1247,2)</f>
        <v>57.199999999999996</v>
      </c>
      <c r="F1247">
        <f t="shared" ref="F1247:F1270" si="438">E1247*0.0975+E1247</f>
        <v>62.776999999999994</v>
      </c>
      <c r="G1247">
        <f t="shared" ref="G1247:G1270" si="439">ROUNDUP(F1247,2)</f>
        <v>62.78</v>
      </c>
      <c r="J1247" s="35" t="s">
        <v>2815</v>
      </c>
      <c r="K1247" t="str">
        <f t="shared" si="427"/>
        <v>7505</v>
      </c>
      <c r="L1247" s="36" t="s">
        <v>5232</v>
      </c>
      <c r="M1247" s="35">
        <v>7629</v>
      </c>
      <c r="N1247" s="36" t="s">
        <v>5269</v>
      </c>
      <c r="O1247" s="35" t="s">
        <v>5923</v>
      </c>
      <c r="P1247" s="35" t="s">
        <v>5924</v>
      </c>
    </row>
    <row r="1248" spans="1:16">
      <c r="A1248" s="35">
        <v>7509</v>
      </c>
      <c r="B1248" s="36" t="s">
        <v>2824</v>
      </c>
      <c r="C1248">
        <f>VLOOKUP(A1248,'TABELA SPOLINE'!A:J,10,FALSE)</f>
        <v>80.56</v>
      </c>
      <c r="D1248">
        <f t="shared" si="436"/>
        <v>88.616</v>
      </c>
      <c r="E1248">
        <f t="shared" si="437"/>
        <v>88.62</v>
      </c>
      <c r="F1248">
        <f t="shared" si="438"/>
        <v>97.260450000000006</v>
      </c>
      <c r="G1248">
        <f t="shared" si="439"/>
        <v>97.27000000000001</v>
      </c>
      <c r="J1248" s="35" t="s">
        <v>2823</v>
      </c>
      <c r="K1248" t="str">
        <f t="shared" si="427"/>
        <v>7509</v>
      </c>
      <c r="L1248" s="36" t="s">
        <v>5233</v>
      </c>
      <c r="M1248" s="35">
        <v>7629</v>
      </c>
      <c r="N1248" s="36" t="s">
        <v>5269</v>
      </c>
      <c r="O1248" s="35" t="s">
        <v>5919</v>
      </c>
      <c r="P1248" s="35" t="s">
        <v>5920</v>
      </c>
    </row>
    <row r="1249" spans="1:16">
      <c r="A1249" s="35">
        <v>7513</v>
      </c>
      <c r="B1249" s="36" t="s">
        <v>2822</v>
      </c>
      <c r="C1249">
        <f>VLOOKUP(A1249,'TABELA SPOLINE'!A:J,10,FALSE)</f>
        <v>99.576400000000007</v>
      </c>
      <c r="D1249">
        <f t="shared" si="436"/>
        <v>109.53404</v>
      </c>
      <c r="E1249">
        <f t="shared" si="437"/>
        <v>109.54</v>
      </c>
      <c r="F1249">
        <f t="shared" si="438"/>
        <v>120.22015</v>
      </c>
      <c r="G1249">
        <f t="shared" si="439"/>
        <v>120.23</v>
      </c>
      <c r="J1249" s="35" t="s">
        <v>2821</v>
      </c>
      <c r="K1249" t="str">
        <f t="shared" si="427"/>
        <v>7513</v>
      </c>
      <c r="L1249" s="36" t="s">
        <v>5234</v>
      </c>
      <c r="M1249" s="35">
        <v>7629</v>
      </c>
      <c r="N1249" s="36" t="s">
        <v>5269</v>
      </c>
      <c r="O1249" s="35" t="s">
        <v>5917</v>
      </c>
      <c r="P1249" s="35" t="s">
        <v>5918</v>
      </c>
    </row>
    <row r="1250" spans="1:16">
      <c r="A1250" s="35">
        <v>7516</v>
      </c>
      <c r="B1250" s="36" t="s">
        <v>2802</v>
      </c>
      <c r="C1250">
        <f>VLOOKUP(A1250,'TABELA SPOLINE'!A:J,10,FALSE)</f>
        <v>79.5</v>
      </c>
      <c r="D1250">
        <f t="shared" si="436"/>
        <v>87.45</v>
      </c>
      <c r="E1250">
        <f t="shared" si="437"/>
        <v>87.45</v>
      </c>
      <c r="F1250">
        <f t="shared" si="438"/>
        <v>95.976375000000004</v>
      </c>
      <c r="G1250">
        <f t="shared" si="439"/>
        <v>95.98</v>
      </c>
      <c r="J1250" s="35" t="s">
        <v>2801</v>
      </c>
      <c r="K1250" t="str">
        <f t="shared" si="427"/>
        <v>7516</v>
      </c>
      <c r="L1250" s="36" t="s">
        <v>5235</v>
      </c>
      <c r="M1250" s="35">
        <v>7629</v>
      </c>
      <c r="N1250" s="36" t="s">
        <v>5269</v>
      </c>
      <c r="O1250" s="35" t="s">
        <v>5917</v>
      </c>
      <c r="P1250" s="35" t="s">
        <v>5918</v>
      </c>
    </row>
    <row r="1251" spans="1:16">
      <c r="A1251" s="35">
        <v>7517</v>
      </c>
      <c r="B1251" s="36" t="s">
        <v>2804</v>
      </c>
      <c r="C1251">
        <f>VLOOKUP(A1251,'TABELA SPOLINE'!A:J,10,FALSE)</f>
        <v>79.5</v>
      </c>
      <c r="D1251">
        <f t="shared" si="436"/>
        <v>87.45</v>
      </c>
      <c r="E1251">
        <f t="shared" si="437"/>
        <v>87.45</v>
      </c>
      <c r="F1251">
        <f t="shared" si="438"/>
        <v>95.976375000000004</v>
      </c>
      <c r="G1251">
        <f t="shared" si="439"/>
        <v>95.98</v>
      </c>
      <c r="J1251" s="35" t="s">
        <v>2803</v>
      </c>
      <c r="K1251" t="str">
        <f t="shared" si="427"/>
        <v>7517</v>
      </c>
      <c r="L1251" s="36" t="s">
        <v>5236</v>
      </c>
      <c r="M1251" s="35">
        <v>7629</v>
      </c>
      <c r="N1251" s="36" t="s">
        <v>5269</v>
      </c>
      <c r="O1251" s="35" t="s">
        <v>5917</v>
      </c>
      <c r="P1251" s="35" t="s">
        <v>5918</v>
      </c>
    </row>
    <row r="1252" spans="1:16">
      <c r="A1252" s="35">
        <v>7518</v>
      </c>
      <c r="B1252" s="36" t="s">
        <v>2806</v>
      </c>
      <c r="C1252">
        <f>VLOOKUP(A1252,'TABELA SPOLINE'!A:J,10,FALSE)</f>
        <v>108.12</v>
      </c>
      <c r="D1252">
        <f t="shared" si="436"/>
        <v>118.932</v>
      </c>
      <c r="E1252">
        <f t="shared" si="437"/>
        <v>118.94000000000001</v>
      </c>
      <c r="F1252">
        <f t="shared" si="438"/>
        <v>130.53665000000001</v>
      </c>
      <c r="G1252">
        <f t="shared" si="439"/>
        <v>130.54</v>
      </c>
      <c r="J1252" s="35" t="s">
        <v>2805</v>
      </c>
      <c r="K1252" t="str">
        <f t="shared" si="427"/>
        <v>7518</v>
      </c>
      <c r="L1252" s="36" t="s">
        <v>5237</v>
      </c>
      <c r="M1252" s="35">
        <v>7629</v>
      </c>
      <c r="N1252" s="36" t="s">
        <v>5269</v>
      </c>
      <c r="O1252" s="35" t="s">
        <v>6000</v>
      </c>
      <c r="P1252" s="35" t="s">
        <v>6001</v>
      </c>
    </row>
    <row r="1253" spans="1:16">
      <c r="A1253" s="35">
        <v>7519</v>
      </c>
      <c r="B1253" s="36" t="s">
        <v>2808</v>
      </c>
      <c r="C1253">
        <f>VLOOKUP(A1253,'TABELA SPOLINE'!A:J,10,FALSE)</f>
        <v>108.12</v>
      </c>
      <c r="D1253">
        <f t="shared" si="436"/>
        <v>118.932</v>
      </c>
      <c r="E1253">
        <f t="shared" si="437"/>
        <v>118.94000000000001</v>
      </c>
      <c r="F1253">
        <f t="shared" si="438"/>
        <v>130.53665000000001</v>
      </c>
      <c r="G1253">
        <f t="shared" si="439"/>
        <v>130.54</v>
      </c>
      <c r="J1253" s="35" t="s">
        <v>2807</v>
      </c>
      <c r="K1253" t="str">
        <f t="shared" si="427"/>
        <v>7519</v>
      </c>
      <c r="L1253" s="36" t="s">
        <v>5238</v>
      </c>
      <c r="M1253" s="35">
        <v>7629</v>
      </c>
      <c r="N1253" s="36" t="s">
        <v>5269</v>
      </c>
      <c r="O1253" s="35" t="s">
        <v>6002</v>
      </c>
      <c r="P1253" s="35" t="s">
        <v>6003</v>
      </c>
    </row>
    <row r="1254" spans="1:16">
      <c r="A1254" s="35">
        <v>7520</v>
      </c>
      <c r="B1254" s="36" t="s">
        <v>2810</v>
      </c>
      <c r="C1254">
        <f>VLOOKUP(A1254,'TABELA SPOLINE'!A:J,10,FALSE)</f>
        <v>94.34</v>
      </c>
      <c r="D1254">
        <f t="shared" si="436"/>
        <v>103.774</v>
      </c>
      <c r="E1254">
        <f t="shared" si="437"/>
        <v>103.78</v>
      </c>
      <c r="F1254">
        <f t="shared" si="438"/>
        <v>113.89855</v>
      </c>
      <c r="G1254">
        <f t="shared" si="439"/>
        <v>113.9</v>
      </c>
      <c r="J1254" s="35" t="s">
        <v>2809</v>
      </c>
      <c r="K1254" t="str">
        <f t="shared" si="427"/>
        <v>7520</v>
      </c>
      <c r="L1254" s="36" t="s">
        <v>5239</v>
      </c>
      <c r="M1254" s="35">
        <v>7629</v>
      </c>
      <c r="N1254" s="36" t="s">
        <v>5269</v>
      </c>
      <c r="O1254" s="35" t="s">
        <v>5324</v>
      </c>
      <c r="P1254" s="35" t="s">
        <v>5325</v>
      </c>
    </row>
    <row r="1255" spans="1:16">
      <c r="A1255" s="35">
        <v>7521</v>
      </c>
      <c r="B1255" s="36" t="s">
        <v>2812</v>
      </c>
      <c r="C1255">
        <f>VLOOKUP(A1255,'TABELA SPOLINE'!A:J,10,FALSE)</f>
        <v>94.34</v>
      </c>
      <c r="D1255">
        <f t="shared" si="436"/>
        <v>103.774</v>
      </c>
      <c r="E1255">
        <f t="shared" si="437"/>
        <v>103.78</v>
      </c>
      <c r="F1255">
        <f t="shared" si="438"/>
        <v>113.89855</v>
      </c>
      <c r="G1255">
        <f t="shared" si="439"/>
        <v>113.9</v>
      </c>
      <c r="J1255" s="35" t="s">
        <v>2811</v>
      </c>
      <c r="K1255" t="str">
        <f t="shared" si="427"/>
        <v>7521</v>
      </c>
      <c r="L1255" s="36" t="s">
        <v>5240</v>
      </c>
      <c r="M1255" s="35">
        <v>7629</v>
      </c>
      <c r="N1255" s="36" t="s">
        <v>5269</v>
      </c>
      <c r="O1255" s="35" t="s">
        <v>6004</v>
      </c>
      <c r="P1255" s="35" t="s">
        <v>6005</v>
      </c>
    </row>
    <row r="1256" spans="1:16">
      <c r="A1256" s="35">
        <v>7521</v>
      </c>
      <c r="B1256" s="36" t="s">
        <v>2827</v>
      </c>
      <c r="C1256">
        <f>VLOOKUP(A1256,'TABELA SPOLINE'!A:J,10,FALSE)</f>
        <v>94.34</v>
      </c>
      <c r="D1256">
        <f t="shared" si="436"/>
        <v>103.774</v>
      </c>
      <c r="E1256">
        <f t="shared" si="437"/>
        <v>103.78</v>
      </c>
      <c r="F1256">
        <f t="shared" si="438"/>
        <v>113.89855</v>
      </c>
      <c r="G1256">
        <f t="shared" si="439"/>
        <v>113.9</v>
      </c>
      <c r="J1256" s="35" t="s">
        <v>2811</v>
      </c>
      <c r="K1256" t="str">
        <f t="shared" si="427"/>
        <v>7521</v>
      </c>
      <c r="L1256" s="36" t="s">
        <v>5241</v>
      </c>
      <c r="M1256" s="35">
        <v>7629</v>
      </c>
      <c r="N1256" s="36" t="s">
        <v>5269</v>
      </c>
      <c r="O1256" s="35" t="s">
        <v>6006</v>
      </c>
      <c r="P1256" s="35" t="s">
        <v>6007</v>
      </c>
    </row>
    <row r="1257" spans="1:16">
      <c r="A1257" s="35">
        <v>7522</v>
      </c>
      <c r="B1257" s="36" t="s">
        <v>2818</v>
      </c>
      <c r="C1257">
        <f>VLOOKUP(A1257,'TABELA SPOLINE'!A:J,10,FALSE)</f>
        <v>126.14</v>
      </c>
      <c r="D1257">
        <f t="shared" si="436"/>
        <v>138.75399999999999</v>
      </c>
      <c r="E1257">
        <f t="shared" si="437"/>
        <v>138.76</v>
      </c>
      <c r="F1257">
        <f t="shared" si="438"/>
        <v>152.28909999999999</v>
      </c>
      <c r="G1257">
        <f t="shared" si="439"/>
        <v>152.29</v>
      </c>
      <c r="J1257" s="35" t="s">
        <v>2817</v>
      </c>
      <c r="K1257" t="str">
        <f t="shared" si="427"/>
        <v>7522</v>
      </c>
      <c r="L1257" s="36" t="s">
        <v>5242</v>
      </c>
      <c r="M1257" s="35">
        <v>7629</v>
      </c>
      <c r="N1257" s="36" t="s">
        <v>5269</v>
      </c>
      <c r="O1257" s="35" t="s">
        <v>6008</v>
      </c>
      <c r="P1257" s="35" t="s">
        <v>6009</v>
      </c>
    </row>
    <row r="1258" spans="1:16">
      <c r="A1258" s="35">
        <v>7524</v>
      </c>
      <c r="B1258" s="36" t="s">
        <v>2820</v>
      </c>
      <c r="C1258">
        <f>VLOOKUP(A1258,'TABELA SPOLINE'!A:J,10,FALSE)</f>
        <v>147.34</v>
      </c>
      <c r="D1258">
        <f t="shared" si="436"/>
        <v>162.07400000000001</v>
      </c>
      <c r="E1258">
        <f t="shared" si="437"/>
        <v>162.07999999999998</v>
      </c>
      <c r="F1258">
        <f t="shared" si="438"/>
        <v>177.88279999999997</v>
      </c>
      <c r="G1258">
        <f t="shared" si="439"/>
        <v>177.89</v>
      </c>
      <c r="J1258" s="35" t="s">
        <v>2819</v>
      </c>
      <c r="K1258" t="str">
        <f t="shared" si="427"/>
        <v>7524</v>
      </c>
      <c r="L1258" s="36" t="s">
        <v>5243</v>
      </c>
      <c r="M1258" s="35">
        <v>7629</v>
      </c>
      <c r="N1258" s="36" t="s">
        <v>5269</v>
      </c>
      <c r="O1258" s="35" t="s">
        <v>5538</v>
      </c>
      <c r="P1258" s="35" t="s">
        <v>5539</v>
      </c>
    </row>
    <row r="1259" spans="1:16">
      <c r="A1259" s="35">
        <v>7780</v>
      </c>
      <c r="B1259" s="36" t="s">
        <v>2986</v>
      </c>
      <c r="C1259">
        <f>VLOOKUP(A1259,'TABELA SPOLINE'!A:J,10,FALSE)</f>
        <v>165.59108000000001</v>
      </c>
      <c r="D1259">
        <f t="shared" si="436"/>
        <v>182.15018800000001</v>
      </c>
      <c r="E1259">
        <f t="shared" si="437"/>
        <v>182.16</v>
      </c>
      <c r="F1259">
        <f t="shared" si="438"/>
        <v>199.92060000000001</v>
      </c>
      <c r="G1259">
        <f t="shared" si="439"/>
        <v>199.92999999999998</v>
      </c>
      <c r="J1259" s="35" t="s">
        <v>2985</v>
      </c>
      <c r="K1259" t="str">
        <f t="shared" si="427"/>
        <v>7780</v>
      </c>
      <c r="L1259" s="36" t="s">
        <v>5244</v>
      </c>
      <c r="M1259" s="35">
        <v>7629</v>
      </c>
      <c r="N1259" s="36" t="s">
        <v>5269</v>
      </c>
      <c r="O1259" s="35" t="s">
        <v>6010</v>
      </c>
      <c r="P1259" s="35" t="s">
        <v>6011</v>
      </c>
    </row>
    <row r="1260" spans="1:16">
      <c r="A1260" s="35">
        <v>7826</v>
      </c>
      <c r="B1260" s="36" t="s">
        <v>2937</v>
      </c>
      <c r="C1260">
        <f>VLOOKUP(A1260,'TABELA SPOLINE'!A:J,10,FALSE)</f>
        <v>113.58324</v>
      </c>
      <c r="D1260">
        <f t="shared" si="436"/>
        <v>124.941564</v>
      </c>
      <c r="E1260">
        <f t="shared" si="437"/>
        <v>124.95</v>
      </c>
      <c r="F1260">
        <f t="shared" si="438"/>
        <v>137.13262499999999</v>
      </c>
      <c r="G1260">
        <f t="shared" si="439"/>
        <v>137.13999999999999</v>
      </c>
      <c r="J1260" s="35" t="s">
        <v>2936</v>
      </c>
      <c r="K1260" t="str">
        <f t="shared" si="427"/>
        <v>7826</v>
      </c>
      <c r="L1260" s="36" t="s">
        <v>5245</v>
      </c>
      <c r="M1260" s="35">
        <v>7629</v>
      </c>
      <c r="N1260" s="36" t="s">
        <v>5269</v>
      </c>
      <c r="O1260" s="35" t="s">
        <v>5650</v>
      </c>
      <c r="P1260" s="35" t="s">
        <v>5651</v>
      </c>
    </row>
    <row r="1261" spans="1:16">
      <c r="A1261" s="35">
        <v>7837</v>
      </c>
      <c r="B1261" s="36" t="s">
        <v>2972</v>
      </c>
      <c r="C1261">
        <f>VLOOKUP(A1261,'TABELA SPOLINE'!A:J,10,FALSE)</f>
        <v>172.82346000000001</v>
      </c>
      <c r="D1261">
        <f t="shared" si="436"/>
        <v>190.105806</v>
      </c>
      <c r="E1261">
        <f t="shared" si="437"/>
        <v>190.10999999999999</v>
      </c>
      <c r="F1261">
        <f t="shared" si="438"/>
        <v>208.64572499999997</v>
      </c>
      <c r="G1261">
        <f t="shared" si="439"/>
        <v>208.64999999999998</v>
      </c>
      <c r="J1261" s="35" t="s">
        <v>2971</v>
      </c>
      <c r="K1261" t="str">
        <f t="shared" si="427"/>
        <v>7837</v>
      </c>
      <c r="L1261" s="36" t="s">
        <v>5246</v>
      </c>
      <c r="M1261" s="35">
        <v>7629</v>
      </c>
      <c r="N1261" s="36" t="s">
        <v>5269</v>
      </c>
      <c r="O1261" s="35" t="s">
        <v>6012</v>
      </c>
      <c r="P1261" s="35" t="s">
        <v>6013</v>
      </c>
    </row>
    <row r="1262" spans="1:16">
      <c r="A1262" s="35">
        <v>7838</v>
      </c>
      <c r="B1262" s="36" t="s">
        <v>2949</v>
      </c>
      <c r="C1262">
        <f>VLOOKUP(A1262,'TABELA SPOLINE'!A:J,10,FALSE)</f>
        <v>207.38815200000002</v>
      </c>
      <c r="D1262">
        <f t="shared" si="436"/>
        <v>228.12696720000002</v>
      </c>
      <c r="E1262">
        <f t="shared" si="437"/>
        <v>228.13</v>
      </c>
      <c r="F1262">
        <f t="shared" si="438"/>
        <v>250.37267499999999</v>
      </c>
      <c r="G1262">
        <f t="shared" si="439"/>
        <v>250.38</v>
      </c>
      <c r="J1262" s="35" t="s">
        <v>2948</v>
      </c>
      <c r="K1262" t="str">
        <f t="shared" si="427"/>
        <v>7838</v>
      </c>
      <c r="L1262" s="36" t="s">
        <v>5247</v>
      </c>
      <c r="M1262" s="35">
        <v>7629</v>
      </c>
      <c r="N1262" s="36" t="s">
        <v>5269</v>
      </c>
      <c r="O1262" s="35" t="s">
        <v>5650</v>
      </c>
      <c r="P1262" s="35" t="s">
        <v>5651</v>
      </c>
    </row>
    <row r="1263" spans="1:16">
      <c r="A1263" s="35">
        <v>7880</v>
      </c>
      <c r="B1263" s="36" t="s">
        <v>2968</v>
      </c>
      <c r="C1263">
        <f>VLOOKUP(A1263,'TABELA SPOLINE'!A:J,10,FALSE)</f>
        <v>208.20202</v>
      </c>
      <c r="D1263">
        <f t="shared" si="436"/>
        <v>229.022222</v>
      </c>
      <c r="E1263">
        <f t="shared" si="437"/>
        <v>229.03</v>
      </c>
      <c r="F1263">
        <f t="shared" si="438"/>
        <v>251.36042499999999</v>
      </c>
      <c r="G1263">
        <f t="shared" si="439"/>
        <v>251.37</v>
      </c>
      <c r="J1263" s="35" t="s">
        <v>2967</v>
      </c>
      <c r="K1263" t="str">
        <f t="shared" si="427"/>
        <v>7880</v>
      </c>
      <c r="L1263" s="36" t="s">
        <v>5248</v>
      </c>
      <c r="M1263" s="35">
        <v>7629</v>
      </c>
      <c r="N1263" s="36" t="s">
        <v>5269</v>
      </c>
      <c r="O1263" s="35" t="s">
        <v>5897</v>
      </c>
      <c r="P1263" s="35" t="s">
        <v>5898</v>
      </c>
    </row>
    <row r="1264" spans="1:16">
      <c r="A1264" s="35">
        <v>7885</v>
      </c>
      <c r="B1264" s="36" t="s">
        <v>2982</v>
      </c>
      <c r="C1264">
        <f>VLOOKUP(A1264,'TABELA SPOLINE'!A:J,10,FALSE)</f>
        <v>105.15836</v>
      </c>
      <c r="D1264">
        <f t="shared" si="436"/>
        <v>115.67419599999999</v>
      </c>
      <c r="E1264">
        <f t="shared" si="437"/>
        <v>115.68</v>
      </c>
      <c r="F1264">
        <f t="shared" si="438"/>
        <v>126.95880000000001</v>
      </c>
      <c r="G1264">
        <f t="shared" si="439"/>
        <v>126.96000000000001</v>
      </c>
      <c r="J1264" s="35" t="s">
        <v>2981</v>
      </c>
      <c r="K1264" t="str">
        <f t="shared" si="427"/>
        <v>7885</v>
      </c>
      <c r="L1264" s="36" t="s">
        <v>5249</v>
      </c>
      <c r="M1264" s="35">
        <v>7629</v>
      </c>
      <c r="N1264" s="36" t="s">
        <v>5269</v>
      </c>
      <c r="O1264" s="35" t="s">
        <v>6014</v>
      </c>
      <c r="P1264" s="35" t="s">
        <v>6015</v>
      </c>
    </row>
    <row r="1265" spans="1:16">
      <c r="A1265" s="35">
        <v>7932</v>
      </c>
      <c r="B1265" s="36" t="s">
        <v>2966</v>
      </c>
      <c r="C1265">
        <f>VLOOKUP(A1265,'TABELA SPOLINE'!A:J,10,FALSE)</f>
        <v>211.19651999999999</v>
      </c>
      <c r="D1265">
        <f t="shared" si="436"/>
        <v>232.31617199999999</v>
      </c>
      <c r="E1265">
        <f t="shared" si="437"/>
        <v>232.32</v>
      </c>
      <c r="F1265">
        <f t="shared" si="438"/>
        <v>254.97119999999998</v>
      </c>
      <c r="G1265">
        <f t="shared" si="439"/>
        <v>254.98</v>
      </c>
      <c r="J1265" s="35" t="s">
        <v>2965</v>
      </c>
      <c r="K1265" t="str">
        <f t="shared" si="427"/>
        <v>7932</v>
      </c>
      <c r="L1265" s="36" t="s">
        <v>5250</v>
      </c>
      <c r="M1265" s="35">
        <v>7629</v>
      </c>
      <c r="N1265" s="36" t="s">
        <v>5269</v>
      </c>
      <c r="O1265" s="35" t="s">
        <v>6016</v>
      </c>
      <c r="P1265" s="35" t="s">
        <v>6017</v>
      </c>
    </row>
    <row r="1266" spans="1:16">
      <c r="A1266" s="35">
        <v>7946</v>
      </c>
      <c r="B1266" s="36" t="s">
        <v>2941</v>
      </c>
      <c r="C1266">
        <f>VLOOKUP(A1266,'TABELA SPOLINE'!A:J,10,FALSE)</f>
        <v>214.72632000000002</v>
      </c>
      <c r="D1266">
        <f t="shared" si="436"/>
        <v>236.19895200000002</v>
      </c>
      <c r="E1266">
        <f t="shared" si="437"/>
        <v>236.2</v>
      </c>
      <c r="F1266">
        <f t="shared" si="438"/>
        <v>259.22949999999997</v>
      </c>
      <c r="G1266">
        <f t="shared" si="439"/>
        <v>259.23</v>
      </c>
      <c r="J1266" s="35" t="s">
        <v>2940</v>
      </c>
      <c r="K1266" t="str">
        <f t="shared" si="427"/>
        <v>7946</v>
      </c>
      <c r="L1266" s="36" t="s">
        <v>5251</v>
      </c>
      <c r="M1266" s="35">
        <v>7629</v>
      </c>
      <c r="N1266" s="36" t="s">
        <v>5269</v>
      </c>
      <c r="O1266" s="35" t="s">
        <v>5562</v>
      </c>
      <c r="P1266" s="35" t="s">
        <v>5563</v>
      </c>
    </row>
    <row r="1267" spans="1:16">
      <c r="A1267" s="35">
        <v>7976</v>
      </c>
      <c r="B1267" s="36" t="s">
        <v>2958</v>
      </c>
      <c r="C1267">
        <f>VLOOKUP(A1267,'TABELA SPOLINE'!A:J,10,FALSE)</f>
        <v>193.81040000000002</v>
      </c>
      <c r="D1267">
        <f t="shared" si="436"/>
        <v>213.19144000000003</v>
      </c>
      <c r="E1267">
        <f t="shared" si="437"/>
        <v>213.2</v>
      </c>
      <c r="F1267">
        <f t="shared" si="438"/>
        <v>233.98699999999999</v>
      </c>
      <c r="G1267">
        <f t="shared" si="439"/>
        <v>233.98999999999998</v>
      </c>
      <c r="J1267" s="35" t="s">
        <v>2957</v>
      </c>
      <c r="K1267" t="str">
        <f t="shared" si="427"/>
        <v>7976</v>
      </c>
      <c r="L1267" s="36" t="s">
        <v>5252</v>
      </c>
      <c r="M1267" s="35">
        <v>7629</v>
      </c>
      <c r="N1267" s="36" t="s">
        <v>5269</v>
      </c>
      <c r="O1267" s="35" t="s">
        <v>6018</v>
      </c>
      <c r="P1267" s="35" t="s">
        <v>6019</v>
      </c>
    </row>
    <row r="1268" spans="1:16">
      <c r="A1268" s="35">
        <v>7981</v>
      </c>
      <c r="B1268" s="36" t="s">
        <v>2978</v>
      </c>
      <c r="C1268">
        <f>VLOOKUP(A1268,'TABELA SPOLINE'!A:J,10,FALSE)</f>
        <v>210.08034000000001</v>
      </c>
      <c r="D1268">
        <f t="shared" si="436"/>
        <v>231.08837400000002</v>
      </c>
      <c r="E1268">
        <f t="shared" si="437"/>
        <v>231.09</v>
      </c>
      <c r="F1268">
        <f t="shared" si="438"/>
        <v>253.621275</v>
      </c>
      <c r="G1268">
        <f t="shared" si="439"/>
        <v>253.63</v>
      </c>
      <c r="J1268" s="35" t="s">
        <v>2977</v>
      </c>
      <c r="K1268" t="str">
        <f t="shared" si="427"/>
        <v>7981</v>
      </c>
      <c r="L1268" s="36" t="s">
        <v>5253</v>
      </c>
      <c r="M1268" s="35">
        <v>7629</v>
      </c>
      <c r="N1268" s="36" t="s">
        <v>5269</v>
      </c>
      <c r="O1268" s="35" t="s">
        <v>5879</v>
      </c>
      <c r="P1268" s="35" t="s">
        <v>5880</v>
      </c>
    </row>
    <row r="1269" spans="1:16">
      <c r="A1269" s="35">
        <v>7987</v>
      </c>
      <c r="B1269" s="36" t="s">
        <v>2976</v>
      </c>
      <c r="C1269">
        <f>VLOOKUP(A1269,'TABELA SPOLINE'!A:J,10,FALSE)</f>
        <v>132.82436000000001</v>
      </c>
      <c r="D1269">
        <f t="shared" si="436"/>
        <v>146.106796</v>
      </c>
      <c r="E1269">
        <f t="shared" si="437"/>
        <v>146.10999999999999</v>
      </c>
      <c r="F1269">
        <f t="shared" si="438"/>
        <v>160.35572499999998</v>
      </c>
      <c r="G1269">
        <f t="shared" si="439"/>
        <v>160.35999999999999</v>
      </c>
      <c r="J1269" s="35" t="s">
        <v>2975</v>
      </c>
      <c r="K1269" t="str">
        <f t="shared" si="427"/>
        <v>7987</v>
      </c>
      <c r="L1269" s="36" t="s">
        <v>5254</v>
      </c>
      <c r="M1269" s="35">
        <v>7629</v>
      </c>
      <c r="N1269" s="36" t="s">
        <v>5269</v>
      </c>
      <c r="O1269" s="35" t="s">
        <v>6020</v>
      </c>
      <c r="P1269" s="35" t="s">
        <v>6021</v>
      </c>
    </row>
    <row r="1270" spans="1:16">
      <c r="A1270" s="35">
        <v>7997</v>
      </c>
      <c r="B1270" s="36" t="s">
        <v>2980</v>
      </c>
      <c r="C1270">
        <f>VLOOKUP(A1270,'TABELA SPOLINE'!A:J,10,FALSE)</f>
        <v>230.48004</v>
      </c>
      <c r="D1270">
        <f t="shared" si="436"/>
        <v>253.52804399999999</v>
      </c>
      <c r="E1270">
        <f t="shared" si="437"/>
        <v>253.53</v>
      </c>
      <c r="F1270">
        <f t="shared" si="438"/>
        <v>278.24917499999998</v>
      </c>
      <c r="G1270">
        <f t="shared" si="439"/>
        <v>278.25</v>
      </c>
      <c r="J1270" s="35" t="s">
        <v>2979</v>
      </c>
      <c r="K1270" t="str">
        <f t="shared" si="427"/>
        <v>7997</v>
      </c>
      <c r="L1270" s="36" t="s">
        <v>5255</v>
      </c>
      <c r="M1270" s="35">
        <v>7629</v>
      </c>
      <c r="N1270" s="36" t="s">
        <v>5269</v>
      </c>
      <c r="O1270" s="35" t="s">
        <v>6022</v>
      </c>
      <c r="P1270" s="35" t="s">
        <v>6023</v>
      </c>
    </row>
    <row r="1271" spans="1:16" hidden="1">
      <c r="A1271" s="35" t="s">
        <v>169</v>
      </c>
      <c r="B1271" s="36" t="s">
        <v>2830</v>
      </c>
      <c r="C1271" t="e">
        <f>VLOOKUP(A1271,'TABELA SPOLINE'!A:J,10,FALSE)</f>
        <v>#N/A</v>
      </c>
      <c r="J1271" s="35"/>
      <c r="K1271" t="str">
        <f t="shared" si="427"/>
        <v/>
      </c>
      <c r="L1271" s="36" t="s">
        <v>5256</v>
      </c>
      <c r="M1271" s="35">
        <v>7629</v>
      </c>
      <c r="N1271" s="36" t="s">
        <v>5269</v>
      </c>
      <c r="O1271" s="35" t="s">
        <v>6024</v>
      </c>
      <c r="P1271" s="35" t="s">
        <v>6025</v>
      </c>
    </row>
    <row r="1272" spans="1:16" hidden="1">
      <c r="A1272" s="35" t="s">
        <v>169</v>
      </c>
      <c r="B1272" s="36" t="s">
        <v>2879</v>
      </c>
      <c r="C1272" t="e">
        <f>VLOOKUP(A1272,'TABELA SPOLINE'!A:J,10,FALSE)</f>
        <v>#N/A</v>
      </c>
      <c r="J1272" s="35"/>
      <c r="K1272" t="str">
        <f t="shared" si="427"/>
        <v/>
      </c>
      <c r="L1272" s="36" t="s">
        <v>5257</v>
      </c>
      <c r="M1272" s="35">
        <v>7629</v>
      </c>
      <c r="N1272" s="36" t="s">
        <v>5269</v>
      </c>
      <c r="O1272" s="35" t="s">
        <v>6026</v>
      </c>
      <c r="P1272" s="35" t="s">
        <v>6027</v>
      </c>
    </row>
    <row r="1273" spans="1:16" hidden="1">
      <c r="A1273" s="35" t="s">
        <v>169</v>
      </c>
      <c r="B1273" s="36" t="s">
        <v>2963</v>
      </c>
      <c r="C1273" t="e">
        <f>VLOOKUP(A1273,'TABELA SPOLINE'!A:J,10,FALSE)</f>
        <v>#N/A</v>
      </c>
      <c r="J1273" s="35"/>
      <c r="K1273" t="str">
        <f t="shared" si="427"/>
        <v/>
      </c>
      <c r="L1273" s="36" t="s">
        <v>819</v>
      </c>
      <c r="M1273" s="35">
        <v>7629</v>
      </c>
      <c r="N1273" s="36" t="s">
        <v>5269</v>
      </c>
      <c r="O1273" s="35" t="s">
        <v>6028</v>
      </c>
      <c r="P1273" s="35" t="s">
        <v>6029</v>
      </c>
    </row>
    <row r="1274" spans="1:16" hidden="1">
      <c r="A1274" s="35" t="s">
        <v>2969</v>
      </c>
      <c r="B1274" s="36" t="s">
        <v>2970</v>
      </c>
      <c r="C1274" t="e">
        <f>VLOOKUP(A1274,'TABELA SPOLINE'!A:J,10,FALSE)</f>
        <v>#N/A</v>
      </c>
      <c r="J1274" s="35" t="s">
        <v>2969</v>
      </c>
      <c r="K1274" t="str">
        <f t="shared" si="427"/>
        <v>1125/3</v>
      </c>
      <c r="L1274" s="36" t="s">
        <v>5258</v>
      </c>
      <c r="M1274" s="35">
        <v>7629</v>
      </c>
      <c r="N1274" s="36" t="s">
        <v>5269</v>
      </c>
      <c r="O1274" s="35" t="s">
        <v>6030</v>
      </c>
      <c r="P1274" s="35" t="s">
        <v>6031</v>
      </c>
    </row>
    <row r="1275" spans="1:16" hidden="1">
      <c r="A1275" s="35" t="s">
        <v>2934</v>
      </c>
      <c r="B1275" s="36" t="s">
        <v>2935</v>
      </c>
      <c r="C1275" t="e">
        <f>VLOOKUP(A1275,'TABELA SPOLINE'!A:J,10,FALSE)</f>
        <v>#N/A</v>
      </c>
      <c r="J1275" s="35" t="s">
        <v>2934</v>
      </c>
      <c r="K1275" t="str">
        <f t="shared" si="427"/>
        <v>1218/40</v>
      </c>
      <c r="L1275" s="36" t="s">
        <v>5259</v>
      </c>
      <c r="M1275" s="35">
        <v>7629</v>
      </c>
      <c r="N1275" s="36" t="s">
        <v>5269</v>
      </c>
      <c r="O1275" s="35" t="s">
        <v>6032</v>
      </c>
      <c r="P1275" s="35" t="s">
        <v>6033</v>
      </c>
    </row>
    <row r="1276" spans="1:16" hidden="1">
      <c r="A1276" s="35" t="s">
        <v>2757</v>
      </c>
      <c r="B1276" s="36" t="s">
        <v>2758</v>
      </c>
      <c r="C1276" t="e">
        <f>VLOOKUP(A1276,'TABELA SPOLINE'!A:J,10,FALSE)</f>
        <v>#N/A</v>
      </c>
      <c r="J1276" s="35" t="s">
        <v>2757</v>
      </c>
      <c r="K1276" t="str">
        <f t="shared" si="427"/>
        <v>2012/40</v>
      </c>
      <c r="L1276" s="36" t="s">
        <v>5260</v>
      </c>
      <c r="M1276" s="35">
        <v>7629</v>
      </c>
      <c r="N1276" s="36" t="s">
        <v>5269</v>
      </c>
      <c r="O1276" s="35" t="s">
        <v>6034</v>
      </c>
      <c r="P1276" s="35" t="s">
        <v>6035</v>
      </c>
    </row>
    <row r="1277" spans="1:16" hidden="1">
      <c r="A1277" s="35" t="s">
        <v>2791</v>
      </c>
      <c r="B1277" s="36" t="s">
        <v>2792</v>
      </c>
      <c r="C1277" t="e">
        <f>VLOOKUP(A1277,'TABELA SPOLINE'!A:J,10,FALSE)</f>
        <v>#N/A</v>
      </c>
      <c r="J1277" s="35" t="s">
        <v>2791</v>
      </c>
      <c r="K1277" t="str">
        <f t="shared" si="427"/>
        <v>499/1</v>
      </c>
      <c r="L1277" s="36" t="s">
        <v>5261</v>
      </c>
      <c r="M1277" s="35">
        <v>7629</v>
      </c>
      <c r="N1277" s="36" t="s">
        <v>5269</v>
      </c>
      <c r="O1277" s="35" t="s">
        <v>6036</v>
      </c>
      <c r="P1277" s="35" t="s">
        <v>6037</v>
      </c>
    </row>
    <row r="1278" spans="1:16" hidden="1">
      <c r="A1278" s="35" t="s">
        <v>2752</v>
      </c>
      <c r="B1278" s="36" t="s">
        <v>2753</v>
      </c>
      <c r="C1278" t="e">
        <f>VLOOKUP(A1278,'TABELA SPOLINE'!A:J,10,FALSE)</f>
        <v>#N/A</v>
      </c>
      <c r="J1278" s="35" t="s">
        <v>2752</v>
      </c>
      <c r="K1278" t="str">
        <f t="shared" si="427"/>
        <v>778/1</v>
      </c>
      <c r="L1278" s="36" t="s">
        <v>5262</v>
      </c>
      <c r="M1278" s="35">
        <v>7629</v>
      </c>
      <c r="N1278" s="36" t="s">
        <v>5269</v>
      </c>
      <c r="O1278" s="35" t="s">
        <v>6038</v>
      </c>
      <c r="P1278" s="35" t="s">
        <v>6039</v>
      </c>
    </row>
    <row r="1279" spans="1:16" hidden="1">
      <c r="A1279" s="35" t="s">
        <v>2754</v>
      </c>
      <c r="B1279" s="36" t="s">
        <v>2755</v>
      </c>
      <c r="C1279" t="e">
        <f>VLOOKUP(A1279,'TABELA SPOLINE'!A:J,10,FALSE)</f>
        <v>#N/A</v>
      </c>
      <c r="J1279" s="35" t="s">
        <v>2754</v>
      </c>
      <c r="K1279" t="str">
        <f t="shared" si="427"/>
        <v>820/1</v>
      </c>
      <c r="L1279" s="36" t="s">
        <v>5263</v>
      </c>
      <c r="M1279" s="35">
        <v>7629</v>
      </c>
      <c r="N1279" s="36" t="s">
        <v>5269</v>
      </c>
      <c r="O1279" s="35" t="s">
        <v>6040</v>
      </c>
      <c r="P1279" s="35" t="s">
        <v>6041</v>
      </c>
    </row>
    <row r="1280" spans="1:16" hidden="1">
      <c r="A1280" s="35" t="s">
        <v>2754</v>
      </c>
      <c r="B1280" s="36" t="s">
        <v>2756</v>
      </c>
      <c r="C1280" t="e">
        <f>VLOOKUP(A1280,'TABELA SPOLINE'!A:J,10,FALSE)</f>
        <v>#N/A</v>
      </c>
      <c r="J1280" s="35" t="s">
        <v>2754</v>
      </c>
      <c r="K1280" t="str">
        <f t="shared" si="427"/>
        <v>820/1</v>
      </c>
      <c r="L1280" s="36" t="s">
        <v>5264</v>
      </c>
      <c r="M1280" s="35">
        <v>7629</v>
      </c>
      <c r="N1280" s="36" t="s">
        <v>5269</v>
      </c>
      <c r="O1280" s="35" t="s">
        <v>5296</v>
      </c>
      <c r="P1280" s="35" t="s">
        <v>5297</v>
      </c>
    </row>
  </sheetData>
  <autoFilter ref="A1:J1280" xr:uid="{81447139-904A-BA4B-AC58-99C237082154}">
    <filterColumn colId="2">
      <filters>
        <filter val="100,17"/>
        <filter val="100,7"/>
        <filter val="100,86006"/>
        <filter val="101,5056"/>
        <filter val="105,15836"/>
        <filter val="105,5124"/>
        <filter val="105,735"/>
        <filter val="107,961"/>
        <filter val="108,12"/>
        <filter val="109,5192"/>
        <filter val="110,187"/>
        <filter val="113,526"/>
        <filter val="113,58324"/>
        <filter val="114,639"/>
        <filter val="116,865"/>
        <filter val="118,8684"/>
        <filter val="120,204"/>
        <filter val="121,317"/>
        <filter val="122,43"/>
        <filter val="124,656"/>
        <filter val="125,6577"/>
        <filter val="125,769"/>
        <filter val="126,14"/>
        <filter val="126,882"/>
        <filter val="127,4332"/>
        <filter val="127,995"/>
        <filter val="129,5532"/>
        <filter val="130,1097"/>
        <filter val="131,334"/>
        <filter val="132,447"/>
        <filter val="132,82436"/>
        <filter val="134,673"/>
        <filter val="137,5668"/>
        <filter val="139,125"/>
        <filter val="140,238"/>
        <filter val="142,464"/>
        <filter val="143,577"/>
        <filter val="144,69"/>
        <filter val="145,5804"/>
        <filter val="146,916"/>
        <filter val="147,34"/>
        <filter val="148,029"/>
        <filter val="149,5872"/>
        <filter val="150,255"/>
        <filter val="150,9228"/>
        <filter val="152,481"/>
        <filter val="153,594"/>
        <filter val="158,9364"/>
        <filter val="159,159"/>
        <filter val="160,272"/>
        <filter val="161,385"/>
        <filter val="161,6076"/>
        <filter val="165,59108"/>
        <filter val="165,837"/>
        <filter val="166,95"/>
        <filter val="170,9568"/>
        <filter val="171,402"/>
        <filter val="172,82346"/>
        <filter val="173,628"/>
        <filter val="177,6348"/>
        <filter val="178,08"/>
        <filter val="180,306"/>
        <filter val="184,3128"/>
        <filter val="185,871"/>
        <filter val="190,9908"/>
        <filter val="192,3264"/>
        <filter val="192,549"/>
        <filter val="193,8104"/>
        <filter val="194,775"/>
        <filter val="195,888"/>
        <filter val="199,227"/>
        <filter val="200,34"/>
        <filter val="204,792"/>
        <filter val="205,905"/>
        <filter val="207,388152"/>
        <filter val="208,20202"/>
        <filter val="208,3536"/>
        <filter val="210,08034"/>
        <filter val="211,19652"/>
        <filter val="212,583"/>
        <filter val="213,696"/>
        <filter val="214,72632"/>
        <filter val="217,035"/>
        <filter val="221,487"/>
        <filter val="222,6"/>
        <filter val="228,165"/>
        <filter val="230,391"/>
        <filter val="230,48004"/>
        <filter val="231,0588"/>
        <filter val="233,73"/>
        <filter val="235,0656"/>
        <filter val="238,182"/>
        <filter val="239,295"/>
        <filter val="240,408"/>
        <filter val="243,1040193"/>
        <filter val="243,747"/>
        <filter val="244,86"/>
        <filter val="247,086"/>
        <filter val="263,781"/>
        <filter val="267,12"/>
        <filter val="271,572"/>
        <filter val="284,928"/>
        <filter val="291,606"/>
        <filter val="293,832"/>
        <filter val="298,284"/>
        <filter val="299,397"/>
        <filter val="300,4994"/>
        <filter val="301,623"/>
        <filter val="307,188"/>
        <filter val="311,64"/>
        <filter val="319,431"/>
        <filter val="320,544"/>
        <filter val="324,996"/>
        <filter val="327,222"/>
        <filter val="338,352"/>
        <filter val="349,482"/>
        <filter val="349,9272"/>
        <filter val="363,951"/>
        <filter val="366,177"/>
        <filter val="368,403"/>
        <filter val="368,6256"/>
        <filter val="377,307"/>
        <filter val="379,533"/>
        <filter val="383,985"/>
        <filter val="389,55"/>
        <filter val="391,776"/>
        <filter val="400,68"/>
        <filter val="401,74"/>
        <filter val="43,407"/>
        <filter val="437,409"/>
        <filter val="446,313"/>
        <filter val="455,4396"/>
        <filter val="463,008"/>
        <filter val="477,477"/>
        <filter val="495,285"/>
        <filter val="50,085"/>
        <filter val="51,993"/>
        <filter val="510,867"/>
        <filter val="517,545"/>
        <filter val="52,311"/>
        <filter val="521,997"/>
        <filter val="524,8908"/>
        <filter val="56,763"/>
        <filter val="578,76"/>
        <filter val="608,811"/>
        <filter val="621,054"/>
        <filter val="622,167"/>
        <filter val="65,667"/>
        <filter val="657,783"/>
        <filter val="694,512"/>
        <filter val="746,6004"/>
        <filter val="76,797"/>
        <filter val="78,8004"/>
        <filter val="789,3396"/>
        <filter val="79,5"/>
        <filter val="80,56"/>
        <filter val="81,249"/>
        <filter val="84,588"/>
        <filter val="87,927"/>
        <filter val="91,266"/>
        <filter val="92,379"/>
        <filter val="94,34"/>
        <filter val="94,605"/>
        <filter val="97,4988"/>
        <filter val="99,057"/>
        <filter val="99,5764"/>
      </filters>
    </filterColumn>
    <sortState xmlns:xlrd2="http://schemas.microsoft.com/office/spreadsheetml/2017/richdata2" ref="A2:J1280">
      <sortCondition ref="A1:A1280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30E9-A2D0-3E4A-9E62-E8D7FE76CF5E}">
  <dimension ref="A1:J552"/>
  <sheetViews>
    <sheetView tabSelected="1" workbookViewId="0">
      <selection activeCell="D45" sqref="D45"/>
    </sheetView>
  </sheetViews>
  <sheetFormatPr baseColWidth="10" defaultRowHeight="15"/>
  <cols>
    <col min="1" max="1" width="7.33203125" style="45" bestFit="1" customWidth="1"/>
    <col min="2" max="2" width="15.33203125" style="48" bestFit="1" customWidth="1"/>
    <col min="3" max="3" width="18" style="45" bestFit="1" customWidth="1"/>
    <col min="4" max="4" width="16.33203125" style="45" bestFit="1" customWidth="1"/>
    <col min="5" max="5" width="13" style="45" bestFit="1" customWidth="1"/>
    <col min="6" max="6" width="9.5" style="46" bestFit="1" customWidth="1"/>
    <col min="7" max="7" width="10.5" style="45" bestFit="1" customWidth="1"/>
    <col min="8" max="8" width="13" customWidth="1"/>
    <col min="9" max="9" width="14.33203125" style="46" customWidth="1"/>
    <col min="10" max="10" width="10.83203125" style="47"/>
  </cols>
  <sheetData>
    <row r="1" spans="1:10" s="43" customFormat="1" ht="16">
      <c r="A1" s="40" t="s">
        <v>1600</v>
      </c>
      <c r="B1" s="41" t="s">
        <v>6042</v>
      </c>
      <c r="C1" s="40" t="s">
        <v>6043</v>
      </c>
      <c r="D1" s="40" t="s">
        <v>6044</v>
      </c>
      <c r="E1" s="40" t="s">
        <v>6045</v>
      </c>
      <c r="F1" s="42" t="s">
        <v>6046</v>
      </c>
      <c r="G1" s="40" t="s">
        <v>6047</v>
      </c>
      <c r="H1" s="43" t="s">
        <v>6048</v>
      </c>
      <c r="I1" s="42" t="s">
        <v>6049</v>
      </c>
      <c r="J1" s="44" t="s">
        <v>6050</v>
      </c>
    </row>
    <row r="2" spans="1:10">
      <c r="A2" s="36" t="s">
        <v>1622</v>
      </c>
      <c r="B2" s="35">
        <v>7629</v>
      </c>
      <c r="E2" s="45" t="s">
        <v>6051</v>
      </c>
      <c r="F2" s="46">
        <v>102.13000000000001</v>
      </c>
      <c r="G2" s="45" t="s">
        <v>6052</v>
      </c>
      <c r="I2" s="46">
        <v>93.050000000000011</v>
      </c>
      <c r="J2" s="47">
        <v>45810</v>
      </c>
    </row>
    <row r="3" spans="1:10">
      <c r="A3" s="36" t="s">
        <v>1623</v>
      </c>
      <c r="B3" s="35">
        <v>7629</v>
      </c>
      <c r="E3" s="45" t="s">
        <v>6051</v>
      </c>
      <c r="F3" s="46">
        <v>102.13000000000001</v>
      </c>
      <c r="G3" s="45" t="s">
        <v>6052</v>
      </c>
      <c r="I3" s="46">
        <v>93.050000000000011</v>
      </c>
      <c r="J3" s="47">
        <v>45810</v>
      </c>
    </row>
    <row r="4" spans="1:10">
      <c r="A4" s="36" t="s">
        <v>1624</v>
      </c>
      <c r="B4" s="35">
        <v>7629</v>
      </c>
      <c r="E4" s="45" t="s">
        <v>6051</v>
      </c>
      <c r="F4" s="46">
        <v>122.55000000000001</v>
      </c>
      <c r="G4" s="45" t="s">
        <v>6052</v>
      </c>
      <c r="I4" s="46">
        <v>111.66000000000001</v>
      </c>
      <c r="J4" s="47">
        <v>45810</v>
      </c>
    </row>
    <row r="5" spans="1:10">
      <c r="A5" s="36" t="s">
        <v>1626</v>
      </c>
      <c r="B5" s="35">
        <v>7629</v>
      </c>
      <c r="E5" s="45" t="s">
        <v>6051</v>
      </c>
      <c r="F5" s="46">
        <v>102.13000000000001</v>
      </c>
      <c r="G5" s="45" t="s">
        <v>6052</v>
      </c>
      <c r="I5" s="46">
        <v>93.050000000000011</v>
      </c>
      <c r="J5" s="47">
        <v>45810</v>
      </c>
    </row>
    <row r="6" spans="1:10">
      <c r="A6" s="36" t="s">
        <v>1629</v>
      </c>
      <c r="B6" s="35">
        <v>7629</v>
      </c>
      <c r="E6" s="45" t="s">
        <v>6051</v>
      </c>
      <c r="F6" s="46">
        <v>167.97</v>
      </c>
      <c r="G6" s="45" t="s">
        <v>6052</v>
      </c>
      <c r="I6" s="46">
        <v>153.04</v>
      </c>
      <c r="J6" s="47">
        <v>45810</v>
      </c>
    </row>
    <row r="7" spans="1:10">
      <c r="A7" s="36" t="s">
        <v>1630</v>
      </c>
      <c r="B7" s="35">
        <v>7629</v>
      </c>
      <c r="E7" s="45" t="s">
        <v>6051</v>
      </c>
      <c r="F7" s="46">
        <v>167.97</v>
      </c>
      <c r="G7" s="45" t="s">
        <v>6052</v>
      </c>
      <c r="I7" s="46">
        <v>153.04</v>
      </c>
      <c r="J7" s="47">
        <v>45810</v>
      </c>
    </row>
    <row r="8" spans="1:10">
      <c r="A8" s="36" t="s">
        <v>1631</v>
      </c>
      <c r="B8" s="35">
        <v>7629</v>
      </c>
      <c r="E8" s="45" t="s">
        <v>6051</v>
      </c>
      <c r="F8" s="46">
        <v>201.56</v>
      </c>
      <c r="G8" s="45" t="s">
        <v>6052</v>
      </c>
      <c r="I8" s="46">
        <v>183.64999999999998</v>
      </c>
      <c r="J8" s="47">
        <v>45810</v>
      </c>
    </row>
    <row r="9" spans="1:10">
      <c r="A9" s="36" t="s">
        <v>1633</v>
      </c>
      <c r="B9" s="35">
        <v>7629</v>
      </c>
      <c r="E9" s="45" t="s">
        <v>6051</v>
      </c>
      <c r="F9" s="46">
        <v>167.97</v>
      </c>
      <c r="G9" s="45" t="s">
        <v>6052</v>
      </c>
      <c r="I9" s="46">
        <v>153.04</v>
      </c>
      <c r="J9" s="47">
        <v>45810</v>
      </c>
    </row>
    <row r="10" spans="1:10">
      <c r="A10" s="36" t="s">
        <v>1636</v>
      </c>
      <c r="B10" s="35">
        <v>7629</v>
      </c>
      <c r="E10" s="45" t="s">
        <v>6051</v>
      </c>
      <c r="F10" s="46">
        <v>322.49</v>
      </c>
      <c r="G10" s="45" t="s">
        <v>6052</v>
      </c>
      <c r="I10" s="46">
        <v>293.83999999999997</v>
      </c>
      <c r="J10" s="47">
        <v>45810</v>
      </c>
    </row>
    <row r="11" spans="1:10">
      <c r="A11" s="36" t="s">
        <v>1637</v>
      </c>
      <c r="B11" s="35">
        <v>7629</v>
      </c>
      <c r="E11" s="45" t="s">
        <v>6051</v>
      </c>
      <c r="F11" s="46">
        <v>322.49</v>
      </c>
      <c r="G11" s="45" t="s">
        <v>6052</v>
      </c>
      <c r="I11" s="46">
        <v>293.83999999999997</v>
      </c>
      <c r="J11" s="47">
        <v>45810</v>
      </c>
    </row>
    <row r="12" spans="1:10">
      <c r="A12" s="36" t="s">
        <v>1638</v>
      </c>
      <c r="B12" s="35">
        <v>7629</v>
      </c>
      <c r="E12" s="45" t="s">
        <v>6051</v>
      </c>
      <c r="F12" s="46">
        <v>386.98</v>
      </c>
      <c r="G12" s="45" t="s">
        <v>6052</v>
      </c>
      <c r="I12" s="46">
        <v>352.59999999999997</v>
      </c>
      <c r="J12" s="47">
        <v>45810</v>
      </c>
    </row>
    <row r="13" spans="1:10">
      <c r="A13" s="36" t="s">
        <v>1640</v>
      </c>
      <c r="B13" s="35">
        <v>7629</v>
      </c>
      <c r="E13" s="45" t="s">
        <v>6051</v>
      </c>
      <c r="F13" s="46">
        <v>322.49</v>
      </c>
      <c r="G13" s="45" t="s">
        <v>6052</v>
      </c>
      <c r="I13" s="46">
        <v>293.83999999999997</v>
      </c>
      <c r="J13" s="47">
        <v>45810</v>
      </c>
    </row>
    <row r="14" spans="1:10">
      <c r="A14" s="36" t="s">
        <v>1717</v>
      </c>
      <c r="B14" s="35">
        <v>7629</v>
      </c>
      <c r="E14" s="45" t="s">
        <v>6051</v>
      </c>
      <c r="F14" s="46">
        <v>376.24</v>
      </c>
      <c r="G14" s="45" t="s">
        <v>6052</v>
      </c>
      <c r="I14" s="46">
        <v>342.81</v>
      </c>
      <c r="J14" s="47">
        <v>45810</v>
      </c>
    </row>
    <row r="15" spans="1:10">
      <c r="A15" s="36" t="s">
        <v>1721</v>
      </c>
      <c r="B15" s="35">
        <v>7629</v>
      </c>
      <c r="E15" s="45" t="s">
        <v>6051</v>
      </c>
      <c r="F15" s="46">
        <v>376.24</v>
      </c>
      <c r="G15" s="45" t="s">
        <v>6052</v>
      </c>
      <c r="I15" s="46">
        <v>342.81</v>
      </c>
      <c r="J15" s="47">
        <v>45810</v>
      </c>
    </row>
    <row r="16" spans="1:10">
      <c r="A16" s="36" t="s">
        <v>2294</v>
      </c>
      <c r="B16" s="35">
        <v>7629</v>
      </c>
      <c r="E16" s="45" t="s">
        <v>6051</v>
      </c>
      <c r="F16" s="46">
        <v>354.74</v>
      </c>
      <c r="G16" s="45" t="s">
        <v>6052</v>
      </c>
      <c r="I16" s="46">
        <v>323.21999999999997</v>
      </c>
      <c r="J16" s="47">
        <v>45810</v>
      </c>
    </row>
    <row r="17" spans="1:10">
      <c r="A17" s="36" t="s">
        <v>2295</v>
      </c>
      <c r="B17" s="35">
        <v>7629</v>
      </c>
      <c r="E17" s="45" t="s">
        <v>6051</v>
      </c>
      <c r="F17" s="46">
        <v>295.62</v>
      </c>
      <c r="G17" s="45" t="s">
        <v>6052</v>
      </c>
      <c r="I17" s="46">
        <v>269.34999999999997</v>
      </c>
      <c r="J17" s="47">
        <v>45810</v>
      </c>
    </row>
    <row r="18" spans="1:10">
      <c r="A18" s="36" t="s">
        <v>2296</v>
      </c>
      <c r="B18" s="35">
        <v>7629</v>
      </c>
      <c r="E18" s="45" t="s">
        <v>6051</v>
      </c>
      <c r="F18" s="46">
        <v>295.62</v>
      </c>
      <c r="G18" s="45" t="s">
        <v>6052</v>
      </c>
      <c r="I18" s="46">
        <v>269.34999999999997</v>
      </c>
      <c r="J18" s="47">
        <v>45810</v>
      </c>
    </row>
    <row r="19" spans="1:10">
      <c r="A19" s="36" t="s">
        <v>1743</v>
      </c>
      <c r="B19" s="35">
        <v>7629</v>
      </c>
      <c r="E19" s="45" t="s">
        <v>6051</v>
      </c>
      <c r="F19" s="46">
        <v>92.72</v>
      </c>
      <c r="G19" s="45" t="s">
        <v>6052</v>
      </c>
      <c r="I19" s="46">
        <v>84.48</v>
      </c>
      <c r="J19" s="47">
        <v>45810</v>
      </c>
    </row>
    <row r="20" spans="1:10">
      <c r="A20" s="36" t="s">
        <v>1745</v>
      </c>
      <c r="B20" s="35">
        <v>7629</v>
      </c>
      <c r="E20" s="45" t="s">
        <v>6051</v>
      </c>
      <c r="F20" s="46">
        <v>111.53</v>
      </c>
      <c r="G20" s="45" t="s">
        <v>6052</v>
      </c>
      <c r="I20" s="46">
        <v>101.62</v>
      </c>
      <c r="J20" s="47">
        <v>45810</v>
      </c>
    </row>
    <row r="21" spans="1:10">
      <c r="A21" s="36" t="s">
        <v>1747</v>
      </c>
      <c r="B21" s="35">
        <v>7629</v>
      </c>
      <c r="E21" s="45" t="s">
        <v>6051</v>
      </c>
      <c r="F21" s="46">
        <v>92.72</v>
      </c>
      <c r="G21" s="45" t="s">
        <v>6052</v>
      </c>
      <c r="I21" s="46">
        <v>84.48</v>
      </c>
      <c r="J21" s="47">
        <v>45810</v>
      </c>
    </row>
    <row r="22" spans="1:10">
      <c r="A22" s="36" t="s">
        <v>1749</v>
      </c>
      <c r="B22" s="35">
        <v>7629</v>
      </c>
      <c r="E22" s="45" t="s">
        <v>6051</v>
      </c>
      <c r="F22" s="46">
        <v>111.53</v>
      </c>
      <c r="G22" s="45" t="s">
        <v>6052</v>
      </c>
      <c r="I22" s="46">
        <v>101.62</v>
      </c>
      <c r="J22" s="47">
        <v>45810</v>
      </c>
    </row>
    <row r="23" spans="1:10">
      <c r="A23" s="36" t="s">
        <v>1751</v>
      </c>
      <c r="B23" s="35">
        <v>7629</v>
      </c>
      <c r="E23" s="45" t="s">
        <v>6051</v>
      </c>
      <c r="F23" s="46">
        <v>182.20999999999998</v>
      </c>
      <c r="G23" s="45" t="s">
        <v>6052</v>
      </c>
      <c r="I23" s="46">
        <v>166.01999999999998</v>
      </c>
      <c r="J23" s="47">
        <v>45810</v>
      </c>
    </row>
    <row r="24" spans="1:10">
      <c r="A24" s="36" t="s">
        <v>1753</v>
      </c>
      <c r="B24" s="35">
        <v>7629</v>
      </c>
      <c r="E24" s="45" t="s">
        <v>6051</v>
      </c>
      <c r="F24" s="46">
        <v>151.84</v>
      </c>
      <c r="G24" s="45" t="s">
        <v>6052</v>
      </c>
      <c r="I24" s="46">
        <v>138.35</v>
      </c>
      <c r="J24" s="47">
        <v>45810</v>
      </c>
    </row>
    <row r="25" spans="1:10">
      <c r="A25" s="36" t="s">
        <v>1754</v>
      </c>
      <c r="B25" s="35">
        <v>7629</v>
      </c>
      <c r="E25" s="45" t="s">
        <v>6051</v>
      </c>
      <c r="F25" s="46">
        <v>151.84</v>
      </c>
      <c r="G25" s="45" t="s">
        <v>6052</v>
      </c>
      <c r="I25" s="46">
        <v>138.35</v>
      </c>
      <c r="J25" s="47">
        <v>45810</v>
      </c>
    </row>
    <row r="26" spans="1:10">
      <c r="A26" s="36" t="s">
        <v>1758</v>
      </c>
      <c r="B26" s="35">
        <v>7629</v>
      </c>
      <c r="E26" s="45" t="s">
        <v>6051</v>
      </c>
      <c r="F26" s="46">
        <v>549.84</v>
      </c>
      <c r="G26" s="45" t="s">
        <v>6052</v>
      </c>
      <c r="I26" s="46">
        <v>500.99</v>
      </c>
      <c r="J26" s="47">
        <v>45810</v>
      </c>
    </row>
    <row r="27" spans="1:10">
      <c r="A27" s="36" t="s">
        <v>1759</v>
      </c>
      <c r="B27" s="35">
        <v>7629</v>
      </c>
      <c r="E27" s="45" t="s">
        <v>6051</v>
      </c>
      <c r="F27" s="46">
        <v>458.2</v>
      </c>
      <c r="G27" s="45" t="s">
        <v>6052</v>
      </c>
      <c r="I27" s="46">
        <v>417.49</v>
      </c>
      <c r="J27" s="47">
        <v>45810</v>
      </c>
    </row>
    <row r="28" spans="1:10">
      <c r="A28" s="36" t="s">
        <v>1760</v>
      </c>
      <c r="B28" s="35">
        <v>7629</v>
      </c>
      <c r="E28" s="45" t="s">
        <v>6051</v>
      </c>
      <c r="F28" s="46">
        <v>458.2</v>
      </c>
      <c r="G28" s="45" t="s">
        <v>6052</v>
      </c>
      <c r="I28" s="46">
        <v>417.49</v>
      </c>
      <c r="J28" s="47">
        <v>45810</v>
      </c>
    </row>
    <row r="29" spans="1:10">
      <c r="A29" s="36" t="s">
        <v>1765</v>
      </c>
      <c r="B29" s="35">
        <v>7629</v>
      </c>
      <c r="E29" s="45" t="s">
        <v>6051</v>
      </c>
      <c r="F29" s="46">
        <v>92.72</v>
      </c>
      <c r="G29" s="45" t="s">
        <v>6052</v>
      </c>
      <c r="I29" s="46">
        <v>84.48</v>
      </c>
      <c r="J29" s="47">
        <v>45810</v>
      </c>
    </row>
    <row r="30" spans="1:10">
      <c r="A30" s="36" t="s">
        <v>1770</v>
      </c>
      <c r="B30" s="35">
        <v>7629</v>
      </c>
      <c r="E30" s="45" t="s">
        <v>6051</v>
      </c>
      <c r="F30" s="46">
        <v>111.53</v>
      </c>
      <c r="G30" s="45" t="s">
        <v>6052</v>
      </c>
      <c r="I30" s="46">
        <v>101.62</v>
      </c>
      <c r="J30" s="47">
        <v>45810</v>
      </c>
    </row>
    <row r="31" spans="1:10">
      <c r="A31" s="36" t="s">
        <v>1767</v>
      </c>
      <c r="B31" s="35">
        <v>7629</v>
      </c>
      <c r="E31" s="45" t="s">
        <v>6051</v>
      </c>
      <c r="F31" s="46">
        <v>111.53</v>
      </c>
      <c r="G31" s="45" t="s">
        <v>6052</v>
      </c>
      <c r="I31" s="46">
        <v>101.62</v>
      </c>
      <c r="J31" s="47">
        <v>45810</v>
      </c>
    </row>
    <row r="32" spans="1:10">
      <c r="A32" s="36" t="s">
        <v>2300</v>
      </c>
      <c r="B32" s="35">
        <v>7629</v>
      </c>
      <c r="E32" s="45" t="s">
        <v>6051</v>
      </c>
      <c r="F32" s="46">
        <v>236.48999999999998</v>
      </c>
      <c r="G32" s="45" t="s">
        <v>6052</v>
      </c>
      <c r="I32" s="46">
        <v>215.48</v>
      </c>
      <c r="J32" s="47">
        <v>45810</v>
      </c>
    </row>
    <row r="33" spans="1:10">
      <c r="A33" s="36" t="s">
        <v>2301</v>
      </c>
      <c r="B33" s="35">
        <v>7629</v>
      </c>
      <c r="E33" s="45" t="s">
        <v>6051</v>
      </c>
      <c r="F33" s="46">
        <v>283.8</v>
      </c>
      <c r="G33" s="45" t="s">
        <v>6052</v>
      </c>
      <c r="I33" s="46">
        <v>258.58</v>
      </c>
      <c r="J33" s="47">
        <v>45810</v>
      </c>
    </row>
    <row r="34" spans="1:10">
      <c r="A34" s="36" t="s">
        <v>2302</v>
      </c>
      <c r="B34" s="35">
        <v>7629</v>
      </c>
      <c r="E34" s="45" t="s">
        <v>6051</v>
      </c>
      <c r="F34" s="46">
        <v>236.48999999999998</v>
      </c>
      <c r="G34" s="45" t="s">
        <v>6052</v>
      </c>
      <c r="I34" s="46">
        <v>215.48</v>
      </c>
      <c r="J34" s="47">
        <v>45810</v>
      </c>
    </row>
    <row r="35" spans="1:10">
      <c r="A35" s="36" t="s">
        <v>2303</v>
      </c>
      <c r="B35" s="35">
        <v>7629</v>
      </c>
      <c r="E35" s="45" t="s">
        <v>6051</v>
      </c>
      <c r="F35" s="46">
        <v>283.8</v>
      </c>
      <c r="G35" s="45" t="s">
        <v>6052</v>
      </c>
      <c r="I35" s="46">
        <v>258.58</v>
      </c>
      <c r="J35" s="47">
        <v>45810</v>
      </c>
    </row>
    <row r="36" spans="1:10">
      <c r="A36" s="36" t="s">
        <v>2308</v>
      </c>
      <c r="B36" s="35">
        <v>7629</v>
      </c>
      <c r="E36" s="45" t="s">
        <v>6051</v>
      </c>
      <c r="F36" s="46">
        <v>209.63</v>
      </c>
      <c r="G36" s="45" t="s">
        <v>6052</v>
      </c>
      <c r="I36" s="46">
        <v>191</v>
      </c>
      <c r="J36" s="47">
        <v>45810</v>
      </c>
    </row>
    <row r="37" spans="1:10">
      <c r="A37" s="36" t="s">
        <v>2309</v>
      </c>
      <c r="B37" s="35">
        <v>7629</v>
      </c>
      <c r="E37" s="45" t="s">
        <v>6051</v>
      </c>
      <c r="F37" s="46">
        <v>209.63</v>
      </c>
      <c r="G37" s="45" t="s">
        <v>6052</v>
      </c>
      <c r="I37" s="46">
        <v>191</v>
      </c>
      <c r="J37" s="47">
        <v>45810</v>
      </c>
    </row>
    <row r="38" spans="1:10">
      <c r="A38" s="36" t="s">
        <v>2310</v>
      </c>
      <c r="B38" s="35">
        <v>7629</v>
      </c>
      <c r="E38" s="45" t="s">
        <v>6051</v>
      </c>
      <c r="F38" s="46">
        <v>209.63</v>
      </c>
      <c r="G38" s="45" t="s">
        <v>6052</v>
      </c>
      <c r="I38" s="46">
        <v>191</v>
      </c>
      <c r="J38" s="47">
        <v>45810</v>
      </c>
    </row>
    <row r="39" spans="1:10">
      <c r="A39" s="36" t="s">
        <v>2311</v>
      </c>
      <c r="B39" s="35">
        <v>7629</v>
      </c>
      <c r="E39" s="45" t="s">
        <v>6051</v>
      </c>
      <c r="F39" s="46">
        <v>251.54</v>
      </c>
      <c r="G39" s="45" t="s">
        <v>6052</v>
      </c>
      <c r="I39" s="46">
        <v>229.19</v>
      </c>
      <c r="J39" s="47">
        <v>45810</v>
      </c>
    </row>
    <row r="40" spans="1:10">
      <c r="A40" s="36" t="s">
        <v>2312</v>
      </c>
      <c r="B40" s="35">
        <v>7629</v>
      </c>
      <c r="E40" s="45" t="s">
        <v>6051</v>
      </c>
      <c r="F40" s="46">
        <v>251.54</v>
      </c>
      <c r="G40" s="45" t="s">
        <v>6052</v>
      </c>
      <c r="I40" s="46">
        <v>229.19</v>
      </c>
      <c r="J40" s="47">
        <v>45810</v>
      </c>
    </row>
    <row r="41" spans="1:10">
      <c r="A41" s="36" t="s">
        <v>2313</v>
      </c>
      <c r="B41" s="35">
        <v>7629</v>
      </c>
      <c r="E41" s="45" t="s">
        <v>6051</v>
      </c>
      <c r="F41" s="46">
        <v>251.54</v>
      </c>
      <c r="G41" s="45" t="s">
        <v>6052</v>
      </c>
      <c r="I41" s="46">
        <v>229.19</v>
      </c>
      <c r="J41" s="47">
        <v>45810</v>
      </c>
    </row>
    <row r="42" spans="1:10">
      <c r="A42" s="36" t="s">
        <v>2314</v>
      </c>
      <c r="B42" s="35">
        <v>7629</v>
      </c>
      <c r="E42" s="45" t="s">
        <v>6051</v>
      </c>
      <c r="F42" s="46">
        <v>209.63</v>
      </c>
      <c r="G42" s="45" t="s">
        <v>6052</v>
      </c>
      <c r="I42" s="46">
        <v>191</v>
      </c>
      <c r="J42" s="47">
        <v>45810</v>
      </c>
    </row>
    <row r="43" spans="1:10">
      <c r="A43" s="36" t="s">
        <v>2316</v>
      </c>
      <c r="B43" s="35">
        <v>7629</v>
      </c>
      <c r="E43" s="45" t="s">
        <v>6051</v>
      </c>
      <c r="F43" s="46">
        <v>295.62</v>
      </c>
      <c r="G43" s="45" t="s">
        <v>6052</v>
      </c>
      <c r="I43" s="46">
        <v>269.34999999999997</v>
      </c>
      <c r="J43" s="47">
        <v>45810</v>
      </c>
    </row>
    <row r="44" spans="1:10">
      <c r="A44" s="36" t="s">
        <v>2317</v>
      </c>
      <c r="B44" s="35">
        <v>7629</v>
      </c>
      <c r="E44" s="45" t="s">
        <v>6051</v>
      </c>
      <c r="F44" s="46">
        <v>295.62</v>
      </c>
      <c r="G44" s="45" t="s">
        <v>6052</v>
      </c>
      <c r="I44" s="46">
        <v>269.34999999999997</v>
      </c>
      <c r="J44" s="47">
        <v>45810</v>
      </c>
    </row>
    <row r="45" spans="1:10">
      <c r="A45" s="36" t="s">
        <v>2318</v>
      </c>
      <c r="B45" s="35">
        <v>7629</v>
      </c>
      <c r="E45" s="45" t="s">
        <v>6051</v>
      </c>
      <c r="F45" s="46">
        <v>295.62</v>
      </c>
      <c r="G45" s="45" t="s">
        <v>6052</v>
      </c>
      <c r="I45" s="46">
        <v>269.34999999999997</v>
      </c>
      <c r="J45" s="47">
        <v>45810</v>
      </c>
    </row>
    <row r="46" spans="1:10">
      <c r="A46" s="36" t="s">
        <v>2268</v>
      </c>
      <c r="B46" s="35">
        <v>7629</v>
      </c>
      <c r="E46" s="45" t="s">
        <v>6051</v>
      </c>
      <c r="F46" s="46">
        <v>191.89</v>
      </c>
      <c r="G46" s="45" t="s">
        <v>6052</v>
      </c>
      <c r="I46" s="46">
        <v>174.84</v>
      </c>
      <c r="J46" s="47">
        <v>45810</v>
      </c>
    </row>
    <row r="47" spans="1:10">
      <c r="A47" s="36" t="s">
        <v>2269</v>
      </c>
      <c r="B47" s="35">
        <v>7629</v>
      </c>
      <c r="E47" s="45" t="s">
        <v>6051</v>
      </c>
      <c r="F47" s="46">
        <v>191.89</v>
      </c>
      <c r="G47" s="45" t="s">
        <v>6052</v>
      </c>
      <c r="I47" s="46">
        <v>174.84</v>
      </c>
      <c r="J47" s="47">
        <v>45810</v>
      </c>
    </row>
    <row r="48" spans="1:10">
      <c r="A48" s="36" t="s">
        <v>2270</v>
      </c>
      <c r="B48" s="35">
        <v>7629</v>
      </c>
      <c r="E48" s="45" t="s">
        <v>6051</v>
      </c>
      <c r="F48" s="46">
        <v>159.91</v>
      </c>
      <c r="G48" s="45" t="s">
        <v>6052</v>
      </c>
      <c r="I48" s="46">
        <v>145.69999999999999</v>
      </c>
      <c r="J48" s="47">
        <v>45810</v>
      </c>
    </row>
    <row r="49" spans="1:10">
      <c r="A49" s="36" t="s">
        <v>2271</v>
      </c>
      <c r="B49" s="35">
        <v>7629</v>
      </c>
      <c r="E49" s="45" t="s">
        <v>6051</v>
      </c>
      <c r="F49" s="46">
        <v>159.91</v>
      </c>
      <c r="G49" s="45" t="s">
        <v>6052</v>
      </c>
      <c r="I49" s="46">
        <v>145.69999999999999</v>
      </c>
      <c r="J49" s="47">
        <v>45810</v>
      </c>
    </row>
    <row r="50" spans="1:10">
      <c r="A50" s="36" t="s">
        <v>2321</v>
      </c>
      <c r="B50" s="35">
        <v>7629</v>
      </c>
      <c r="E50" s="45" t="s">
        <v>6051</v>
      </c>
      <c r="F50" s="46">
        <v>360.12</v>
      </c>
      <c r="G50" s="45" t="s">
        <v>6052</v>
      </c>
      <c r="I50" s="46">
        <v>328.12</v>
      </c>
      <c r="J50" s="47">
        <v>45810</v>
      </c>
    </row>
    <row r="51" spans="1:10">
      <c r="A51" s="36" t="s">
        <v>2322</v>
      </c>
      <c r="B51" s="35">
        <v>7629</v>
      </c>
      <c r="E51" s="45" t="s">
        <v>6051</v>
      </c>
      <c r="F51" s="46">
        <v>360.12</v>
      </c>
      <c r="G51" s="45" t="s">
        <v>6052</v>
      </c>
      <c r="I51" s="46">
        <v>328.12</v>
      </c>
      <c r="J51" s="47">
        <v>45810</v>
      </c>
    </row>
    <row r="52" spans="1:10">
      <c r="A52" s="36" t="s">
        <v>2323</v>
      </c>
      <c r="B52" s="35">
        <v>7629</v>
      </c>
      <c r="E52" s="45" t="s">
        <v>6051</v>
      </c>
      <c r="F52" s="46">
        <v>360.12</v>
      </c>
      <c r="G52" s="45" t="s">
        <v>6052</v>
      </c>
      <c r="I52" s="46">
        <v>328.12</v>
      </c>
      <c r="J52" s="47">
        <v>45810</v>
      </c>
    </row>
    <row r="53" spans="1:10">
      <c r="A53" s="36" t="s">
        <v>2070</v>
      </c>
      <c r="B53" s="35">
        <v>7629</v>
      </c>
      <c r="E53" s="45" t="s">
        <v>6051</v>
      </c>
      <c r="F53" s="46">
        <v>63.169999999999995</v>
      </c>
      <c r="G53" s="45" t="s">
        <v>6052</v>
      </c>
      <c r="I53" s="46">
        <v>57.55</v>
      </c>
      <c r="J53" s="47">
        <v>45810</v>
      </c>
    </row>
    <row r="54" spans="1:10">
      <c r="A54" s="36" t="s">
        <v>2073</v>
      </c>
      <c r="B54" s="35">
        <v>7629</v>
      </c>
      <c r="E54" s="45" t="s">
        <v>6051</v>
      </c>
      <c r="F54" s="46">
        <v>63.169999999999995</v>
      </c>
      <c r="G54" s="45" t="s">
        <v>6052</v>
      </c>
      <c r="I54" s="46">
        <v>57.55</v>
      </c>
      <c r="J54" s="47">
        <v>45810</v>
      </c>
    </row>
    <row r="55" spans="1:10">
      <c r="A55" s="36" t="s">
        <v>2074</v>
      </c>
      <c r="B55" s="35">
        <v>7629</v>
      </c>
      <c r="E55" s="45" t="s">
        <v>6051</v>
      </c>
      <c r="F55" s="46">
        <v>63.169999999999995</v>
      </c>
      <c r="G55" s="45" t="s">
        <v>6052</v>
      </c>
      <c r="I55" s="46">
        <v>57.55</v>
      </c>
      <c r="J55" s="47">
        <v>45810</v>
      </c>
    </row>
    <row r="56" spans="1:10">
      <c r="A56" s="36" t="s">
        <v>2076</v>
      </c>
      <c r="B56" s="35">
        <v>7629</v>
      </c>
      <c r="E56" s="45" t="s">
        <v>6051</v>
      </c>
      <c r="F56" s="46">
        <v>63.169999999999995</v>
      </c>
      <c r="G56" s="45" t="s">
        <v>6052</v>
      </c>
      <c r="I56" s="46">
        <v>57.55</v>
      </c>
      <c r="J56" s="47">
        <v>45810</v>
      </c>
    </row>
    <row r="57" spans="1:10">
      <c r="A57" s="36" t="s">
        <v>1827</v>
      </c>
      <c r="B57" s="35">
        <v>7629</v>
      </c>
      <c r="E57" s="45" t="s">
        <v>6051</v>
      </c>
      <c r="F57" s="46">
        <v>838.46</v>
      </c>
      <c r="G57" s="45" t="s">
        <v>6052</v>
      </c>
      <c r="I57" s="46">
        <v>763.97</v>
      </c>
      <c r="J57" s="47">
        <v>45810</v>
      </c>
    </row>
    <row r="58" spans="1:10">
      <c r="A58" s="36" t="s">
        <v>1828</v>
      </c>
      <c r="B58" s="35">
        <v>7629</v>
      </c>
      <c r="E58" s="45" t="s">
        <v>6051</v>
      </c>
      <c r="F58" s="46">
        <v>698.72</v>
      </c>
      <c r="G58" s="45" t="s">
        <v>6052</v>
      </c>
      <c r="I58" s="46">
        <v>636.64</v>
      </c>
      <c r="J58" s="47">
        <v>45810</v>
      </c>
    </row>
    <row r="59" spans="1:10">
      <c r="A59" s="36" t="s">
        <v>1829</v>
      </c>
      <c r="B59" s="35">
        <v>7629</v>
      </c>
      <c r="E59" s="45" t="s">
        <v>6051</v>
      </c>
      <c r="F59" s="46">
        <v>838.46</v>
      </c>
      <c r="G59" s="45" t="s">
        <v>6052</v>
      </c>
      <c r="I59" s="46">
        <v>763.97</v>
      </c>
      <c r="J59" s="47">
        <v>45810</v>
      </c>
    </row>
    <row r="60" spans="1:10">
      <c r="A60" s="36" t="s">
        <v>1832</v>
      </c>
      <c r="B60" s="35">
        <v>7629</v>
      </c>
      <c r="E60" s="45" t="s">
        <v>6051</v>
      </c>
      <c r="F60" s="46">
        <v>698.72</v>
      </c>
      <c r="G60" s="45" t="s">
        <v>6052</v>
      </c>
      <c r="I60" s="46">
        <v>636.64</v>
      </c>
      <c r="J60" s="47">
        <v>45810</v>
      </c>
    </row>
    <row r="61" spans="1:10">
      <c r="A61" s="36" t="s">
        <v>1643</v>
      </c>
      <c r="B61" s="35">
        <v>7629</v>
      </c>
      <c r="E61" s="45" t="s">
        <v>6051</v>
      </c>
      <c r="F61" s="46">
        <v>158.56</v>
      </c>
      <c r="G61" s="45" t="s">
        <v>6052</v>
      </c>
      <c r="I61" s="46">
        <v>144.47</v>
      </c>
      <c r="J61" s="47">
        <v>45810</v>
      </c>
    </row>
    <row r="62" spans="1:10">
      <c r="A62" s="36" t="s">
        <v>1645</v>
      </c>
      <c r="B62" s="35">
        <v>7629</v>
      </c>
      <c r="E62" s="45" t="s">
        <v>6051</v>
      </c>
      <c r="F62" s="46">
        <v>158.56</v>
      </c>
      <c r="G62" s="45" t="s">
        <v>6052</v>
      </c>
      <c r="I62" s="46">
        <v>144.47</v>
      </c>
      <c r="J62" s="47">
        <v>45810</v>
      </c>
    </row>
    <row r="63" spans="1:10">
      <c r="A63" s="36" t="s">
        <v>1652</v>
      </c>
      <c r="B63" s="35">
        <v>7629</v>
      </c>
      <c r="E63" s="45" t="s">
        <v>6051</v>
      </c>
      <c r="F63" s="46">
        <v>206.94</v>
      </c>
      <c r="G63" s="45" t="s">
        <v>6052</v>
      </c>
      <c r="I63" s="46">
        <v>188.54999999999998</v>
      </c>
      <c r="J63" s="47">
        <v>45810</v>
      </c>
    </row>
    <row r="64" spans="1:10">
      <c r="A64" s="36" t="s">
        <v>1655</v>
      </c>
      <c r="B64" s="35">
        <v>7629</v>
      </c>
      <c r="E64" s="45" t="s">
        <v>6051</v>
      </c>
      <c r="F64" s="46">
        <v>206.94</v>
      </c>
      <c r="G64" s="45" t="s">
        <v>6052</v>
      </c>
      <c r="I64" s="46">
        <v>188.54999999999998</v>
      </c>
      <c r="J64" s="47">
        <v>45810</v>
      </c>
    </row>
    <row r="65" spans="1:10">
      <c r="A65" s="36" t="s">
        <v>1661</v>
      </c>
      <c r="B65" s="35">
        <v>7629</v>
      </c>
      <c r="E65" s="45" t="s">
        <v>6051</v>
      </c>
      <c r="F65" s="46">
        <v>470.28999999999996</v>
      </c>
      <c r="G65" s="45" t="s">
        <v>6052</v>
      </c>
      <c r="I65" s="46">
        <v>428.51</v>
      </c>
      <c r="J65" s="47">
        <v>45810</v>
      </c>
    </row>
    <row r="66" spans="1:10">
      <c r="A66" s="36" t="s">
        <v>1663</v>
      </c>
      <c r="B66" s="35">
        <v>7629</v>
      </c>
      <c r="E66" s="45" t="s">
        <v>6051</v>
      </c>
      <c r="F66" s="46">
        <v>470.28999999999996</v>
      </c>
      <c r="G66" s="45" t="s">
        <v>6052</v>
      </c>
      <c r="I66" s="46">
        <v>428.51</v>
      </c>
      <c r="J66" s="47">
        <v>45810</v>
      </c>
    </row>
    <row r="67" spans="1:10">
      <c r="A67" s="36" t="s">
        <v>2100</v>
      </c>
      <c r="B67" s="35">
        <v>7629</v>
      </c>
      <c r="E67" s="45" t="s">
        <v>6051</v>
      </c>
      <c r="F67" s="46">
        <v>130.34</v>
      </c>
      <c r="G67" s="45" t="s">
        <v>6052</v>
      </c>
      <c r="I67" s="46">
        <v>118.76</v>
      </c>
      <c r="J67" s="47">
        <v>45810</v>
      </c>
    </row>
    <row r="68" spans="1:10">
      <c r="A68" s="36" t="s">
        <v>2103</v>
      </c>
      <c r="B68" s="35">
        <v>7629</v>
      </c>
      <c r="E68" s="45" t="s">
        <v>6051</v>
      </c>
      <c r="F68" s="46">
        <v>130.34</v>
      </c>
      <c r="G68" s="45" t="s">
        <v>6052</v>
      </c>
      <c r="I68" s="46">
        <v>118.76</v>
      </c>
      <c r="J68" s="47">
        <v>45810</v>
      </c>
    </row>
    <row r="69" spans="1:10">
      <c r="A69" s="36" t="s">
        <v>2104</v>
      </c>
      <c r="B69" s="35">
        <v>7629</v>
      </c>
      <c r="E69" s="45" t="s">
        <v>6051</v>
      </c>
      <c r="F69" s="46">
        <v>130.34</v>
      </c>
      <c r="G69" s="45" t="s">
        <v>6052</v>
      </c>
      <c r="I69" s="46">
        <v>118.76</v>
      </c>
      <c r="J69" s="47">
        <v>45810</v>
      </c>
    </row>
    <row r="70" spans="1:10">
      <c r="A70" s="36" t="s">
        <v>2105</v>
      </c>
      <c r="B70" s="35">
        <v>7629</v>
      </c>
      <c r="E70" s="45" t="s">
        <v>6051</v>
      </c>
      <c r="F70" s="46">
        <v>156.41</v>
      </c>
      <c r="G70" s="45" t="s">
        <v>6052</v>
      </c>
      <c r="I70" s="46">
        <v>142.51</v>
      </c>
      <c r="J70" s="47">
        <v>45810</v>
      </c>
    </row>
    <row r="71" spans="1:10">
      <c r="A71" s="36" t="s">
        <v>2274</v>
      </c>
      <c r="B71" s="35">
        <v>7629</v>
      </c>
      <c r="E71" s="45" t="s">
        <v>6051</v>
      </c>
      <c r="F71" s="46">
        <v>174.67999999999998</v>
      </c>
      <c r="G71" s="45" t="s">
        <v>6052</v>
      </c>
      <c r="I71" s="46">
        <v>159.16</v>
      </c>
      <c r="J71" s="47">
        <v>45810</v>
      </c>
    </row>
    <row r="72" spans="1:10">
      <c r="A72" s="36" t="s">
        <v>2275</v>
      </c>
      <c r="B72" s="35">
        <v>7629</v>
      </c>
      <c r="E72" s="45" t="s">
        <v>6051</v>
      </c>
      <c r="F72" s="46">
        <v>209.63</v>
      </c>
      <c r="G72" s="45" t="s">
        <v>6052</v>
      </c>
      <c r="I72" s="46">
        <v>191</v>
      </c>
      <c r="J72" s="47">
        <v>45810</v>
      </c>
    </row>
    <row r="73" spans="1:10">
      <c r="A73" s="36" t="s">
        <v>2276</v>
      </c>
      <c r="B73" s="35">
        <v>7629</v>
      </c>
      <c r="E73" s="45" t="s">
        <v>6051</v>
      </c>
      <c r="F73" s="46">
        <v>174.67999999999998</v>
      </c>
      <c r="G73" s="45" t="s">
        <v>6052</v>
      </c>
      <c r="I73" s="46">
        <v>159.16</v>
      </c>
      <c r="J73" s="47">
        <v>45810</v>
      </c>
    </row>
    <row r="74" spans="1:10">
      <c r="A74" s="36" t="s">
        <v>2277</v>
      </c>
      <c r="B74" s="35">
        <v>7629</v>
      </c>
      <c r="E74" s="45" t="s">
        <v>6051</v>
      </c>
      <c r="F74" s="46">
        <v>209.63</v>
      </c>
      <c r="G74" s="45" t="s">
        <v>6052</v>
      </c>
      <c r="I74" s="46">
        <v>191</v>
      </c>
      <c r="J74" s="47">
        <v>45810</v>
      </c>
    </row>
    <row r="75" spans="1:10">
      <c r="A75" s="36" t="s">
        <v>2278</v>
      </c>
      <c r="B75" s="35">
        <v>7629</v>
      </c>
      <c r="E75" s="45" t="s">
        <v>6051</v>
      </c>
      <c r="F75" s="46">
        <v>174.67999999999998</v>
      </c>
      <c r="G75" s="45" t="s">
        <v>6052</v>
      </c>
      <c r="I75" s="46">
        <v>159.16</v>
      </c>
      <c r="J75" s="47">
        <v>45810</v>
      </c>
    </row>
    <row r="76" spans="1:10">
      <c r="A76" s="36" t="s">
        <v>2114</v>
      </c>
      <c r="B76" s="35">
        <v>7629</v>
      </c>
      <c r="E76" s="45" t="s">
        <v>6051</v>
      </c>
      <c r="F76" s="46">
        <v>178.72</v>
      </c>
      <c r="G76" s="45" t="s">
        <v>6052</v>
      </c>
      <c r="I76" s="46">
        <v>162.84</v>
      </c>
      <c r="J76" s="47">
        <v>45810</v>
      </c>
    </row>
    <row r="77" spans="1:10">
      <c r="A77" s="36" t="s">
        <v>2117</v>
      </c>
      <c r="B77" s="35">
        <v>7629</v>
      </c>
      <c r="E77" s="45" t="s">
        <v>6051</v>
      </c>
      <c r="F77" s="46">
        <v>178.72</v>
      </c>
      <c r="G77" s="45" t="s">
        <v>6052</v>
      </c>
      <c r="I77" s="46">
        <v>162.84</v>
      </c>
      <c r="J77" s="47">
        <v>45810</v>
      </c>
    </row>
    <row r="78" spans="1:10">
      <c r="A78" s="36" t="s">
        <v>2118</v>
      </c>
      <c r="B78" s="35">
        <v>7629</v>
      </c>
      <c r="E78" s="45" t="s">
        <v>6051</v>
      </c>
      <c r="F78" s="46">
        <v>214.45999999999998</v>
      </c>
      <c r="G78" s="45" t="s">
        <v>6052</v>
      </c>
      <c r="I78" s="46">
        <v>195.39999999999998</v>
      </c>
      <c r="J78" s="47">
        <v>45810</v>
      </c>
    </row>
    <row r="79" spans="1:10">
      <c r="A79" s="36" t="s">
        <v>2120</v>
      </c>
      <c r="B79" s="35">
        <v>7629</v>
      </c>
      <c r="E79" s="45" t="s">
        <v>6051</v>
      </c>
      <c r="F79" s="46">
        <v>178.72</v>
      </c>
      <c r="G79" s="45" t="s">
        <v>6052</v>
      </c>
      <c r="I79" s="46">
        <v>162.84</v>
      </c>
      <c r="J79" s="47">
        <v>45810</v>
      </c>
    </row>
    <row r="80" spans="1:10">
      <c r="A80" s="36" t="s">
        <v>1858</v>
      </c>
      <c r="B80" s="35">
        <v>7629</v>
      </c>
      <c r="E80" s="45" t="s">
        <v>6051</v>
      </c>
      <c r="F80" s="46">
        <v>185.44</v>
      </c>
      <c r="G80" s="45" t="s">
        <v>6052</v>
      </c>
      <c r="I80" s="46">
        <v>168.95999999999998</v>
      </c>
      <c r="J80" s="47">
        <v>45810</v>
      </c>
    </row>
    <row r="81" spans="1:10">
      <c r="A81" s="36" t="s">
        <v>1860</v>
      </c>
      <c r="B81" s="35">
        <v>7629</v>
      </c>
      <c r="E81" s="45" t="s">
        <v>6051</v>
      </c>
      <c r="F81" s="46">
        <v>222.51999999999998</v>
      </c>
      <c r="G81" s="45" t="s">
        <v>6052</v>
      </c>
      <c r="I81" s="46">
        <v>202.75</v>
      </c>
      <c r="J81" s="47">
        <v>45810</v>
      </c>
    </row>
    <row r="82" spans="1:10">
      <c r="A82" s="36" t="s">
        <v>1861</v>
      </c>
      <c r="B82" s="35">
        <v>7629</v>
      </c>
      <c r="E82" s="45" t="s">
        <v>6051</v>
      </c>
      <c r="F82" s="46">
        <v>185.44</v>
      </c>
      <c r="G82" s="45" t="s">
        <v>6052</v>
      </c>
      <c r="I82" s="46">
        <v>168.95999999999998</v>
      </c>
      <c r="J82" s="47">
        <v>45810</v>
      </c>
    </row>
    <row r="83" spans="1:10">
      <c r="A83" s="36" t="s">
        <v>1862</v>
      </c>
      <c r="B83" s="35">
        <v>7629</v>
      </c>
      <c r="E83" s="45" t="s">
        <v>6051</v>
      </c>
      <c r="F83" s="46">
        <v>222.51999999999998</v>
      </c>
      <c r="G83" s="45" t="s">
        <v>6052</v>
      </c>
      <c r="I83" s="46">
        <v>202.75</v>
      </c>
      <c r="J83" s="47">
        <v>45810</v>
      </c>
    </row>
    <row r="84" spans="1:10">
      <c r="A84" s="36" t="s">
        <v>1863</v>
      </c>
      <c r="B84" s="35">
        <v>7629</v>
      </c>
      <c r="E84" s="45" t="s">
        <v>6051</v>
      </c>
      <c r="F84" s="46">
        <v>185.44</v>
      </c>
      <c r="G84" s="45" t="s">
        <v>6052</v>
      </c>
      <c r="I84" s="46">
        <v>168.95999999999998</v>
      </c>
      <c r="J84" s="47">
        <v>45810</v>
      </c>
    </row>
    <row r="85" spans="1:10">
      <c r="A85" s="36" t="s">
        <v>1871</v>
      </c>
      <c r="B85" s="35">
        <v>7629</v>
      </c>
      <c r="E85" s="45" t="s">
        <v>6051</v>
      </c>
      <c r="F85" s="46">
        <v>206.39999999999998</v>
      </c>
      <c r="G85" s="45" t="s">
        <v>6052</v>
      </c>
      <c r="I85" s="46">
        <v>188.06</v>
      </c>
      <c r="J85" s="47">
        <v>45810</v>
      </c>
    </row>
    <row r="86" spans="1:10">
      <c r="A86" s="36" t="s">
        <v>1870</v>
      </c>
      <c r="B86" s="35">
        <v>7629</v>
      </c>
      <c r="E86" s="45" t="s">
        <v>6051</v>
      </c>
      <c r="F86" s="46">
        <v>172.01</v>
      </c>
      <c r="G86" s="45" t="s">
        <v>6052</v>
      </c>
      <c r="I86" s="46">
        <v>156.72</v>
      </c>
      <c r="J86" s="47">
        <v>45810</v>
      </c>
    </row>
    <row r="87" spans="1:10">
      <c r="A87" s="36" t="s">
        <v>1866</v>
      </c>
      <c r="B87" s="35">
        <v>7629</v>
      </c>
      <c r="E87" s="45" t="s">
        <v>6051</v>
      </c>
      <c r="F87" s="46">
        <v>172.01</v>
      </c>
      <c r="G87" s="45" t="s">
        <v>6052</v>
      </c>
      <c r="I87" s="46">
        <v>156.72</v>
      </c>
      <c r="J87" s="47">
        <v>45810</v>
      </c>
    </row>
    <row r="88" spans="1:10">
      <c r="A88" s="36" t="s">
        <v>1867</v>
      </c>
      <c r="B88" s="35">
        <v>7629</v>
      </c>
      <c r="E88" s="45" t="s">
        <v>6051</v>
      </c>
      <c r="F88" s="46">
        <v>206.39999999999998</v>
      </c>
      <c r="G88" s="45" t="s">
        <v>6052</v>
      </c>
      <c r="I88" s="46">
        <v>188.06</v>
      </c>
      <c r="J88" s="47">
        <v>45810</v>
      </c>
    </row>
    <row r="89" spans="1:10">
      <c r="A89" s="36" t="s">
        <v>1868</v>
      </c>
      <c r="B89" s="35">
        <v>7629</v>
      </c>
      <c r="E89" s="45" t="s">
        <v>6051</v>
      </c>
      <c r="F89" s="46">
        <v>206.39999999999998</v>
      </c>
      <c r="G89" s="45" t="s">
        <v>6052</v>
      </c>
      <c r="I89" s="46">
        <v>188.06</v>
      </c>
      <c r="J89" s="47">
        <v>45810</v>
      </c>
    </row>
    <row r="90" spans="1:10">
      <c r="A90" s="36" t="s">
        <v>1869</v>
      </c>
      <c r="B90" s="35">
        <v>7629</v>
      </c>
      <c r="E90" s="45" t="s">
        <v>6051</v>
      </c>
      <c r="F90" s="46">
        <v>172.01</v>
      </c>
      <c r="G90" s="45" t="s">
        <v>6052</v>
      </c>
      <c r="I90" s="46">
        <v>156.72</v>
      </c>
      <c r="J90" s="47">
        <v>45810</v>
      </c>
    </row>
    <row r="91" spans="1:10">
      <c r="A91" s="36" t="s">
        <v>1888</v>
      </c>
      <c r="B91" s="35">
        <v>7629</v>
      </c>
      <c r="E91" s="45" t="s">
        <v>6051</v>
      </c>
      <c r="F91" s="46">
        <v>386.98</v>
      </c>
      <c r="G91" s="45" t="s">
        <v>6052</v>
      </c>
      <c r="I91" s="46">
        <v>352.59999999999997</v>
      </c>
      <c r="J91" s="47">
        <v>45810</v>
      </c>
    </row>
    <row r="92" spans="1:10">
      <c r="A92" s="36" t="s">
        <v>1889</v>
      </c>
      <c r="B92" s="35">
        <v>7629</v>
      </c>
      <c r="E92" s="45" t="s">
        <v>6051</v>
      </c>
      <c r="F92" s="46">
        <v>322.49</v>
      </c>
      <c r="G92" s="45" t="s">
        <v>6052</v>
      </c>
      <c r="I92" s="46">
        <v>293.83999999999997</v>
      </c>
      <c r="J92" s="47">
        <v>45810</v>
      </c>
    </row>
    <row r="93" spans="1:10">
      <c r="A93" s="36" t="s">
        <v>1890</v>
      </c>
      <c r="B93" s="35">
        <v>7629</v>
      </c>
      <c r="E93" s="45" t="s">
        <v>6051</v>
      </c>
      <c r="F93" s="46">
        <v>386.98</v>
      </c>
      <c r="G93" s="45" t="s">
        <v>6052</v>
      </c>
      <c r="I93" s="46">
        <v>352.59999999999997</v>
      </c>
      <c r="J93" s="47">
        <v>45810</v>
      </c>
    </row>
    <row r="94" spans="1:10">
      <c r="A94" s="36" t="s">
        <v>1892</v>
      </c>
      <c r="B94" s="35">
        <v>7629</v>
      </c>
      <c r="E94" s="45" t="s">
        <v>6051</v>
      </c>
      <c r="F94" s="46">
        <v>322.49</v>
      </c>
      <c r="G94" s="45" t="s">
        <v>6052</v>
      </c>
      <c r="I94" s="46">
        <v>293.83999999999997</v>
      </c>
      <c r="J94" s="47">
        <v>45810</v>
      </c>
    </row>
    <row r="95" spans="1:10">
      <c r="A95" s="36" t="s">
        <v>1910</v>
      </c>
      <c r="B95" s="35">
        <v>7629</v>
      </c>
      <c r="E95" s="45" t="s">
        <v>6051</v>
      </c>
      <c r="F95" s="46">
        <v>232.19</v>
      </c>
      <c r="G95" s="45" t="s">
        <v>6052</v>
      </c>
      <c r="I95" s="46">
        <v>211.56</v>
      </c>
      <c r="J95" s="47">
        <v>45810</v>
      </c>
    </row>
    <row r="96" spans="1:10">
      <c r="A96" s="36" t="s">
        <v>1911</v>
      </c>
      <c r="B96" s="35">
        <v>7629</v>
      </c>
      <c r="E96" s="45" t="s">
        <v>6051</v>
      </c>
      <c r="F96" s="46">
        <v>193.48999999999998</v>
      </c>
      <c r="G96" s="45" t="s">
        <v>6052</v>
      </c>
      <c r="I96" s="46">
        <v>176.29999999999998</v>
      </c>
      <c r="J96" s="47">
        <v>45810</v>
      </c>
    </row>
    <row r="97" spans="1:10">
      <c r="A97" s="36" t="s">
        <v>1902</v>
      </c>
      <c r="B97" s="35">
        <v>7629</v>
      </c>
      <c r="E97" s="45" t="s">
        <v>6051</v>
      </c>
      <c r="F97" s="46">
        <v>193.48999999999998</v>
      </c>
      <c r="G97" s="45" t="s">
        <v>6052</v>
      </c>
      <c r="I97" s="46">
        <v>176.29999999999998</v>
      </c>
      <c r="J97" s="47">
        <v>45810</v>
      </c>
    </row>
    <row r="98" spans="1:10">
      <c r="A98" s="36" t="s">
        <v>1903</v>
      </c>
      <c r="B98" s="35">
        <v>7629</v>
      </c>
      <c r="E98" s="45" t="s">
        <v>6051</v>
      </c>
      <c r="F98" s="46">
        <v>232.19</v>
      </c>
      <c r="G98" s="45" t="s">
        <v>6052</v>
      </c>
      <c r="I98" s="46">
        <v>211.56</v>
      </c>
      <c r="J98" s="47">
        <v>45810</v>
      </c>
    </row>
    <row r="99" spans="1:10">
      <c r="A99" s="36" t="s">
        <v>1912</v>
      </c>
      <c r="B99" s="35">
        <v>7629</v>
      </c>
      <c r="E99" s="45" t="s">
        <v>6051</v>
      </c>
      <c r="F99" s="46">
        <v>193.48999999999998</v>
      </c>
      <c r="G99" s="45" t="s">
        <v>6052</v>
      </c>
      <c r="I99" s="46">
        <v>176.29999999999998</v>
      </c>
      <c r="J99" s="47">
        <v>45810</v>
      </c>
    </row>
    <row r="100" spans="1:10">
      <c r="A100" s="36" t="s">
        <v>1904</v>
      </c>
      <c r="B100" s="35">
        <v>7629</v>
      </c>
      <c r="E100" s="45" t="s">
        <v>6051</v>
      </c>
      <c r="F100" s="46">
        <v>193.48999999999998</v>
      </c>
      <c r="G100" s="45" t="s">
        <v>6052</v>
      </c>
      <c r="I100" s="46">
        <v>176.29999999999998</v>
      </c>
      <c r="J100" s="47">
        <v>45810</v>
      </c>
    </row>
    <row r="101" spans="1:10">
      <c r="A101" s="36" t="s">
        <v>1913</v>
      </c>
      <c r="B101" s="35">
        <v>7629</v>
      </c>
      <c r="E101" s="45" t="s">
        <v>6051</v>
      </c>
      <c r="F101" s="46">
        <v>232.19</v>
      </c>
      <c r="G101" s="45" t="s">
        <v>6052</v>
      </c>
      <c r="I101" s="46">
        <v>211.56</v>
      </c>
      <c r="J101" s="47">
        <v>45810</v>
      </c>
    </row>
    <row r="102" spans="1:10">
      <c r="A102" s="36" t="s">
        <v>2121</v>
      </c>
      <c r="B102" s="35">
        <v>7629</v>
      </c>
      <c r="E102" s="45" t="s">
        <v>6051</v>
      </c>
      <c r="F102" s="46">
        <v>278.95999999999998</v>
      </c>
      <c r="G102" s="45" t="s">
        <v>6052</v>
      </c>
      <c r="I102" s="46">
        <v>254.17</v>
      </c>
      <c r="J102" s="47">
        <v>45810</v>
      </c>
    </row>
    <row r="103" spans="1:10">
      <c r="A103" s="36" t="s">
        <v>2123</v>
      </c>
      <c r="B103" s="35">
        <v>7629</v>
      </c>
      <c r="E103" s="45" t="s">
        <v>6051</v>
      </c>
      <c r="F103" s="46">
        <v>278.95999999999998</v>
      </c>
      <c r="G103" s="45" t="s">
        <v>6052</v>
      </c>
      <c r="I103" s="46">
        <v>254.17</v>
      </c>
      <c r="J103" s="47">
        <v>45810</v>
      </c>
    </row>
    <row r="104" spans="1:10">
      <c r="A104" s="36" t="s">
        <v>2124</v>
      </c>
      <c r="B104" s="35">
        <v>7629</v>
      </c>
      <c r="E104" s="45" t="s">
        <v>6051</v>
      </c>
      <c r="F104" s="46">
        <v>232.47</v>
      </c>
      <c r="G104" s="45" t="s">
        <v>6052</v>
      </c>
      <c r="I104" s="46">
        <v>211.81</v>
      </c>
      <c r="J104" s="47">
        <v>45810</v>
      </c>
    </row>
    <row r="105" spans="1:10">
      <c r="A105" s="36" t="s">
        <v>2125</v>
      </c>
      <c r="B105" s="35">
        <v>7629</v>
      </c>
      <c r="E105" s="45" t="s">
        <v>6051</v>
      </c>
      <c r="F105" s="46">
        <v>278.95999999999998</v>
      </c>
      <c r="G105" s="45" t="s">
        <v>6052</v>
      </c>
      <c r="I105" s="46">
        <v>254.17</v>
      </c>
      <c r="J105" s="47">
        <v>45810</v>
      </c>
    </row>
    <row r="106" spans="1:10">
      <c r="A106" s="36" t="s">
        <v>2126</v>
      </c>
      <c r="B106" s="35">
        <v>7629</v>
      </c>
      <c r="E106" s="45" t="s">
        <v>6051</v>
      </c>
      <c r="F106" s="46">
        <v>232.47</v>
      </c>
      <c r="G106" s="45" t="s">
        <v>6052</v>
      </c>
      <c r="I106" s="46">
        <v>211.81</v>
      </c>
      <c r="J106" s="47">
        <v>45810</v>
      </c>
    </row>
    <row r="107" spans="1:10">
      <c r="A107" s="36" t="s">
        <v>2133</v>
      </c>
      <c r="B107" s="35">
        <v>7629</v>
      </c>
      <c r="E107" s="45" t="s">
        <v>6051</v>
      </c>
      <c r="F107" s="46">
        <v>386.98</v>
      </c>
      <c r="G107" s="45" t="s">
        <v>6052</v>
      </c>
      <c r="I107" s="46">
        <v>352.59999999999997</v>
      </c>
      <c r="J107" s="47">
        <v>45810</v>
      </c>
    </row>
    <row r="108" spans="1:10">
      <c r="A108" s="36" t="s">
        <v>2134</v>
      </c>
      <c r="B108" s="35">
        <v>7629</v>
      </c>
      <c r="E108" s="45" t="s">
        <v>6051</v>
      </c>
      <c r="F108" s="46">
        <v>322.49</v>
      </c>
      <c r="G108" s="45" t="s">
        <v>6052</v>
      </c>
      <c r="I108" s="46">
        <v>293.83999999999997</v>
      </c>
      <c r="J108" s="47">
        <v>45810</v>
      </c>
    </row>
    <row r="109" spans="1:10">
      <c r="A109" s="36" t="s">
        <v>2135</v>
      </c>
      <c r="B109" s="35">
        <v>7629</v>
      </c>
      <c r="E109" s="45" t="s">
        <v>6051</v>
      </c>
      <c r="F109" s="46">
        <v>386.98</v>
      </c>
      <c r="G109" s="45" t="s">
        <v>6052</v>
      </c>
      <c r="I109" s="46">
        <v>352.59999999999997</v>
      </c>
      <c r="J109" s="47">
        <v>45810</v>
      </c>
    </row>
    <row r="110" spans="1:10">
      <c r="A110" s="36" t="s">
        <v>2136</v>
      </c>
      <c r="B110" s="35">
        <v>7629</v>
      </c>
      <c r="E110" s="45" t="s">
        <v>6051</v>
      </c>
      <c r="F110" s="46">
        <v>322.49</v>
      </c>
      <c r="G110" s="45" t="s">
        <v>6052</v>
      </c>
      <c r="I110" s="46">
        <v>293.83999999999997</v>
      </c>
      <c r="J110" s="47">
        <v>45810</v>
      </c>
    </row>
    <row r="111" spans="1:10">
      <c r="A111" s="36" t="s">
        <v>2158</v>
      </c>
      <c r="B111" s="35">
        <v>7629</v>
      </c>
      <c r="E111" s="45" t="s">
        <v>6051</v>
      </c>
      <c r="F111" s="46">
        <v>154.53</v>
      </c>
      <c r="G111" s="45" t="s">
        <v>6052</v>
      </c>
      <c r="I111" s="46">
        <v>140.79999999999998</v>
      </c>
      <c r="J111" s="47">
        <v>45810</v>
      </c>
    </row>
    <row r="112" spans="1:10">
      <c r="A112" s="36" t="s">
        <v>2161</v>
      </c>
      <c r="B112" s="35">
        <v>7629</v>
      </c>
      <c r="E112" s="45" t="s">
        <v>6051</v>
      </c>
      <c r="F112" s="46">
        <v>185.44</v>
      </c>
      <c r="G112" s="45" t="s">
        <v>6052</v>
      </c>
      <c r="I112" s="46">
        <v>168.95999999999998</v>
      </c>
      <c r="J112" s="47">
        <v>45810</v>
      </c>
    </row>
    <row r="113" spans="1:10">
      <c r="A113" s="36" t="s">
        <v>2162</v>
      </c>
      <c r="B113" s="35">
        <v>7629</v>
      </c>
      <c r="E113" s="45" t="s">
        <v>6051</v>
      </c>
      <c r="F113" s="46">
        <v>185.44</v>
      </c>
      <c r="G113" s="45" t="s">
        <v>6052</v>
      </c>
      <c r="I113" s="46">
        <v>168.95999999999998</v>
      </c>
      <c r="J113" s="47">
        <v>45810</v>
      </c>
    </row>
    <row r="114" spans="1:10">
      <c r="A114" s="36" t="s">
        <v>2163</v>
      </c>
      <c r="B114" s="35">
        <v>7629</v>
      </c>
      <c r="E114" s="45" t="s">
        <v>6051</v>
      </c>
      <c r="F114" s="46">
        <v>154.53</v>
      </c>
      <c r="G114" s="45" t="s">
        <v>6052</v>
      </c>
      <c r="I114" s="46">
        <v>140.79999999999998</v>
      </c>
      <c r="J114" s="47">
        <v>45810</v>
      </c>
    </row>
    <row r="115" spans="1:10">
      <c r="A115" s="36" t="s">
        <v>2165</v>
      </c>
      <c r="B115" s="35">
        <v>7629</v>
      </c>
      <c r="E115" s="45" t="s">
        <v>6051</v>
      </c>
      <c r="F115" s="46">
        <v>154.53</v>
      </c>
      <c r="G115" s="45" t="s">
        <v>6052</v>
      </c>
      <c r="I115" s="46">
        <v>140.79999999999998</v>
      </c>
      <c r="J115" s="47">
        <v>45810</v>
      </c>
    </row>
    <row r="116" spans="1:10">
      <c r="A116" s="36" t="s">
        <v>2166</v>
      </c>
      <c r="B116" s="35">
        <v>7629</v>
      </c>
      <c r="E116" s="45" t="s">
        <v>6051</v>
      </c>
      <c r="F116" s="46">
        <v>185.44</v>
      </c>
      <c r="G116" s="45" t="s">
        <v>6052</v>
      </c>
      <c r="I116" s="46">
        <v>168.95999999999998</v>
      </c>
      <c r="J116" s="47">
        <v>45810</v>
      </c>
    </row>
    <row r="117" spans="1:10">
      <c r="A117" s="36" t="s">
        <v>2171</v>
      </c>
      <c r="B117" s="35">
        <v>7629</v>
      </c>
      <c r="E117" s="45" t="s">
        <v>6051</v>
      </c>
      <c r="F117" s="46">
        <v>117.71000000000001</v>
      </c>
      <c r="G117" s="45" t="s">
        <v>6052</v>
      </c>
      <c r="I117" s="46">
        <v>107.25</v>
      </c>
      <c r="J117" s="47">
        <v>45810</v>
      </c>
    </row>
    <row r="118" spans="1:10">
      <c r="A118" s="36" t="s">
        <v>2172</v>
      </c>
      <c r="B118" s="35">
        <v>7629</v>
      </c>
      <c r="E118" s="45" t="s">
        <v>6051</v>
      </c>
      <c r="F118" s="46">
        <v>98.100000000000009</v>
      </c>
      <c r="G118" s="45" t="s">
        <v>6052</v>
      </c>
      <c r="I118" s="46">
        <v>89.38000000000001</v>
      </c>
      <c r="J118" s="47">
        <v>45810</v>
      </c>
    </row>
    <row r="119" spans="1:10">
      <c r="A119" s="36" t="s">
        <v>2173</v>
      </c>
      <c r="B119" s="35">
        <v>7629</v>
      </c>
      <c r="E119" s="45" t="s">
        <v>6051</v>
      </c>
      <c r="F119" s="46">
        <v>117.71000000000001</v>
      </c>
      <c r="G119" s="45" t="s">
        <v>6052</v>
      </c>
      <c r="I119" s="46">
        <v>107.25</v>
      </c>
      <c r="J119" s="47">
        <v>45810</v>
      </c>
    </row>
    <row r="120" spans="1:10">
      <c r="A120" s="36" t="s">
        <v>2174</v>
      </c>
      <c r="B120" s="35">
        <v>7629</v>
      </c>
      <c r="E120" s="45" t="s">
        <v>6051</v>
      </c>
      <c r="F120" s="46">
        <v>98.100000000000009</v>
      </c>
      <c r="G120" s="45" t="s">
        <v>6052</v>
      </c>
      <c r="I120" s="46">
        <v>89.38000000000001</v>
      </c>
      <c r="J120" s="47">
        <v>45810</v>
      </c>
    </row>
    <row r="121" spans="1:10">
      <c r="A121" s="36" t="s">
        <v>1928</v>
      </c>
      <c r="B121" s="35">
        <v>7629</v>
      </c>
      <c r="E121" s="45" t="s">
        <v>6051</v>
      </c>
      <c r="F121" s="46">
        <v>132.22999999999999</v>
      </c>
      <c r="G121" s="45" t="s">
        <v>6052</v>
      </c>
      <c r="I121" s="46">
        <v>120.48</v>
      </c>
      <c r="J121" s="47">
        <v>45810</v>
      </c>
    </row>
    <row r="122" spans="1:10">
      <c r="A122" s="36" t="s">
        <v>1929</v>
      </c>
      <c r="B122" s="35">
        <v>7629</v>
      </c>
      <c r="E122" s="45" t="s">
        <v>6051</v>
      </c>
      <c r="F122" s="46">
        <v>110.19000000000001</v>
      </c>
      <c r="G122" s="45" t="s">
        <v>6052</v>
      </c>
      <c r="I122" s="46">
        <v>100.4</v>
      </c>
      <c r="J122" s="47">
        <v>45810</v>
      </c>
    </row>
    <row r="123" spans="1:10">
      <c r="A123" s="36" t="s">
        <v>1920</v>
      </c>
      <c r="B123" s="35">
        <v>7629</v>
      </c>
      <c r="E123" s="45" t="s">
        <v>6051</v>
      </c>
      <c r="F123" s="46">
        <v>110.19000000000001</v>
      </c>
      <c r="G123" s="45" t="s">
        <v>6052</v>
      </c>
      <c r="I123" s="46">
        <v>100.4</v>
      </c>
      <c r="J123" s="47">
        <v>45810</v>
      </c>
    </row>
    <row r="124" spans="1:10">
      <c r="A124" s="36" t="s">
        <v>1930</v>
      </c>
      <c r="B124" s="35">
        <v>7629</v>
      </c>
      <c r="E124" s="45" t="s">
        <v>6051</v>
      </c>
      <c r="F124" s="46">
        <v>132.22999999999999</v>
      </c>
      <c r="G124" s="45" t="s">
        <v>6052</v>
      </c>
      <c r="I124" s="46">
        <v>120.48</v>
      </c>
      <c r="J124" s="47">
        <v>45810</v>
      </c>
    </row>
    <row r="125" spans="1:10">
      <c r="A125" s="36" t="s">
        <v>1931</v>
      </c>
      <c r="B125" s="35">
        <v>7629</v>
      </c>
      <c r="E125" s="45" t="s">
        <v>6051</v>
      </c>
      <c r="F125" s="46">
        <v>110.19000000000001</v>
      </c>
      <c r="G125" s="45" t="s">
        <v>6052</v>
      </c>
      <c r="I125" s="46">
        <v>100.4</v>
      </c>
      <c r="J125" s="47">
        <v>45810</v>
      </c>
    </row>
    <row r="126" spans="1:10">
      <c r="A126" s="36" t="s">
        <v>1940</v>
      </c>
      <c r="B126" s="35">
        <v>7629</v>
      </c>
      <c r="E126" s="45" t="s">
        <v>6051</v>
      </c>
      <c r="F126" s="46">
        <v>386.98</v>
      </c>
      <c r="G126" s="45" t="s">
        <v>6052</v>
      </c>
      <c r="I126" s="46">
        <v>352.59999999999997</v>
      </c>
      <c r="J126" s="47">
        <v>45810</v>
      </c>
    </row>
    <row r="127" spans="1:10">
      <c r="A127" s="36" t="s">
        <v>1941</v>
      </c>
      <c r="B127" s="35">
        <v>7629</v>
      </c>
      <c r="E127" s="45" t="s">
        <v>6051</v>
      </c>
      <c r="F127" s="46">
        <v>322.49</v>
      </c>
      <c r="G127" s="45" t="s">
        <v>6052</v>
      </c>
      <c r="I127" s="46">
        <v>293.83999999999997</v>
      </c>
      <c r="J127" s="47">
        <v>45810</v>
      </c>
    </row>
    <row r="128" spans="1:10">
      <c r="A128" s="36" t="s">
        <v>1942</v>
      </c>
      <c r="B128" s="35">
        <v>7629</v>
      </c>
      <c r="E128" s="45" t="s">
        <v>6051</v>
      </c>
      <c r="F128" s="46">
        <v>386.98</v>
      </c>
      <c r="G128" s="45" t="s">
        <v>6052</v>
      </c>
      <c r="I128" s="46">
        <v>352.59999999999997</v>
      </c>
      <c r="J128" s="47">
        <v>45810</v>
      </c>
    </row>
    <row r="129" spans="1:10">
      <c r="A129" s="36" t="s">
        <v>1944</v>
      </c>
      <c r="B129" s="35">
        <v>7629</v>
      </c>
      <c r="E129" s="45" t="s">
        <v>6051</v>
      </c>
      <c r="F129" s="46">
        <v>322.49</v>
      </c>
      <c r="G129" s="45" t="s">
        <v>6052</v>
      </c>
      <c r="I129" s="46">
        <v>293.83999999999997</v>
      </c>
      <c r="J129" s="47">
        <v>45810</v>
      </c>
    </row>
    <row r="130" spans="1:10">
      <c r="A130" s="36" t="s">
        <v>2185</v>
      </c>
      <c r="B130" s="35">
        <v>7629</v>
      </c>
      <c r="E130" s="45" t="s">
        <v>6051</v>
      </c>
      <c r="F130" s="46">
        <v>146.47</v>
      </c>
      <c r="G130" s="45" t="s">
        <v>6052</v>
      </c>
      <c r="I130" s="46">
        <v>133.44999999999999</v>
      </c>
      <c r="J130" s="47">
        <v>45810</v>
      </c>
    </row>
    <row r="131" spans="1:10">
      <c r="A131" s="36" t="s">
        <v>2188</v>
      </c>
      <c r="B131" s="35">
        <v>7629</v>
      </c>
      <c r="E131" s="45" t="s">
        <v>6051</v>
      </c>
      <c r="F131" s="46">
        <v>146.47</v>
      </c>
      <c r="G131" s="45" t="s">
        <v>6052</v>
      </c>
      <c r="I131" s="46">
        <v>133.44999999999999</v>
      </c>
      <c r="J131" s="47">
        <v>45810</v>
      </c>
    </row>
    <row r="132" spans="1:10">
      <c r="A132" s="36" t="s">
        <v>2189</v>
      </c>
      <c r="B132" s="35">
        <v>7629</v>
      </c>
      <c r="E132" s="45" t="s">
        <v>6051</v>
      </c>
      <c r="F132" s="46">
        <v>175.76</v>
      </c>
      <c r="G132" s="45" t="s">
        <v>6052</v>
      </c>
      <c r="I132" s="46">
        <v>160.13999999999999</v>
      </c>
      <c r="J132" s="47">
        <v>45810</v>
      </c>
    </row>
    <row r="133" spans="1:10">
      <c r="A133" s="36" t="s">
        <v>2190</v>
      </c>
      <c r="B133" s="35">
        <v>7629</v>
      </c>
      <c r="E133" s="45" t="s">
        <v>6051</v>
      </c>
      <c r="F133" s="46">
        <v>146.47</v>
      </c>
      <c r="G133" s="45" t="s">
        <v>6052</v>
      </c>
      <c r="I133" s="46">
        <v>133.44999999999999</v>
      </c>
      <c r="J133" s="47">
        <v>45810</v>
      </c>
    </row>
    <row r="134" spans="1:10">
      <c r="A134" s="36" t="s">
        <v>2192</v>
      </c>
      <c r="B134" s="35">
        <v>7629</v>
      </c>
      <c r="E134" s="45" t="s">
        <v>6051</v>
      </c>
      <c r="F134" s="46">
        <v>146.47</v>
      </c>
      <c r="G134" s="45" t="s">
        <v>6052</v>
      </c>
      <c r="I134" s="46">
        <v>133.44999999999999</v>
      </c>
      <c r="J134" s="47">
        <v>45810</v>
      </c>
    </row>
    <row r="135" spans="1:10">
      <c r="A135" s="36" t="s">
        <v>1952</v>
      </c>
      <c r="B135" s="35">
        <v>7629</v>
      </c>
      <c r="E135" s="45" t="s">
        <v>6051</v>
      </c>
      <c r="F135" s="46">
        <v>624.80999999999995</v>
      </c>
      <c r="G135" s="45" t="s">
        <v>6052</v>
      </c>
      <c r="I135" s="46">
        <v>569.29999999999995</v>
      </c>
      <c r="J135" s="47">
        <v>45810</v>
      </c>
    </row>
    <row r="136" spans="1:10">
      <c r="A136" s="36" t="s">
        <v>1949</v>
      </c>
      <c r="B136" s="35">
        <v>7629</v>
      </c>
      <c r="E136" s="45" t="s">
        <v>6051</v>
      </c>
      <c r="F136" s="46">
        <v>624.80999999999995</v>
      </c>
      <c r="G136" s="45" t="s">
        <v>6052</v>
      </c>
      <c r="I136" s="46">
        <v>569.29999999999995</v>
      </c>
      <c r="J136" s="47">
        <v>45810</v>
      </c>
    </row>
    <row r="137" spans="1:10">
      <c r="A137" s="36" t="s">
        <v>1950</v>
      </c>
      <c r="B137" s="35">
        <v>7629</v>
      </c>
      <c r="E137" s="45" t="s">
        <v>6051</v>
      </c>
      <c r="F137" s="46">
        <v>624.80999999999995</v>
      </c>
      <c r="G137" s="45" t="s">
        <v>6052</v>
      </c>
      <c r="I137" s="46">
        <v>569.29999999999995</v>
      </c>
      <c r="J137" s="47">
        <v>45810</v>
      </c>
    </row>
    <row r="138" spans="1:10">
      <c r="A138" s="36" t="s">
        <v>1954</v>
      </c>
      <c r="B138" s="35">
        <v>7629</v>
      </c>
      <c r="E138" s="45" t="s">
        <v>6051</v>
      </c>
      <c r="F138" s="46">
        <v>624.80999999999995</v>
      </c>
      <c r="G138" s="45" t="s">
        <v>6052</v>
      </c>
      <c r="I138" s="46">
        <v>569.29999999999995</v>
      </c>
      <c r="J138" s="47">
        <v>45810</v>
      </c>
    </row>
    <row r="139" spans="1:10">
      <c r="A139" s="36" t="s">
        <v>1960</v>
      </c>
      <c r="B139" s="35">
        <v>7629</v>
      </c>
      <c r="E139" s="45" t="s">
        <v>6051</v>
      </c>
      <c r="F139" s="46">
        <v>528.06999999999994</v>
      </c>
      <c r="G139" s="45" t="s">
        <v>6052</v>
      </c>
      <c r="I139" s="46">
        <v>481.15</v>
      </c>
      <c r="J139" s="47">
        <v>45810</v>
      </c>
    </row>
    <row r="140" spans="1:10">
      <c r="A140" s="36" t="s">
        <v>1962</v>
      </c>
      <c r="B140" s="35">
        <v>7629</v>
      </c>
      <c r="E140" s="45" t="s">
        <v>6051</v>
      </c>
      <c r="F140" s="46">
        <v>633.67999999999995</v>
      </c>
      <c r="G140" s="45" t="s">
        <v>6052</v>
      </c>
      <c r="I140" s="46">
        <v>577.38</v>
      </c>
      <c r="J140" s="47">
        <v>45810</v>
      </c>
    </row>
    <row r="141" spans="1:10">
      <c r="A141" s="36" t="s">
        <v>1963</v>
      </c>
      <c r="B141" s="35">
        <v>7629</v>
      </c>
      <c r="E141" s="45" t="s">
        <v>6051</v>
      </c>
      <c r="F141" s="46">
        <v>633.67999999999995</v>
      </c>
      <c r="G141" s="45" t="s">
        <v>6052</v>
      </c>
      <c r="I141" s="46">
        <v>577.38</v>
      </c>
      <c r="J141" s="47">
        <v>45810</v>
      </c>
    </row>
    <row r="142" spans="1:10">
      <c r="A142" s="36" t="s">
        <v>1966</v>
      </c>
      <c r="B142" s="35">
        <v>7629</v>
      </c>
      <c r="E142" s="45" t="s">
        <v>6051</v>
      </c>
      <c r="F142" s="46">
        <v>528.06999999999994</v>
      </c>
      <c r="G142" s="45" t="s">
        <v>6052</v>
      </c>
      <c r="I142" s="46">
        <v>481.15</v>
      </c>
      <c r="J142" s="47">
        <v>45810</v>
      </c>
    </row>
    <row r="143" spans="1:10">
      <c r="A143" s="36" t="s">
        <v>1969</v>
      </c>
      <c r="B143" s="35">
        <v>7629</v>
      </c>
      <c r="E143" s="45" t="s">
        <v>6051</v>
      </c>
      <c r="F143" s="46">
        <v>794.12</v>
      </c>
      <c r="G143" s="45" t="s">
        <v>6052</v>
      </c>
      <c r="I143" s="46">
        <v>723.56999999999994</v>
      </c>
      <c r="J143" s="47">
        <v>45810</v>
      </c>
    </row>
    <row r="144" spans="1:10">
      <c r="A144" s="36" t="s">
        <v>1971</v>
      </c>
      <c r="B144" s="35">
        <v>7629</v>
      </c>
      <c r="E144" s="45" t="s">
        <v>6051</v>
      </c>
      <c r="F144" s="46">
        <v>952.93999999999994</v>
      </c>
      <c r="G144" s="45" t="s">
        <v>6052</v>
      </c>
      <c r="I144" s="46">
        <v>868.28</v>
      </c>
      <c r="J144" s="47">
        <v>45810</v>
      </c>
    </row>
    <row r="145" spans="1:10">
      <c r="A145" s="36" t="s">
        <v>1972</v>
      </c>
      <c r="B145" s="35">
        <v>7629</v>
      </c>
      <c r="E145" s="45" t="s">
        <v>6051</v>
      </c>
      <c r="F145" s="46">
        <v>952.93999999999994</v>
      </c>
      <c r="G145" s="45" t="s">
        <v>6052</v>
      </c>
      <c r="I145" s="46">
        <v>868.28</v>
      </c>
      <c r="J145" s="47">
        <v>45810</v>
      </c>
    </row>
    <row r="146" spans="1:10">
      <c r="A146" s="36" t="s">
        <v>1975</v>
      </c>
      <c r="B146" s="35">
        <v>7629</v>
      </c>
      <c r="E146" s="45" t="s">
        <v>6051</v>
      </c>
      <c r="F146" s="46">
        <v>794.12</v>
      </c>
      <c r="G146" s="45" t="s">
        <v>6052</v>
      </c>
      <c r="I146" s="46">
        <v>723.56999999999994</v>
      </c>
      <c r="J146" s="47">
        <v>45810</v>
      </c>
    </row>
    <row r="147" spans="1:10">
      <c r="A147" s="36" t="s">
        <v>1978</v>
      </c>
      <c r="B147" s="35">
        <v>7629</v>
      </c>
      <c r="E147" s="45" t="s">
        <v>6051</v>
      </c>
      <c r="F147" s="46">
        <v>751.12</v>
      </c>
      <c r="G147" s="45" t="s">
        <v>6052</v>
      </c>
      <c r="I147" s="46">
        <v>684.39</v>
      </c>
      <c r="J147" s="47">
        <v>45810</v>
      </c>
    </row>
    <row r="148" spans="1:10">
      <c r="A148" s="36" t="s">
        <v>1979</v>
      </c>
      <c r="B148" s="35">
        <v>7629</v>
      </c>
      <c r="E148" s="45" t="s">
        <v>6051</v>
      </c>
      <c r="F148" s="46">
        <v>751.12</v>
      </c>
      <c r="G148" s="45" t="s">
        <v>6052</v>
      </c>
      <c r="I148" s="46">
        <v>684.39</v>
      </c>
      <c r="J148" s="47">
        <v>45810</v>
      </c>
    </row>
    <row r="149" spans="1:10">
      <c r="A149" s="36" t="s">
        <v>1981</v>
      </c>
      <c r="B149" s="35">
        <v>7629</v>
      </c>
      <c r="E149" s="45" t="s">
        <v>6051</v>
      </c>
      <c r="F149" s="46">
        <v>901.35</v>
      </c>
      <c r="G149" s="45" t="s">
        <v>6052</v>
      </c>
      <c r="I149" s="46">
        <v>821.27</v>
      </c>
      <c r="J149" s="47">
        <v>45810</v>
      </c>
    </row>
    <row r="150" spans="1:10">
      <c r="A150" s="36" t="s">
        <v>1984</v>
      </c>
      <c r="B150" s="35">
        <v>7629</v>
      </c>
      <c r="E150" s="45" t="s">
        <v>6051</v>
      </c>
      <c r="F150" s="46">
        <v>442.08</v>
      </c>
      <c r="G150" s="45" t="s">
        <v>6052</v>
      </c>
      <c r="I150" s="46">
        <v>402.8</v>
      </c>
      <c r="J150" s="47">
        <v>45810</v>
      </c>
    </row>
    <row r="151" spans="1:10">
      <c r="A151" s="36" t="s">
        <v>1985</v>
      </c>
      <c r="B151" s="35">
        <v>7629</v>
      </c>
      <c r="E151" s="45" t="s">
        <v>6051</v>
      </c>
      <c r="F151" s="46">
        <v>442.08</v>
      </c>
      <c r="G151" s="45" t="s">
        <v>6052</v>
      </c>
      <c r="I151" s="46">
        <v>402.8</v>
      </c>
      <c r="J151" s="47">
        <v>45810</v>
      </c>
    </row>
    <row r="152" spans="1:10">
      <c r="A152" s="36" t="s">
        <v>1989</v>
      </c>
      <c r="B152" s="35">
        <v>7629</v>
      </c>
      <c r="E152" s="45" t="s">
        <v>6051</v>
      </c>
      <c r="F152" s="46">
        <v>442.08</v>
      </c>
      <c r="G152" s="45" t="s">
        <v>6052</v>
      </c>
      <c r="I152" s="46">
        <v>402.8</v>
      </c>
      <c r="J152" s="47">
        <v>45810</v>
      </c>
    </row>
    <row r="153" spans="1:10">
      <c r="A153" s="36" t="s">
        <v>2000</v>
      </c>
      <c r="B153" s="35">
        <v>7629</v>
      </c>
      <c r="E153" s="45" t="s">
        <v>6051</v>
      </c>
      <c r="F153" s="46">
        <v>318.45999999999998</v>
      </c>
      <c r="G153" s="45" t="s">
        <v>6052</v>
      </c>
      <c r="I153" s="46">
        <v>290.15999999999997</v>
      </c>
      <c r="J153" s="47">
        <v>45810</v>
      </c>
    </row>
    <row r="154" spans="1:10">
      <c r="A154" s="36" t="s">
        <v>2008</v>
      </c>
      <c r="B154" s="35">
        <v>7629</v>
      </c>
      <c r="E154" s="45" t="s">
        <v>6051</v>
      </c>
      <c r="F154" s="46">
        <v>318.45999999999998</v>
      </c>
      <c r="G154" s="45" t="s">
        <v>6052</v>
      </c>
      <c r="I154" s="46">
        <v>290.15999999999997</v>
      </c>
      <c r="J154" s="47">
        <v>45810</v>
      </c>
    </row>
    <row r="155" spans="1:10">
      <c r="A155" s="36" t="s">
        <v>2010</v>
      </c>
      <c r="B155" s="35">
        <v>7629</v>
      </c>
      <c r="E155" s="45" t="s">
        <v>6051</v>
      </c>
      <c r="F155" s="46">
        <v>318.45999999999998</v>
      </c>
      <c r="G155" s="45" t="s">
        <v>6052</v>
      </c>
      <c r="I155" s="46">
        <v>290.15999999999997</v>
      </c>
      <c r="J155" s="47">
        <v>45810</v>
      </c>
    </row>
    <row r="156" spans="1:10">
      <c r="A156" s="36" t="s">
        <v>2001</v>
      </c>
      <c r="B156" s="35">
        <v>7629</v>
      </c>
      <c r="E156" s="45" t="s">
        <v>6051</v>
      </c>
      <c r="F156" s="46">
        <v>318.45999999999998</v>
      </c>
      <c r="G156" s="45" t="s">
        <v>6052</v>
      </c>
      <c r="I156" s="46">
        <v>290.15999999999997</v>
      </c>
      <c r="J156" s="47">
        <v>45810</v>
      </c>
    </row>
    <row r="157" spans="1:10">
      <c r="A157" s="36" t="s">
        <v>2011</v>
      </c>
      <c r="B157" s="35">
        <v>7629</v>
      </c>
      <c r="E157" s="45" t="s">
        <v>6051</v>
      </c>
      <c r="F157" s="46">
        <v>318.45999999999998</v>
      </c>
      <c r="G157" s="45" t="s">
        <v>6052</v>
      </c>
      <c r="I157" s="46">
        <v>290.15999999999997</v>
      </c>
      <c r="J157" s="47">
        <v>45810</v>
      </c>
    </row>
    <row r="158" spans="1:10">
      <c r="A158" s="36" t="s">
        <v>2013</v>
      </c>
      <c r="B158" s="35">
        <v>7629</v>
      </c>
      <c r="E158" s="45" t="s">
        <v>6051</v>
      </c>
      <c r="F158" s="46">
        <v>318.45999999999998</v>
      </c>
      <c r="G158" s="45" t="s">
        <v>6052</v>
      </c>
      <c r="I158" s="46">
        <v>290.15999999999997</v>
      </c>
      <c r="J158" s="47">
        <v>45810</v>
      </c>
    </row>
    <row r="159" spans="1:10">
      <c r="A159" s="36" t="s">
        <v>1670</v>
      </c>
      <c r="B159" s="35">
        <v>7629</v>
      </c>
      <c r="E159" s="45" t="s">
        <v>6051</v>
      </c>
      <c r="F159" s="46">
        <v>278.15999999999997</v>
      </c>
      <c r="G159" s="45" t="s">
        <v>6052</v>
      </c>
      <c r="I159" s="46">
        <v>253.44</v>
      </c>
      <c r="J159" s="47">
        <v>45810</v>
      </c>
    </row>
    <row r="160" spans="1:10">
      <c r="A160" s="36" t="s">
        <v>1671</v>
      </c>
      <c r="B160" s="35">
        <v>7629</v>
      </c>
      <c r="E160" s="45" t="s">
        <v>6051</v>
      </c>
      <c r="F160" s="46">
        <v>278.15999999999997</v>
      </c>
      <c r="G160" s="45" t="s">
        <v>6052</v>
      </c>
      <c r="I160" s="46">
        <v>253.44</v>
      </c>
      <c r="J160" s="47">
        <v>45810</v>
      </c>
    </row>
    <row r="161" spans="1:10">
      <c r="A161" s="36" t="s">
        <v>1672</v>
      </c>
      <c r="B161" s="35">
        <v>7629</v>
      </c>
      <c r="E161" s="45" t="s">
        <v>6051</v>
      </c>
      <c r="F161" s="46">
        <v>278.15999999999997</v>
      </c>
      <c r="G161" s="45" t="s">
        <v>6052</v>
      </c>
      <c r="I161" s="46">
        <v>253.44</v>
      </c>
      <c r="J161" s="47">
        <v>45810</v>
      </c>
    </row>
    <row r="162" spans="1:10">
      <c r="A162" s="36" t="s">
        <v>2019</v>
      </c>
      <c r="B162" s="35">
        <v>7629</v>
      </c>
      <c r="E162" s="45" t="s">
        <v>6051</v>
      </c>
      <c r="F162" s="46">
        <v>442.08</v>
      </c>
      <c r="G162" s="45" t="s">
        <v>6052</v>
      </c>
      <c r="I162" s="46">
        <v>402.8</v>
      </c>
      <c r="J162" s="47">
        <v>45810</v>
      </c>
    </row>
    <row r="163" spans="1:10">
      <c r="A163" s="36" t="s">
        <v>2017</v>
      </c>
      <c r="B163" s="35">
        <v>7629</v>
      </c>
      <c r="E163" s="45" t="s">
        <v>6051</v>
      </c>
      <c r="F163" s="46">
        <v>442.08</v>
      </c>
      <c r="G163" s="45" t="s">
        <v>6052</v>
      </c>
      <c r="I163" s="46">
        <v>402.8</v>
      </c>
      <c r="J163" s="47">
        <v>45810</v>
      </c>
    </row>
    <row r="164" spans="1:10">
      <c r="A164" s="36" t="s">
        <v>2020</v>
      </c>
      <c r="B164" s="35">
        <v>7629</v>
      </c>
      <c r="E164" s="45" t="s">
        <v>6051</v>
      </c>
      <c r="F164" s="46">
        <v>442.08</v>
      </c>
      <c r="G164" s="45" t="s">
        <v>6052</v>
      </c>
      <c r="I164" s="46">
        <v>402.8</v>
      </c>
      <c r="J164" s="47">
        <v>45810</v>
      </c>
    </row>
    <row r="165" spans="1:10">
      <c r="A165" s="36" t="s">
        <v>2199</v>
      </c>
      <c r="B165" s="35">
        <v>7629</v>
      </c>
      <c r="E165" s="45" t="s">
        <v>6051</v>
      </c>
      <c r="F165" s="46">
        <v>268.74</v>
      </c>
      <c r="G165" s="45" t="s">
        <v>6052</v>
      </c>
      <c r="I165" s="46">
        <v>244.86</v>
      </c>
      <c r="J165" s="47">
        <v>45810</v>
      </c>
    </row>
    <row r="166" spans="1:10">
      <c r="A166" s="36" t="s">
        <v>2200</v>
      </c>
      <c r="B166" s="35">
        <v>7629</v>
      </c>
      <c r="E166" s="45" t="s">
        <v>6051</v>
      </c>
      <c r="F166" s="46">
        <v>268.74</v>
      </c>
      <c r="G166" s="45" t="s">
        <v>6052</v>
      </c>
      <c r="I166" s="46">
        <v>244.86</v>
      </c>
      <c r="J166" s="47">
        <v>45810</v>
      </c>
    </row>
    <row r="167" spans="1:10">
      <c r="A167" s="36" t="s">
        <v>2201</v>
      </c>
      <c r="B167" s="35">
        <v>7629</v>
      </c>
      <c r="E167" s="45" t="s">
        <v>6051</v>
      </c>
      <c r="F167" s="46">
        <v>133.03</v>
      </c>
      <c r="G167" s="45" t="s">
        <v>6052</v>
      </c>
      <c r="I167" s="46">
        <v>121.21000000000001</v>
      </c>
      <c r="J167" s="47">
        <v>45810</v>
      </c>
    </row>
    <row r="168" spans="1:10">
      <c r="A168" s="36" t="s">
        <v>2202</v>
      </c>
      <c r="B168" s="35">
        <v>7629</v>
      </c>
      <c r="E168" s="45" t="s">
        <v>6051</v>
      </c>
      <c r="F168" s="46">
        <v>133.03</v>
      </c>
      <c r="G168" s="45" t="s">
        <v>6052</v>
      </c>
      <c r="I168" s="46">
        <v>121.21000000000001</v>
      </c>
      <c r="J168" s="47">
        <v>45810</v>
      </c>
    </row>
    <row r="169" spans="1:10">
      <c r="A169" s="36" t="s">
        <v>2203</v>
      </c>
      <c r="B169" s="35">
        <v>7629</v>
      </c>
      <c r="E169" s="45" t="s">
        <v>6051</v>
      </c>
      <c r="F169" s="46">
        <v>133.03</v>
      </c>
      <c r="G169" s="45" t="s">
        <v>6052</v>
      </c>
      <c r="I169" s="46">
        <v>121.21000000000001</v>
      </c>
      <c r="J169" s="47">
        <v>45810</v>
      </c>
    </row>
    <row r="170" spans="1:10">
      <c r="A170" s="36" t="s">
        <v>2211</v>
      </c>
      <c r="B170" s="35">
        <v>7629</v>
      </c>
      <c r="E170" s="45" t="s">
        <v>6051</v>
      </c>
      <c r="F170" s="46">
        <v>162.6</v>
      </c>
      <c r="G170" s="45" t="s">
        <v>6052</v>
      </c>
      <c r="I170" s="46">
        <v>148.14999999999998</v>
      </c>
      <c r="J170" s="47">
        <v>45810</v>
      </c>
    </row>
    <row r="171" spans="1:10">
      <c r="A171" s="36" t="s">
        <v>2212</v>
      </c>
      <c r="B171" s="35">
        <v>7629</v>
      </c>
      <c r="E171" s="45" t="s">
        <v>6051</v>
      </c>
      <c r="F171" s="46">
        <v>162.6</v>
      </c>
      <c r="G171" s="45" t="s">
        <v>6052</v>
      </c>
      <c r="I171" s="46">
        <v>148.14999999999998</v>
      </c>
      <c r="J171" s="47">
        <v>45810</v>
      </c>
    </row>
    <row r="172" spans="1:10">
      <c r="A172" s="36" t="s">
        <v>2213</v>
      </c>
      <c r="B172" s="35">
        <v>7629</v>
      </c>
      <c r="E172" s="45" t="s">
        <v>6051</v>
      </c>
      <c r="F172" s="46">
        <v>195.10999999999999</v>
      </c>
      <c r="G172" s="45" t="s">
        <v>6052</v>
      </c>
      <c r="I172" s="46">
        <v>177.76999999999998</v>
      </c>
      <c r="J172" s="47">
        <v>45810</v>
      </c>
    </row>
    <row r="173" spans="1:10">
      <c r="A173" s="36" t="s">
        <v>2214</v>
      </c>
      <c r="B173" s="35">
        <v>7629</v>
      </c>
      <c r="E173" s="45" t="s">
        <v>6051</v>
      </c>
      <c r="F173" s="46">
        <v>162.6</v>
      </c>
      <c r="G173" s="45" t="s">
        <v>6052</v>
      </c>
      <c r="I173" s="46">
        <v>148.14999999999998</v>
      </c>
      <c r="J173" s="47">
        <v>45810</v>
      </c>
    </row>
    <row r="174" spans="1:10">
      <c r="A174" s="36" t="s">
        <v>2215</v>
      </c>
      <c r="B174" s="35">
        <v>7629</v>
      </c>
      <c r="E174" s="45" t="s">
        <v>6051</v>
      </c>
      <c r="F174" s="46">
        <v>195.10999999999999</v>
      </c>
      <c r="G174" s="45" t="s">
        <v>6052</v>
      </c>
      <c r="I174" s="46">
        <v>177.76999999999998</v>
      </c>
      <c r="J174" s="47">
        <v>45810</v>
      </c>
    </row>
    <row r="175" spans="1:10">
      <c r="A175" s="36" t="s">
        <v>2217</v>
      </c>
      <c r="B175" s="35">
        <v>7629</v>
      </c>
      <c r="E175" s="45" t="s">
        <v>6051</v>
      </c>
      <c r="F175" s="46">
        <v>162.6</v>
      </c>
      <c r="G175" s="45" t="s">
        <v>6052</v>
      </c>
      <c r="I175" s="46">
        <v>148.14999999999998</v>
      </c>
      <c r="J175" s="47">
        <v>45810</v>
      </c>
    </row>
    <row r="176" spans="1:10">
      <c r="A176" s="36" t="s">
        <v>2223</v>
      </c>
      <c r="B176" s="35">
        <v>7629</v>
      </c>
      <c r="E176" s="45" t="s">
        <v>6051</v>
      </c>
      <c r="F176" s="46">
        <v>181.41</v>
      </c>
      <c r="G176" s="45" t="s">
        <v>6052</v>
      </c>
      <c r="I176" s="46">
        <v>165.29</v>
      </c>
      <c r="J176" s="47">
        <v>45810</v>
      </c>
    </row>
    <row r="177" spans="1:10">
      <c r="A177" s="36" t="s">
        <v>2220</v>
      </c>
      <c r="B177" s="35">
        <v>7629</v>
      </c>
      <c r="E177" s="45" t="s">
        <v>6051</v>
      </c>
      <c r="F177" s="46">
        <v>181.41</v>
      </c>
      <c r="G177" s="45" t="s">
        <v>6052</v>
      </c>
      <c r="I177" s="46">
        <v>165.29</v>
      </c>
      <c r="J177" s="47">
        <v>45810</v>
      </c>
    </row>
    <row r="178" spans="1:10">
      <c r="A178" s="36" t="s">
        <v>2221</v>
      </c>
      <c r="B178" s="35">
        <v>7629</v>
      </c>
      <c r="E178" s="45" t="s">
        <v>6051</v>
      </c>
      <c r="F178" s="46">
        <v>181.41</v>
      </c>
      <c r="G178" s="45" t="s">
        <v>6052</v>
      </c>
      <c r="I178" s="46">
        <v>165.29</v>
      </c>
      <c r="J178" s="47">
        <v>45810</v>
      </c>
    </row>
    <row r="179" spans="1:10">
      <c r="A179" s="36" t="s">
        <v>2225</v>
      </c>
      <c r="B179" s="35">
        <v>7629</v>
      </c>
      <c r="E179" s="45" t="s">
        <v>6051</v>
      </c>
      <c r="F179" s="46">
        <v>181.41</v>
      </c>
      <c r="G179" s="45" t="s">
        <v>6052</v>
      </c>
      <c r="I179" s="46">
        <v>165.29</v>
      </c>
      <c r="J179" s="47">
        <v>45810</v>
      </c>
    </row>
    <row r="180" spans="1:10">
      <c r="A180" s="36" t="s">
        <v>2240</v>
      </c>
      <c r="B180" s="35">
        <v>7629</v>
      </c>
      <c r="E180" s="45" t="s">
        <v>6051</v>
      </c>
      <c r="F180" s="46">
        <v>173.34</v>
      </c>
      <c r="G180" s="45" t="s">
        <v>6052</v>
      </c>
      <c r="I180" s="46">
        <v>157.94</v>
      </c>
      <c r="J180" s="47">
        <v>45810</v>
      </c>
    </row>
    <row r="181" spans="1:10">
      <c r="A181" s="36" t="s">
        <v>2241</v>
      </c>
      <c r="B181" s="35">
        <v>7629</v>
      </c>
      <c r="E181" s="45" t="s">
        <v>6051</v>
      </c>
      <c r="F181" s="46">
        <v>173.34</v>
      </c>
      <c r="G181" s="45" t="s">
        <v>6052</v>
      </c>
      <c r="I181" s="46">
        <v>157.94</v>
      </c>
      <c r="J181" s="47">
        <v>45810</v>
      </c>
    </row>
    <row r="182" spans="1:10">
      <c r="A182" s="36" t="s">
        <v>1685</v>
      </c>
      <c r="B182" s="35">
        <v>7629</v>
      </c>
      <c r="E182" s="45" t="s">
        <v>6051</v>
      </c>
      <c r="F182" s="46">
        <v>287.56</v>
      </c>
      <c r="G182" s="45" t="s">
        <v>6052</v>
      </c>
      <c r="I182" s="46">
        <v>262.01</v>
      </c>
      <c r="J182" s="47">
        <v>45810</v>
      </c>
    </row>
    <row r="183" spans="1:10">
      <c r="A183" s="36" t="s">
        <v>1686</v>
      </c>
      <c r="B183" s="35">
        <v>7629</v>
      </c>
      <c r="E183" s="45" t="s">
        <v>6051</v>
      </c>
      <c r="F183" s="46">
        <v>287.56</v>
      </c>
      <c r="G183" s="45" t="s">
        <v>6052</v>
      </c>
      <c r="I183" s="46">
        <v>262.01</v>
      </c>
      <c r="J183" s="47">
        <v>45810</v>
      </c>
    </row>
    <row r="184" spans="1:10">
      <c r="A184" s="36" t="s">
        <v>1688</v>
      </c>
      <c r="B184" s="35">
        <v>7629</v>
      </c>
      <c r="E184" s="45" t="s">
        <v>6051</v>
      </c>
      <c r="F184" s="46">
        <v>287.56</v>
      </c>
      <c r="G184" s="45" t="s">
        <v>6052</v>
      </c>
      <c r="I184" s="46">
        <v>262.01</v>
      </c>
      <c r="J184" s="47">
        <v>45810</v>
      </c>
    </row>
    <row r="185" spans="1:10">
      <c r="A185" s="36" t="s">
        <v>1694</v>
      </c>
      <c r="B185" s="35">
        <v>7629</v>
      </c>
      <c r="E185" s="45" t="s">
        <v>6051</v>
      </c>
      <c r="F185" s="46">
        <v>483.73</v>
      </c>
      <c r="G185" s="45" t="s">
        <v>6052</v>
      </c>
      <c r="I185" s="46">
        <v>440.75</v>
      </c>
      <c r="J185" s="47">
        <v>45810</v>
      </c>
    </row>
    <row r="186" spans="1:10">
      <c r="A186" s="36" t="s">
        <v>1691</v>
      </c>
      <c r="B186" s="35">
        <v>7629</v>
      </c>
      <c r="E186" s="45" t="s">
        <v>6051</v>
      </c>
      <c r="F186" s="46">
        <v>483.73</v>
      </c>
      <c r="G186" s="45" t="s">
        <v>6052</v>
      </c>
      <c r="I186" s="46">
        <v>440.75</v>
      </c>
      <c r="J186" s="47">
        <v>45810</v>
      </c>
    </row>
    <row r="187" spans="1:10">
      <c r="A187" s="36" t="s">
        <v>1692</v>
      </c>
      <c r="B187" s="35">
        <v>7629</v>
      </c>
      <c r="E187" s="45" t="s">
        <v>6051</v>
      </c>
      <c r="F187" s="46">
        <v>483.73</v>
      </c>
      <c r="G187" s="45" t="s">
        <v>6052</v>
      </c>
      <c r="I187" s="46">
        <v>440.75</v>
      </c>
      <c r="J187" s="47">
        <v>45810</v>
      </c>
    </row>
    <row r="188" spans="1:10">
      <c r="A188" s="36" t="s">
        <v>1695</v>
      </c>
      <c r="B188" s="35">
        <v>7629</v>
      </c>
      <c r="E188" s="45" t="s">
        <v>6051</v>
      </c>
      <c r="F188" s="46">
        <v>483.73</v>
      </c>
      <c r="G188" s="45" t="s">
        <v>6052</v>
      </c>
      <c r="I188" s="46">
        <v>440.75</v>
      </c>
      <c r="J188" s="47">
        <v>45810</v>
      </c>
    </row>
    <row r="189" spans="1:10">
      <c r="A189" s="36" t="s">
        <v>1697</v>
      </c>
      <c r="B189" s="35">
        <v>7629</v>
      </c>
      <c r="E189" s="45" t="s">
        <v>6051</v>
      </c>
      <c r="F189" s="46">
        <v>558.97</v>
      </c>
      <c r="G189" s="45" t="s">
        <v>6052</v>
      </c>
      <c r="I189" s="46">
        <v>509.31</v>
      </c>
      <c r="J189" s="47">
        <v>45810</v>
      </c>
    </row>
    <row r="190" spans="1:10">
      <c r="A190" s="36" t="s">
        <v>1698</v>
      </c>
      <c r="B190" s="35">
        <v>7629</v>
      </c>
      <c r="E190" s="45" t="s">
        <v>6051</v>
      </c>
      <c r="F190" s="46">
        <v>558.97</v>
      </c>
      <c r="G190" s="45" t="s">
        <v>6052</v>
      </c>
      <c r="I190" s="46">
        <v>509.31</v>
      </c>
      <c r="J190" s="47">
        <v>45810</v>
      </c>
    </row>
    <row r="191" spans="1:10">
      <c r="A191" s="36" t="s">
        <v>1701</v>
      </c>
      <c r="B191" s="35">
        <v>7629</v>
      </c>
      <c r="E191" s="45" t="s">
        <v>6051</v>
      </c>
      <c r="F191" s="46">
        <v>558.97</v>
      </c>
      <c r="G191" s="45" t="s">
        <v>6052</v>
      </c>
      <c r="I191" s="46">
        <v>509.31</v>
      </c>
      <c r="J191" s="47">
        <v>45810</v>
      </c>
    </row>
    <row r="192" spans="1:10">
      <c r="A192" s="36" t="s">
        <v>1699</v>
      </c>
      <c r="B192" s="35">
        <v>7629</v>
      </c>
      <c r="E192" s="45" t="s">
        <v>6051</v>
      </c>
      <c r="F192" s="46">
        <v>558.97</v>
      </c>
      <c r="G192" s="45" t="s">
        <v>6052</v>
      </c>
      <c r="I192" s="46">
        <v>509.31</v>
      </c>
      <c r="J192" s="47">
        <v>45810</v>
      </c>
    </row>
    <row r="193" spans="1:10">
      <c r="A193" s="36" t="s">
        <v>1700</v>
      </c>
      <c r="B193" s="35">
        <v>7629</v>
      </c>
      <c r="E193" s="45" t="s">
        <v>6051</v>
      </c>
      <c r="F193" s="46">
        <v>558.97</v>
      </c>
      <c r="G193" s="45" t="s">
        <v>6052</v>
      </c>
      <c r="I193" s="46">
        <v>509.31</v>
      </c>
      <c r="J193" s="47">
        <v>45810</v>
      </c>
    </row>
    <row r="194" spans="1:10">
      <c r="A194" s="36" t="s">
        <v>1703</v>
      </c>
      <c r="B194" s="35">
        <v>7629</v>
      </c>
      <c r="E194" s="45" t="s">
        <v>6051</v>
      </c>
      <c r="F194" s="46">
        <v>327.86</v>
      </c>
      <c r="G194" s="45" t="s">
        <v>6052</v>
      </c>
      <c r="I194" s="46">
        <v>298.73</v>
      </c>
      <c r="J194" s="47">
        <v>45810</v>
      </c>
    </row>
    <row r="195" spans="1:10">
      <c r="A195" s="36" t="s">
        <v>1704</v>
      </c>
      <c r="B195" s="35">
        <v>7629</v>
      </c>
      <c r="E195" s="45" t="s">
        <v>6051</v>
      </c>
      <c r="F195" s="46">
        <v>327.86</v>
      </c>
      <c r="G195" s="45" t="s">
        <v>6052</v>
      </c>
      <c r="I195" s="46">
        <v>298.73</v>
      </c>
      <c r="J195" s="47">
        <v>45810</v>
      </c>
    </row>
    <row r="196" spans="1:10">
      <c r="A196" s="36" t="s">
        <v>1706</v>
      </c>
      <c r="B196" s="35">
        <v>7629</v>
      </c>
      <c r="E196" s="45" t="s">
        <v>6051</v>
      </c>
      <c r="F196" s="46">
        <v>327.86</v>
      </c>
      <c r="G196" s="45" t="s">
        <v>6052</v>
      </c>
      <c r="I196" s="46">
        <v>298.73</v>
      </c>
      <c r="J196" s="47">
        <v>45810</v>
      </c>
    </row>
    <row r="197" spans="1:10">
      <c r="A197" s="36" t="s">
        <v>1708</v>
      </c>
      <c r="B197" s="35">
        <v>7629</v>
      </c>
      <c r="E197" s="45" t="s">
        <v>6051</v>
      </c>
      <c r="F197" s="46">
        <v>327.86</v>
      </c>
      <c r="G197" s="45" t="s">
        <v>6052</v>
      </c>
      <c r="I197" s="46">
        <v>298.73</v>
      </c>
      <c r="J197" s="47">
        <v>45810</v>
      </c>
    </row>
    <row r="198" spans="1:10">
      <c r="A198" s="36" t="s">
        <v>2029</v>
      </c>
      <c r="B198" s="35">
        <v>7629</v>
      </c>
      <c r="E198" s="45" t="s">
        <v>6051</v>
      </c>
      <c r="F198" s="46">
        <v>408.48</v>
      </c>
      <c r="G198" s="45" t="s">
        <v>6052</v>
      </c>
      <c r="I198" s="46">
        <v>372.19</v>
      </c>
      <c r="J198" s="47">
        <v>45810</v>
      </c>
    </row>
    <row r="199" spans="1:10">
      <c r="A199" s="36" t="s">
        <v>2030</v>
      </c>
      <c r="B199" s="35">
        <v>7629</v>
      </c>
      <c r="E199" s="45" t="s">
        <v>6051</v>
      </c>
      <c r="F199" s="46">
        <v>408.48</v>
      </c>
      <c r="G199" s="45" t="s">
        <v>6052</v>
      </c>
      <c r="I199" s="46">
        <v>372.19</v>
      </c>
      <c r="J199" s="47">
        <v>45810</v>
      </c>
    </row>
    <row r="200" spans="1:10">
      <c r="A200" s="36" t="s">
        <v>2035</v>
      </c>
      <c r="B200" s="35">
        <v>7629</v>
      </c>
      <c r="E200" s="45" t="s">
        <v>6051</v>
      </c>
      <c r="F200" s="46">
        <v>735</v>
      </c>
      <c r="G200" s="45" t="s">
        <v>6052</v>
      </c>
      <c r="I200" s="46">
        <v>669.7</v>
      </c>
      <c r="J200" s="47">
        <v>45810</v>
      </c>
    </row>
    <row r="201" spans="1:10">
      <c r="A201" s="36" t="s">
        <v>2041</v>
      </c>
      <c r="B201" s="35">
        <v>7629</v>
      </c>
      <c r="E201" s="45" t="s">
        <v>6051</v>
      </c>
      <c r="F201" s="46">
        <v>597.93999999999994</v>
      </c>
      <c r="G201" s="45" t="s">
        <v>6052</v>
      </c>
      <c r="I201" s="46">
        <v>544.81999999999994</v>
      </c>
      <c r="J201" s="47">
        <v>45810</v>
      </c>
    </row>
    <row r="202" spans="1:10">
      <c r="A202" s="36" t="s">
        <v>2042</v>
      </c>
      <c r="B202" s="35">
        <v>7629</v>
      </c>
      <c r="E202" s="45" t="s">
        <v>6051</v>
      </c>
      <c r="F202" s="46">
        <v>597.93999999999994</v>
      </c>
      <c r="G202" s="45" t="s">
        <v>6052</v>
      </c>
      <c r="I202" s="46">
        <v>544.81999999999994</v>
      </c>
      <c r="J202" s="47">
        <v>45810</v>
      </c>
    </row>
    <row r="203" spans="1:10">
      <c r="A203" s="36" t="s">
        <v>2061</v>
      </c>
      <c r="B203" s="35">
        <v>7629</v>
      </c>
      <c r="E203" s="45" t="s">
        <v>6051</v>
      </c>
      <c r="F203" s="46">
        <v>257.99</v>
      </c>
      <c r="G203" s="45" t="s">
        <v>6052</v>
      </c>
      <c r="I203" s="46">
        <v>235.07</v>
      </c>
      <c r="J203" s="47">
        <v>45810</v>
      </c>
    </row>
    <row r="204" spans="1:10">
      <c r="A204" s="36" t="s">
        <v>2062</v>
      </c>
      <c r="B204" s="35">
        <v>7629</v>
      </c>
      <c r="E204" s="45" t="s">
        <v>6051</v>
      </c>
      <c r="F204" s="46">
        <v>257.99</v>
      </c>
      <c r="G204" s="45" t="s">
        <v>6052</v>
      </c>
      <c r="I204" s="46">
        <v>235.07</v>
      </c>
      <c r="J204" s="47">
        <v>45810</v>
      </c>
    </row>
    <row r="205" spans="1:10">
      <c r="A205" s="36" t="s">
        <v>2064</v>
      </c>
      <c r="B205" s="35">
        <v>7629</v>
      </c>
      <c r="E205" s="45" t="s">
        <v>6051</v>
      </c>
      <c r="F205" s="46">
        <v>257.99</v>
      </c>
      <c r="G205" s="45" t="s">
        <v>6052</v>
      </c>
      <c r="I205" s="46">
        <v>235.07</v>
      </c>
      <c r="J205" s="47">
        <v>45810</v>
      </c>
    </row>
    <row r="206" spans="1:10">
      <c r="A206" s="36" t="s">
        <v>2065</v>
      </c>
      <c r="B206" s="35">
        <v>7629</v>
      </c>
      <c r="E206" s="45" t="s">
        <v>6051</v>
      </c>
      <c r="F206" s="46">
        <v>214.98999999999998</v>
      </c>
      <c r="G206" s="45" t="s">
        <v>6052</v>
      </c>
      <c r="I206" s="46">
        <v>195.89</v>
      </c>
      <c r="J206" s="47">
        <v>45810</v>
      </c>
    </row>
    <row r="207" spans="1:10">
      <c r="A207" s="36" t="s">
        <v>2066</v>
      </c>
      <c r="B207" s="35">
        <v>7629</v>
      </c>
      <c r="E207" s="45" t="s">
        <v>6051</v>
      </c>
      <c r="F207" s="46">
        <v>257.99</v>
      </c>
      <c r="G207" s="45" t="s">
        <v>6052</v>
      </c>
      <c r="I207" s="46">
        <v>235.07</v>
      </c>
      <c r="J207" s="47">
        <v>45810</v>
      </c>
    </row>
    <row r="208" spans="1:10">
      <c r="A208" s="36" t="s">
        <v>2067</v>
      </c>
      <c r="B208" s="35">
        <v>7629</v>
      </c>
      <c r="E208" s="45" t="s">
        <v>6051</v>
      </c>
      <c r="F208" s="46">
        <v>214.98999999999998</v>
      </c>
      <c r="G208" s="45" t="s">
        <v>6052</v>
      </c>
      <c r="I208" s="46">
        <v>195.89</v>
      </c>
      <c r="J208" s="47">
        <v>45810</v>
      </c>
    </row>
    <row r="209" spans="1:10">
      <c r="A209" s="36" t="s">
        <v>2247</v>
      </c>
      <c r="B209" s="35">
        <v>7629</v>
      </c>
      <c r="E209" s="45" t="s">
        <v>6051</v>
      </c>
      <c r="F209" s="46">
        <v>241.87</v>
      </c>
      <c r="G209" s="45" t="s">
        <v>6052</v>
      </c>
      <c r="I209" s="46">
        <v>220.38</v>
      </c>
      <c r="J209" s="47">
        <v>45810</v>
      </c>
    </row>
    <row r="210" spans="1:10">
      <c r="A210" s="36" t="s">
        <v>2248</v>
      </c>
      <c r="B210" s="35">
        <v>7629</v>
      </c>
      <c r="E210" s="45" t="s">
        <v>6051</v>
      </c>
      <c r="F210" s="46">
        <v>241.87</v>
      </c>
      <c r="G210" s="45" t="s">
        <v>6052</v>
      </c>
      <c r="I210" s="46">
        <v>220.38</v>
      </c>
      <c r="J210" s="47">
        <v>45810</v>
      </c>
    </row>
    <row r="211" spans="1:10">
      <c r="A211" s="36" t="s">
        <v>2252</v>
      </c>
      <c r="B211" s="35">
        <v>7629</v>
      </c>
      <c r="E211" s="45" t="s">
        <v>6051</v>
      </c>
      <c r="F211" s="46">
        <v>290.24</v>
      </c>
      <c r="G211" s="45" t="s">
        <v>6052</v>
      </c>
      <c r="I211" s="46">
        <v>264.45</v>
      </c>
      <c r="J211" s="47">
        <v>45810</v>
      </c>
    </row>
    <row r="212" spans="1:10">
      <c r="A212" s="36" t="s">
        <v>2253</v>
      </c>
      <c r="B212" s="35">
        <v>7629</v>
      </c>
      <c r="E212" s="45" t="s">
        <v>6051</v>
      </c>
      <c r="F212" s="46">
        <v>241.87</v>
      </c>
      <c r="G212" s="45" t="s">
        <v>6052</v>
      </c>
      <c r="I212" s="46">
        <v>220.38</v>
      </c>
      <c r="J212" s="47">
        <v>45810</v>
      </c>
    </row>
    <row r="213" spans="1:10">
      <c r="A213" s="36" t="s">
        <v>2254</v>
      </c>
      <c r="B213" s="35">
        <v>7629</v>
      </c>
      <c r="E213" s="45" t="s">
        <v>6051</v>
      </c>
      <c r="F213" s="46">
        <v>241.87</v>
      </c>
      <c r="G213" s="45" t="s">
        <v>6052</v>
      </c>
      <c r="I213" s="46">
        <v>220.38</v>
      </c>
      <c r="J213" s="47">
        <v>45810</v>
      </c>
    </row>
    <row r="214" spans="1:10">
      <c r="A214" s="36" t="s">
        <v>2255</v>
      </c>
      <c r="B214" s="35">
        <v>7629</v>
      </c>
      <c r="E214" s="45" t="s">
        <v>6051</v>
      </c>
      <c r="F214" s="46">
        <v>241.87</v>
      </c>
      <c r="G214" s="45" t="s">
        <v>6052</v>
      </c>
      <c r="I214" s="46">
        <v>220.38</v>
      </c>
      <c r="J214" s="47">
        <v>45810</v>
      </c>
    </row>
    <row r="215" spans="1:10">
      <c r="A215" s="36" t="s">
        <v>2324</v>
      </c>
      <c r="B215" s="35">
        <v>7629</v>
      </c>
      <c r="E215" s="45" t="s">
        <v>6051</v>
      </c>
      <c r="F215" s="46">
        <v>352.05</v>
      </c>
      <c r="G215" s="45" t="s">
        <v>6052</v>
      </c>
      <c r="I215" s="46">
        <v>320.77</v>
      </c>
      <c r="J215" s="47">
        <v>45810</v>
      </c>
    </row>
    <row r="216" spans="1:10">
      <c r="A216" s="36" t="s">
        <v>2327</v>
      </c>
      <c r="B216" s="35">
        <v>7629</v>
      </c>
      <c r="E216" s="45" t="s">
        <v>6051</v>
      </c>
      <c r="F216" s="46">
        <v>352.05</v>
      </c>
      <c r="G216" s="45" t="s">
        <v>6052</v>
      </c>
      <c r="I216" s="46">
        <v>320.77</v>
      </c>
      <c r="J216" s="47">
        <v>45810</v>
      </c>
    </row>
    <row r="217" spans="1:10">
      <c r="A217" s="36" t="s">
        <v>2332</v>
      </c>
      <c r="B217" s="35">
        <v>7629</v>
      </c>
      <c r="E217" s="45" t="s">
        <v>6051</v>
      </c>
      <c r="F217" s="46">
        <v>352.05</v>
      </c>
      <c r="G217" s="45" t="s">
        <v>6052</v>
      </c>
      <c r="I217" s="46">
        <v>320.77</v>
      </c>
      <c r="J217" s="47">
        <v>45810</v>
      </c>
    </row>
    <row r="218" spans="1:10">
      <c r="A218" s="36" t="s">
        <v>2242</v>
      </c>
      <c r="B218" s="35">
        <v>7629</v>
      </c>
      <c r="E218" s="45" t="s">
        <v>6051</v>
      </c>
      <c r="F218" s="46">
        <v>173.34</v>
      </c>
      <c r="G218" s="45" t="s">
        <v>6052</v>
      </c>
      <c r="I218" s="46">
        <v>157.94</v>
      </c>
      <c r="J218" s="47">
        <v>45810</v>
      </c>
    </row>
    <row r="219" spans="1:10">
      <c r="A219" s="36" t="s">
        <v>1986</v>
      </c>
      <c r="B219" s="35">
        <v>7629</v>
      </c>
      <c r="E219" s="45" t="s">
        <v>6051</v>
      </c>
      <c r="F219" s="46">
        <v>442.08</v>
      </c>
      <c r="G219" s="45" t="s">
        <v>6052</v>
      </c>
      <c r="I219" s="46">
        <v>402.8</v>
      </c>
      <c r="J219" s="47">
        <v>45810</v>
      </c>
    </row>
    <row r="220" spans="1:10">
      <c r="A220" s="36" t="s">
        <v>2330</v>
      </c>
      <c r="B220" s="35">
        <v>7629</v>
      </c>
      <c r="E220" s="45" t="s">
        <v>6051</v>
      </c>
      <c r="F220" s="46">
        <v>352.05</v>
      </c>
      <c r="G220" s="45" t="s">
        <v>6052</v>
      </c>
      <c r="I220" s="46">
        <v>320.77</v>
      </c>
      <c r="J220" s="47">
        <v>45810</v>
      </c>
    </row>
    <row r="221" spans="1:10">
      <c r="A221" s="36" t="s">
        <v>2014</v>
      </c>
      <c r="B221" s="35">
        <v>7629</v>
      </c>
      <c r="E221" s="45" t="s">
        <v>6051</v>
      </c>
      <c r="F221" s="46">
        <v>318.45999999999998</v>
      </c>
      <c r="G221" s="45" t="s">
        <v>6052</v>
      </c>
      <c r="I221" s="46">
        <v>290.15999999999997</v>
      </c>
      <c r="J221" s="47">
        <v>45810</v>
      </c>
    </row>
    <row r="222" spans="1:10">
      <c r="A222" s="36" t="s">
        <v>1678</v>
      </c>
      <c r="B222" s="35">
        <v>7629</v>
      </c>
      <c r="E222" s="45" t="s">
        <v>6051</v>
      </c>
      <c r="F222" s="46">
        <v>439.39</v>
      </c>
      <c r="G222" s="45" t="s">
        <v>6052</v>
      </c>
      <c r="I222" s="46">
        <v>400.34999999999997</v>
      </c>
      <c r="J222" s="47">
        <v>45810</v>
      </c>
    </row>
    <row r="223" spans="1:10">
      <c r="A223" s="36" t="s">
        <v>2033</v>
      </c>
      <c r="B223" s="35">
        <v>7629</v>
      </c>
      <c r="E223" s="45" t="s">
        <v>6051</v>
      </c>
      <c r="F223" s="46">
        <v>408.48</v>
      </c>
      <c r="G223" s="45" t="s">
        <v>6052</v>
      </c>
      <c r="I223" s="46">
        <v>372.19</v>
      </c>
      <c r="J223" s="47">
        <v>45810</v>
      </c>
    </row>
    <row r="224" spans="1:10">
      <c r="A224" s="36" t="s">
        <v>1705</v>
      </c>
      <c r="B224" s="35">
        <v>7629</v>
      </c>
      <c r="E224" s="45" t="s">
        <v>6051</v>
      </c>
      <c r="F224" s="46">
        <v>327.86</v>
      </c>
      <c r="G224" s="45" t="s">
        <v>6052</v>
      </c>
      <c r="I224" s="46">
        <v>298.73</v>
      </c>
      <c r="J224" s="47">
        <v>45810</v>
      </c>
    </row>
    <row r="225" spans="1:10">
      <c r="A225" s="36" t="s">
        <v>1681</v>
      </c>
      <c r="B225" s="35">
        <v>7629</v>
      </c>
      <c r="E225" s="45" t="s">
        <v>6051</v>
      </c>
      <c r="F225" s="46">
        <v>439.39</v>
      </c>
      <c r="G225" s="45" t="s">
        <v>6052</v>
      </c>
      <c r="I225" s="46">
        <v>400.34999999999997</v>
      </c>
      <c r="J225" s="47">
        <v>45810</v>
      </c>
    </row>
    <row r="226" spans="1:10">
      <c r="A226" s="36" t="s">
        <v>1674</v>
      </c>
      <c r="B226" s="35">
        <v>7629</v>
      </c>
      <c r="E226" s="45" t="s">
        <v>6051</v>
      </c>
      <c r="F226" s="46">
        <v>278.15999999999997</v>
      </c>
      <c r="G226" s="45" t="s">
        <v>6052</v>
      </c>
      <c r="I226" s="46">
        <v>253.44</v>
      </c>
      <c r="J226" s="47">
        <v>45810</v>
      </c>
    </row>
    <row r="227" spans="1:10">
      <c r="A227" s="36" t="s">
        <v>2002</v>
      </c>
      <c r="B227" s="35">
        <v>7629</v>
      </c>
      <c r="E227" s="45" t="s">
        <v>6051</v>
      </c>
      <c r="F227" s="46">
        <v>318.45999999999998</v>
      </c>
      <c r="G227" s="45" t="s">
        <v>6052</v>
      </c>
      <c r="I227" s="46">
        <v>290.15999999999997</v>
      </c>
      <c r="J227" s="47">
        <v>45810</v>
      </c>
    </row>
    <row r="228" spans="1:10">
      <c r="A228" s="36" t="s">
        <v>1750</v>
      </c>
      <c r="B228" s="35">
        <v>7629</v>
      </c>
      <c r="E228" s="45" t="s">
        <v>6051</v>
      </c>
      <c r="F228" s="46">
        <v>92.72</v>
      </c>
      <c r="G228" s="45" t="s">
        <v>6052</v>
      </c>
      <c r="I228" s="46">
        <v>84.48</v>
      </c>
      <c r="J228" s="47">
        <v>45810</v>
      </c>
    </row>
    <row r="229" spans="1:10">
      <c r="A229" s="36" t="s">
        <v>2204</v>
      </c>
      <c r="B229" s="35">
        <v>7629</v>
      </c>
      <c r="E229" s="45" t="s">
        <v>6051</v>
      </c>
      <c r="F229" s="46">
        <v>133.03</v>
      </c>
      <c r="G229" s="45" t="s">
        <v>6052</v>
      </c>
      <c r="I229" s="46">
        <v>121.21000000000001</v>
      </c>
      <c r="J229" s="47">
        <v>45810</v>
      </c>
    </row>
    <row r="230" spans="1:10">
      <c r="A230" s="36" t="s">
        <v>2205</v>
      </c>
      <c r="B230" s="35">
        <v>7629</v>
      </c>
      <c r="E230" s="45" t="s">
        <v>6051</v>
      </c>
      <c r="F230" s="46">
        <v>133.03</v>
      </c>
      <c r="G230" s="45" t="s">
        <v>6052</v>
      </c>
      <c r="I230" s="46">
        <v>121.21000000000001</v>
      </c>
      <c r="J230" s="47">
        <v>45810</v>
      </c>
    </row>
    <row r="231" spans="1:10">
      <c r="A231" s="36" t="s">
        <v>2304</v>
      </c>
      <c r="B231" s="35">
        <v>7629</v>
      </c>
      <c r="E231" s="45" t="s">
        <v>6051</v>
      </c>
      <c r="F231" s="46">
        <v>236.48999999999998</v>
      </c>
      <c r="G231" s="45" t="s">
        <v>6052</v>
      </c>
      <c r="I231" s="46">
        <v>215.48</v>
      </c>
      <c r="J231" s="47">
        <v>45810</v>
      </c>
    </row>
    <row r="232" spans="1:10">
      <c r="A232" s="36" t="s">
        <v>2018</v>
      </c>
      <c r="B232" s="35">
        <v>7629</v>
      </c>
      <c r="E232" s="45" t="s">
        <v>6051</v>
      </c>
      <c r="F232" s="46">
        <v>442.08</v>
      </c>
      <c r="G232" s="45" t="s">
        <v>6052</v>
      </c>
      <c r="I232" s="46">
        <v>402.8</v>
      </c>
      <c r="J232" s="47">
        <v>45810</v>
      </c>
    </row>
    <row r="233" spans="1:10">
      <c r="A233" s="36" t="s">
        <v>1896</v>
      </c>
      <c r="B233" s="35">
        <v>7629</v>
      </c>
      <c r="E233" s="45" t="s">
        <v>6051</v>
      </c>
      <c r="F233" s="46">
        <v>232.19</v>
      </c>
      <c r="G233" s="45" t="s">
        <v>6052</v>
      </c>
      <c r="I233" s="46">
        <v>211.56</v>
      </c>
      <c r="J233" s="47">
        <v>45810</v>
      </c>
    </row>
    <row r="234" spans="1:10">
      <c r="A234" s="36" t="s">
        <v>2003</v>
      </c>
      <c r="B234" s="35">
        <v>7629</v>
      </c>
      <c r="E234" s="45" t="s">
        <v>6051</v>
      </c>
      <c r="F234" s="46">
        <v>318.45999999999998</v>
      </c>
      <c r="G234" s="45" t="s">
        <v>6052</v>
      </c>
      <c r="I234" s="46">
        <v>290.15999999999997</v>
      </c>
      <c r="J234" s="47">
        <v>45810</v>
      </c>
    </row>
    <row r="235" spans="1:10">
      <c r="A235" s="36" t="s">
        <v>2299</v>
      </c>
      <c r="B235" s="35">
        <v>7629</v>
      </c>
      <c r="E235" s="45" t="s">
        <v>6051</v>
      </c>
      <c r="F235" s="46">
        <v>295.62</v>
      </c>
      <c r="G235" s="45" t="s">
        <v>6052</v>
      </c>
      <c r="I235" s="46">
        <v>269.34999999999997</v>
      </c>
      <c r="J235" s="47">
        <v>45810</v>
      </c>
    </row>
    <row r="236" spans="1:10">
      <c r="A236" s="36" t="s">
        <v>2889</v>
      </c>
      <c r="B236" s="35">
        <v>7629</v>
      </c>
      <c r="E236" s="45" t="s">
        <v>6051</v>
      </c>
      <c r="F236" s="46">
        <v>295.62</v>
      </c>
      <c r="G236" s="45" t="s">
        <v>6052</v>
      </c>
      <c r="I236" s="46">
        <v>269.34999999999997</v>
      </c>
      <c r="J236" s="47">
        <v>45810</v>
      </c>
    </row>
    <row r="237" spans="1:10">
      <c r="A237" s="36" t="s">
        <v>2890</v>
      </c>
      <c r="B237" s="35">
        <v>7629</v>
      </c>
      <c r="E237" s="45" t="s">
        <v>6051</v>
      </c>
      <c r="F237" s="46">
        <v>295.62</v>
      </c>
      <c r="G237" s="45" t="s">
        <v>6052</v>
      </c>
      <c r="I237" s="46">
        <v>269.34999999999997</v>
      </c>
      <c r="J237" s="47">
        <v>45810</v>
      </c>
    </row>
    <row r="238" spans="1:10">
      <c r="A238" s="36" t="s">
        <v>2194</v>
      </c>
      <c r="B238" s="35">
        <v>7629</v>
      </c>
      <c r="E238" s="45" t="s">
        <v>6051</v>
      </c>
      <c r="F238" s="46">
        <v>146.47</v>
      </c>
      <c r="G238" s="45" t="s">
        <v>6052</v>
      </c>
      <c r="I238" s="46">
        <v>133.44999999999999</v>
      </c>
      <c r="J238" s="47">
        <v>45810</v>
      </c>
    </row>
    <row r="239" spans="1:10">
      <c r="A239" s="36" t="s">
        <v>1680</v>
      </c>
      <c r="B239" s="35">
        <v>7629</v>
      </c>
      <c r="E239" s="45" t="s">
        <v>6051</v>
      </c>
      <c r="F239" s="46">
        <v>439.39</v>
      </c>
      <c r="G239" s="45" t="s">
        <v>6052</v>
      </c>
      <c r="I239" s="46">
        <v>400.34999999999997</v>
      </c>
      <c r="J239" s="47">
        <v>45810</v>
      </c>
    </row>
    <row r="240" spans="1:10">
      <c r="A240" s="36" t="s">
        <v>1771</v>
      </c>
      <c r="B240" s="35">
        <v>7629</v>
      </c>
      <c r="E240" s="45" t="s">
        <v>6051</v>
      </c>
      <c r="F240" s="46">
        <v>92.72</v>
      </c>
      <c r="G240" s="45" t="s">
        <v>6052</v>
      </c>
      <c r="I240" s="46">
        <v>84.48</v>
      </c>
      <c r="J240" s="47">
        <v>45810</v>
      </c>
    </row>
    <row r="241" spans="1:10">
      <c r="A241" s="36" t="s">
        <v>2257</v>
      </c>
      <c r="B241" s="35">
        <v>7629</v>
      </c>
      <c r="E241" s="45" t="s">
        <v>6051</v>
      </c>
      <c r="F241" s="46">
        <v>290.24</v>
      </c>
      <c r="G241" s="45" t="s">
        <v>6052</v>
      </c>
      <c r="I241" s="46">
        <v>264.45</v>
      </c>
      <c r="J241" s="47">
        <v>45810</v>
      </c>
    </row>
    <row r="242" spans="1:10">
      <c r="A242" s="36" t="s">
        <v>2951</v>
      </c>
      <c r="B242" s="35">
        <v>7629</v>
      </c>
      <c r="E242" s="45" t="s">
        <v>6051</v>
      </c>
      <c r="F242" s="46">
        <v>290.24</v>
      </c>
      <c r="G242" s="45" t="s">
        <v>6052</v>
      </c>
      <c r="I242" s="46">
        <v>264.45</v>
      </c>
      <c r="J242" s="47">
        <v>45810</v>
      </c>
    </row>
    <row r="243" spans="1:10">
      <c r="A243" s="36" t="s">
        <v>2954</v>
      </c>
      <c r="B243" s="35">
        <v>7629</v>
      </c>
      <c r="E243" s="45" t="s">
        <v>6051</v>
      </c>
      <c r="F243" s="46">
        <v>290.24</v>
      </c>
      <c r="G243" s="45" t="s">
        <v>6052</v>
      </c>
      <c r="I243" s="46">
        <v>264.45</v>
      </c>
      <c r="J243" s="47">
        <v>45810</v>
      </c>
    </row>
    <row r="244" spans="1:10">
      <c r="A244" s="36" t="s">
        <v>2305</v>
      </c>
      <c r="B244" s="35">
        <v>7629</v>
      </c>
      <c r="E244" s="45" t="s">
        <v>6051</v>
      </c>
      <c r="F244" s="46">
        <v>236.48999999999998</v>
      </c>
      <c r="G244" s="45" t="s">
        <v>6052</v>
      </c>
      <c r="I244" s="46">
        <v>215.48</v>
      </c>
      <c r="J244" s="47">
        <v>45810</v>
      </c>
    </row>
    <row r="245" spans="1:10">
      <c r="A245" s="36" t="s">
        <v>1684</v>
      </c>
      <c r="B245" s="35">
        <v>7629</v>
      </c>
      <c r="E245" s="45" t="s">
        <v>6051</v>
      </c>
      <c r="F245" s="46">
        <v>439.39</v>
      </c>
      <c r="G245" s="45" t="s">
        <v>6052</v>
      </c>
      <c r="I245" s="46">
        <v>400.34999999999997</v>
      </c>
      <c r="J245" s="47">
        <v>45810</v>
      </c>
    </row>
    <row r="246" spans="1:10">
      <c r="A246" s="36" t="s">
        <v>2047</v>
      </c>
      <c r="B246" s="35">
        <v>7629</v>
      </c>
      <c r="E246" s="45" t="s">
        <v>6051</v>
      </c>
      <c r="F246" s="46">
        <v>597.93999999999994</v>
      </c>
      <c r="G246" s="45" t="s">
        <v>6052</v>
      </c>
      <c r="I246" s="46">
        <v>544.81999999999994</v>
      </c>
      <c r="J246" s="47">
        <v>45810</v>
      </c>
    </row>
    <row r="247" spans="1:10">
      <c r="A247" s="36" t="s">
        <v>2051</v>
      </c>
      <c r="B247" s="35">
        <v>7629</v>
      </c>
      <c r="E247" s="45" t="s">
        <v>6051</v>
      </c>
      <c r="F247" s="46">
        <v>597.93999999999994</v>
      </c>
      <c r="G247" s="45" t="s">
        <v>6052</v>
      </c>
      <c r="I247" s="46">
        <v>544.81999999999994</v>
      </c>
      <c r="J247" s="47">
        <v>45810</v>
      </c>
    </row>
    <row r="248" spans="1:10">
      <c r="A248" s="36" t="s">
        <v>2206</v>
      </c>
      <c r="B248" s="35">
        <v>7629</v>
      </c>
      <c r="E248" s="45" t="s">
        <v>6051</v>
      </c>
      <c r="F248" s="46">
        <v>156.41</v>
      </c>
      <c r="G248" s="45" t="s">
        <v>6052</v>
      </c>
      <c r="I248" s="46">
        <v>142.51</v>
      </c>
      <c r="J248" s="47">
        <v>45810</v>
      </c>
    </row>
    <row r="249" spans="1:10">
      <c r="A249" s="36" t="s">
        <v>2004</v>
      </c>
      <c r="B249" s="35">
        <v>7629</v>
      </c>
      <c r="E249" s="45" t="s">
        <v>6051</v>
      </c>
      <c r="F249" s="46">
        <v>318.45999999999998</v>
      </c>
      <c r="G249" s="45" t="s">
        <v>6052</v>
      </c>
      <c r="I249" s="46">
        <v>290.15999999999997</v>
      </c>
      <c r="J249" s="47">
        <v>45810</v>
      </c>
    </row>
    <row r="250" spans="1:10">
      <c r="A250" s="36" t="s">
        <v>2052</v>
      </c>
      <c r="B250" s="35">
        <v>7629</v>
      </c>
      <c r="E250" s="45" t="s">
        <v>6051</v>
      </c>
      <c r="F250" s="46">
        <v>597.93999999999994</v>
      </c>
      <c r="G250" s="45" t="s">
        <v>6052</v>
      </c>
      <c r="I250" s="46">
        <v>544.81999999999994</v>
      </c>
      <c r="J250" s="47">
        <v>45810</v>
      </c>
    </row>
    <row r="251" spans="1:10">
      <c r="A251" s="36" t="s">
        <v>1897</v>
      </c>
      <c r="B251" s="35">
        <v>7629</v>
      </c>
      <c r="E251" s="45" t="s">
        <v>6051</v>
      </c>
      <c r="F251" s="46">
        <v>193.48999999999998</v>
      </c>
      <c r="G251" s="45" t="s">
        <v>6052</v>
      </c>
      <c r="I251" s="46">
        <v>176.29999999999998</v>
      </c>
      <c r="J251" s="47">
        <v>45810</v>
      </c>
    </row>
    <row r="252" spans="1:10">
      <c r="A252" s="36" t="s">
        <v>1898</v>
      </c>
      <c r="B252" s="35">
        <v>7629</v>
      </c>
      <c r="E252" s="45" t="s">
        <v>6051</v>
      </c>
      <c r="F252" s="46">
        <v>193.48999999999998</v>
      </c>
      <c r="G252" s="45" t="s">
        <v>6052</v>
      </c>
      <c r="I252" s="46">
        <v>176.29999999999998</v>
      </c>
      <c r="J252" s="47">
        <v>45810</v>
      </c>
    </row>
    <row r="253" spans="1:10">
      <c r="A253" s="36" t="s">
        <v>2048</v>
      </c>
      <c r="B253" s="35">
        <v>7629</v>
      </c>
      <c r="E253" s="45" t="s">
        <v>6051</v>
      </c>
      <c r="F253" s="46">
        <v>597.93999999999994</v>
      </c>
      <c r="G253" s="45" t="s">
        <v>6052</v>
      </c>
      <c r="I253" s="46">
        <v>544.81999999999994</v>
      </c>
      <c r="J253" s="47">
        <v>45810</v>
      </c>
    </row>
    <row r="254" spans="1:10">
      <c r="A254" s="36" t="s">
        <v>2207</v>
      </c>
      <c r="B254" s="35">
        <v>7629</v>
      </c>
      <c r="E254" s="45" t="s">
        <v>6051</v>
      </c>
      <c r="F254" s="46">
        <v>133.03</v>
      </c>
      <c r="G254" s="45" t="s">
        <v>6052</v>
      </c>
      <c r="I254" s="46">
        <v>121.21000000000001</v>
      </c>
      <c r="J254" s="47">
        <v>45810</v>
      </c>
    </row>
    <row r="255" spans="1:10">
      <c r="A255" s="36" t="s">
        <v>2015</v>
      </c>
      <c r="B255" s="35">
        <v>7629</v>
      </c>
      <c r="E255" s="45" t="s">
        <v>6051</v>
      </c>
      <c r="F255" s="46">
        <v>318.45999999999998</v>
      </c>
      <c r="G255" s="45" t="s">
        <v>6052</v>
      </c>
      <c r="I255" s="46">
        <v>290.15999999999997</v>
      </c>
      <c r="J255" s="47">
        <v>45810</v>
      </c>
    </row>
    <row r="256" spans="1:10">
      <c r="A256" s="36" t="s">
        <v>2034</v>
      </c>
      <c r="B256" s="35">
        <v>7629</v>
      </c>
      <c r="E256" s="45" t="s">
        <v>6051</v>
      </c>
      <c r="F256" s="46">
        <v>408.48</v>
      </c>
      <c r="G256" s="45" t="s">
        <v>6052</v>
      </c>
      <c r="I256" s="46">
        <v>372.19</v>
      </c>
      <c r="J256" s="47">
        <v>45810</v>
      </c>
    </row>
    <row r="257" spans="1:10">
      <c r="A257" s="36" t="s">
        <v>2053</v>
      </c>
      <c r="B257" s="35">
        <v>7629</v>
      </c>
      <c r="E257" s="45" t="s">
        <v>6051</v>
      </c>
      <c r="F257" s="46">
        <v>597.93999999999994</v>
      </c>
      <c r="G257" s="45" t="s">
        <v>6052</v>
      </c>
      <c r="I257" s="46">
        <v>544.81999999999994</v>
      </c>
      <c r="J257" s="47">
        <v>45810</v>
      </c>
    </row>
    <row r="258" spans="1:10">
      <c r="A258" s="36" t="s">
        <v>1693</v>
      </c>
      <c r="B258" s="35">
        <v>7629</v>
      </c>
      <c r="E258" s="45" t="s">
        <v>6051</v>
      </c>
      <c r="F258" s="46">
        <v>483.73</v>
      </c>
      <c r="G258" s="45" t="s">
        <v>6052</v>
      </c>
      <c r="I258" s="46">
        <v>440.75</v>
      </c>
      <c r="J258" s="47">
        <v>45810</v>
      </c>
    </row>
    <row r="259" spans="1:10">
      <c r="A259" s="36" t="s">
        <v>1675</v>
      </c>
      <c r="B259" s="35">
        <v>7629</v>
      </c>
      <c r="E259" s="45" t="s">
        <v>6051</v>
      </c>
      <c r="F259" s="46">
        <v>278.15999999999997</v>
      </c>
      <c r="G259" s="45" t="s">
        <v>6052</v>
      </c>
      <c r="I259" s="46">
        <v>253.44</v>
      </c>
      <c r="J259" s="47">
        <v>45810</v>
      </c>
    </row>
    <row r="260" spans="1:10">
      <c r="A260" s="36" t="s">
        <v>2038</v>
      </c>
      <c r="B260" s="35">
        <v>7629</v>
      </c>
      <c r="E260" s="45" t="s">
        <v>6051</v>
      </c>
      <c r="F260" s="46">
        <v>735</v>
      </c>
      <c r="G260" s="45" t="s">
        <v>6052</v>
      </c>
      <c r="I260" s="46">
        <v>669.7</v>
      </c>
      <c r="J260" s="47">
        <v>45810</v>
      </c>
    </row>
    <row r="261" spans="1:10">
      <c r="A261" s="36" t="s">
        <v>1689</v>
      </c>
      <c r="B261" s="35">
        <v>7629</v>
      </c>
      <c r="E261" s="45" t="s">
        <v>6051</v>
      </c>
      <c r="F261" s="46">
        <v>287.56</v>
      </c>
      <c r="G261" s="45" t="s">
        <v>6052</v>
      </c>
      <c r="I261" s="46">
        <v>262.01</v>
      </c>
      <c r="J261" s="47">
        <v>45810</v>
      </c>
    </row>
    <row r="262" spans="1:10">
      <c r="A262" s="36" t="s">
        <v>1761</v>
      </c>
      <c r="B262" s="35">
        <v>7629</v>
      </c>
      <c r="E262" s="45" t="s">
        <v>6051</v>
      </c>
      <c r="F262" s="46">
        <v>458.2</v>
      </c>
      <c r="G262" s="45" t="s">
        <v>6052</v>
      </c>
      <c r="I262" s="46">
        <v>417.49</v>
      </c>
      <c r="J262" s="47">
        <v>45810</v>
      </c>
    </row>
    <row r="263" spans="1:10">
      <c r="A263" s="36" t="s">
        <v>2031</v>
      </c>
      <c r="B263" s="35">
        <v>7629</v>
      </c>
      <c r="E263" s="45" t="s">
        <v>6051</v>
      </c>
      <c r="F263" s="46">
        <v>408.48</v>
      </c>
      <c r="G263" s="45" t="s">
        <v>6052</v>
      </c>
      <c r="I263" s="46">
        <v>372.19</v>
      </c>
      <c r="J263" s="47">
        <v>45810</v>
      </c>
    </row>
    <row r="264" spans="1:10">
      <c r="A264" s="36" t="s">
        <v>2306</v>
      </c>
      <c r="B264" s="35">
        <v>7629</v>
      </c>
      <c r="E264" s="45" t="s">
        <v>6051</v>
      </c>
      <c r="F264" s="46">
        <v>236.48999999999998</v>
      </c>
      <c r="G264" s="45" t="s">
        <v>6052</v>
      </c>
      <c r="I264" s="46">
        <v>215.48</v>
      </c>
      <c r="J264" s="47">
        <v>45810</v>
      </c>
    </row>
    <row r="265" spans="1:10">
      <c r="A265" s="36" t="s">
        <v>2032</v>
      </c>
      <c r="B265" s="35">
        <v>7629</v>
      </c>
      <c r="E265" s="45" t="s">
        <v>6051</v>
      </c>
      <c r="F265" s="46">
        <v>408.48</v>
      </c>
      <c r="G265" s="45" t="s">
        <v>6052</v>
      </c>
      <c r="I265" s="46">
        <v>372.19</v>
      </c>
      <c r="J265" s="47">
        <v>45810</v>
      </c>
    </row>
    <row r="266" spans="1:10">
      <c r="A266" s="36" t="s">
        <v>1696</v>
      </c>
      <c r="B266" s="35">
        <v>7629</v>
      </c>
      <c r="E266" s="45" t="s">
        <v>6051</v>
      </c>
      <c r="F266" s="46">
        <v>483.73</v>
      </c>
      <c r="G266" s="45" t="s">
        <v>6052</v>
      </c>
      <c r="I266" s="46">
        <v>440.75</v>
      </c>
      <c r="J266" s="47">
        <v>45810</v>
      </c>
    </row>
    <row r="267" spans="1:10">
      <c r="A267" s="36" t="s">
        <v>2007</v>
      </c>
      <c r="B267" s="35">
        <v>7629</v>
      </c>
      <c r="E267" s="45" t="s">
        <v>6051</v>
      </c>
      <c r="F267" s="46">
        <v>318.45999999999998</v>
      </c>
      <c r="G267" s="45" t="s">
        <v>6052</v>
      </c>
      <c r="I267" s="46">
        <v>290.15999999999997</v>
      </c>
      <c r="J267" s="47">
        <v>45810</v>
      </c>
    </row>
    <row r="268" spans="1:10">
      <c r="A268" s="36" t="s">
        <v>2656</v>
      </c>
      <c r="B268" s="35">
        <v>7629</v>
      </c>
      <c r="E268" s="45" t="s">
        <v>6051</v>
      </c>
      <c r="F268" s="46">
        <v>275.46999999999997</v>
      </c>
      <c r="G268" s="45" t="s">
        <v>6052</v>
      </c>
      <c r="I268" s="46">
        <v>250.98999999999998</v>
      </c>
      <c r="J268" s="47">
        <v>45810</v>
      </c>
    </row>
    <row r="269" spans="1:10">
      <c r="A269" s="36" t="s">
        <v>2657</v>
      </c>
      <c r="B269" s="35">
        <v>7629</v>
      </c>
      <c r="E269" s="45" t="s">
        <v>6051</v>
      </c>
      <c r="F269" s="46">
        <v>275.46999999999997</v>
      </c>
      <c r="G269" s="45" t="s">
        <v>6052</v>
      </c>
      <c r="I269" s="46">
        <v>250.98999999999998</v>
      </c>
      <c r="J269" s="47">
        <v>45810</v>
      </c>
    </row>
    <row r="270" spans="1:10">
      <c r="A270" s="36" t="s">
        <v>1687</v>
      </c>
      <c r="B270" s="35">
        <v>7629</v>
      </c>
      <c r="E270" s="45" t="s">
        <v>6051</v>
      </c>
      <c r="F270" s="46">
        <v>287.56</v>
      </c>
      <c r="G270" s="45" t="s">
        <v>6052</v>
      </c>
      <c r="I270" s="46">
        <v>262.01</v>
      </c>
      <c r="J270" s="47">
        <v>45810</v>
      </c>
    </row>
    <row r="271" spans="1:10">
      <c r="A271" s="36" t="s">
        <v>2082</v>
      </c>
      <c r="B271" s="35">
        <v>7629</v>
      </c>
      <c r="E271" s="45" t="s">
        <v>6051</v>
      </c>
      <c r="F271" s="46">
        <v>63.169999999999995</v>
      </c>
      <c r="G271" s="45" t="s">
        <v>6052</v>
      </c>
      <c r="I271" s="46">
        <v>57.55</v>
      </c>
      <c r="J271" s="47">
        <v>45810</v>
      </c>
    </row>
    <row r="272" spans="1:10">
      <c r="A272" s="36" t="s">
        <v>1988</v>
      </c>
      <c r="B272" s="35">
        <v>7629</v>
      </c>
      <c r="E272" s="45" t="s">
        <v>6051</v>
      </c>
      <c r="F272" s="46">
        <v>442.08</v>
      </c>
      <c r="G272" s="45" t="s">
        <v>6052</v>
      </c>
      <c r="I272" s="46">
        <v>402.8</v>
      </c>
      <c r="J272" s="47">
        <v>45810</v>
      </c>
    </row>
    <row r="273" spans="1:10">
      <c r="A273" s="36" t="s">
        <v>2227</v>
      </c>
      <c r="B273" s="35">
        <v>7629</v>
      </c>
      <c r="E273" s="45" t="s">
        <v>6051</v>
      </c>
      <c r="F273" s="46">
        <v>217.67999999999998</v>
      </c>
      <c r="G273" s="45" t="s">
        <v>6052</v>
      </c>
      <c r="I273" s="46">
        <v>198.34</v>
      </c>
      <c r="J273" s="47">
        <v>45810</v>
      </c>
    </row>
    <row r="274" spans="1:10">
      <c r="A274" s="36" t="s">
        <v>2307</v>
      </c>
      <c r="B274" s="35">
        <v>7629</v>
      </c>
      <c r="E274" s="45" t="s">
        <v>6051</v>
      </c>
      <c r="F274" s="46">
        <v>236.48999999999998</v>
      </c>
      <c r="G274" s="45" t="s">
        <v>6052</v>
      </c>
      <c r="I274" s="46">
        <v>215.48</v>
      </c>
      <c r="J274" s="47">
        <v>45810</v>
      </c>
    </row>
    <row r="275" spans="1:10">
      <c r="A275" s="36" t="s">
        <v>1925</v>
      </c>
      <c r="B275" s="35">
        <v>7629</v>
      </c>
      <c r="E275" s="45" t="s">
        <v>6051</v>
      </c>
      <c r="F275" s="46">
        <v>110.19000000000001</v>
      </c>
      <c r="G275" s="45" t="s">
        <v>6052</v>
      </c>
      <c r="I275" s="46">
        <v>100.4</v>
      </c>
      <c r="J275" s="47">
        <v>45810</v>
      </c>
    </row>
    <row r="276" spans="1:10">
      <c r="A276" s="36" t="s">
        <v>2083</v>
      </c>
      <c r="B276" s="35">
        <v>7629</v>
      </c>
      <c r="E276" s="45" t="s">
        <v>6051</v>
      </c>
      <c r="F276" s="46">
        <v>63.169999999999995</v>
      </c>
      <c r="G276" s="45" t="s">
        <v>6052</v>
      </c>
      <c r="I276" s="46">
        <v>57.55</v>
      </c>
      <c r="J276" s="47">
        <v>45810</v>
      </c>
    </row>
    <row r="277" spans="1:10">
      <c r="A277" s="36" t="s">
        <v>1752</v>
      </c>
      <c r="B277" s="35">
        <v>7629</v>
      </c>
      <c r="E277" s="45" t="s">
        <v>6051</v>
      </c>
      <c r="F277" s="46">
        <v>151.84</v>
      </c>
      <c r="G277" s="45" t="s">
        <v>6052</v>
      </c>
      <c r="I277" s="46">
        <v>138.35</v>
      </c>
      <c r="J277" s="47">
        <v>45810</v>
      </c>
    </row>
    <row r="278" spans="1:10">
      <c r="A278" s="36" t="s">
        <v>2671</v>
      </c>
      <c r="B278" s="35">
        <v>7629</v>
      </c>
      <c r="E278" s="45" t="s">
        <v>6051</v>
      </c>
      <c r="F278" s="46">
        <v>472.98</v>
      </c>
      <c r="G278" s="45" t="s">
        <v>6052</v>
      </c>
      <c r="I278" s="46">
        <v>430.96</v>
      </c>
      <c r="J278" s="47">
        <v>45810</v>
      </c>
    </row>
    <row r="279" spans="1:10">
      <c r="A279" s="36" t="s">
        <v>2673</v>
      </c>
      <c r="B279" s="35">
        <v>7629</v>
      </c>
      <c r="E279" s="45" t="s">
        <v>6051</v>
      </c>
      <c r="F279" s="46">
        <v>395.05</v>
      </c>
      <c r="G279" s="45" t="s">
        <v>6052</v>
      </c>
      <c r="I279" s="46">
        <v>359.95</v>
      </c>
      <c r="J279" s="47">
        <v>45810</v>
      </c>
    </row>
    <row r="280" spans="1:10">
      <c r="A280" s="36" t="s">
        <v>2674</v>
      </c>
      <c r="B280" s="35">
        <v>7629</v>
      </c>
      <c r="E280" s="45" t="s">
        <v>6051</v>
      </c>
      <c r="F280" s="46">
        <v>395.05</v>
      </c>
      <c r="G280" s="45" t="s">
        <v>6052</v>
      </c>
      <c r="I280" s="46">
        <v>359.95</v>
      </c>
      <c r="J280" s="47">
        <v>45810</v>
      </c>
    </row>
    <row r="281" spans="1:10">
      <c r="A281" s="36" t="s">
        <v>2453</v>
      </c>
      <c r="B281" s="35">
        <v>7629</v>
      </c>
      <c r="E281" s="45" t="s">
        <v>6051</v>
      </c>
      <c r="F281" s="46">
        <v>282.18</v>
      </c>
      <c r="G281" s="45" t="s">
        <v>6052</v>
      </c>
      <c r="I281" s="46">
        <v>257.11</v>
      </c>
      <c r="J281" s="47">
        <v>45810</v>
      </c>
    </row>
    <row r="282" spans="1:10">
      <c r="A282" s="36" t="s">
        <v>2455</v>
      </c>
      <c r="B282" s="35">
        <v>7629</v>
      </c>
      <c r="E282" s="45" t="s">
        <v>6051</v>
      </c>
      <c r="F282" s="46">
        <v>282.18</v>
      </c>
      <c r="G282" s="45" t="s">
        <v>6052</v>
      </c>
      <c r="I282" s="46">
        <v>257.11</v>
      </c>
      <c r="J282" s="47">
        <v>45810</v>
      </c>
    </row>
    <row r="283" spans="1:10">
      <c r="A283" s="36" t="s">
        <v>2679</v>
      </c>
      <c r="B283" s="35">
        <v>7629</v>
      </c>
      <c r="E283" s="45" t="s">
        <v>6051</v>
      </c>
      <c r="F283" s="46">
        <v>386.98</v>
      </c>
      <c r="G283" s="45" t="s">
        <v>6052</v>
      </c>
      <c r="I283" s="46">
        <v>352.59999999999997</v>
      </c>
      <c r="J283" s="47">
        <v>45810</v>
      </c>
    </row>
    <row r="284" spans="1:10">
      <c r="A284" s="36" t="s">
        <v>2680</v>
      </c>
      <c r="B284" s="35">
        <v>7629</v>
      </c>
      <c r="E284" s="45" t="s">
        <v>6051</v>
      </c>
      <c r="F284" s="46">
        <v>463.58</v>
      </c>
      <c r="G284" s="45" t="s">
        <v>6052</v>
      </c>
      <c r="I284" s="46">
        <v>422.39</v>
      </c>
      <c r="J284" s="47">
        <v>45810</v>
      </c>
    </row>
    <row r="285" spans="1:10">
      <c r="A285" s="36" t="s">
        <v>2681</v>
      </c>
      <c r="B285" s="35">
        <v>7629</v>
      </c>
      <c r="E285" s="45" t="s">
        <v>6051</v>
      </c>
      <c r="F285" s="46">
        <v>386.98</v>
      </c>
      <c r="G285" s="45" t="s">
        <v>6052</v>
      </c>
      <c r="I285" s="46">
        <v>352.59999999999997</v>
      </c>
      <c r="J285" s="47">
        <v>45810</v>
      </c>
    </row>
    <row r="286" spans="1:10">
      <c r="A286" s="36" t="s">
        <v>2344</v>
      </c>
      <c r="B286" s="35">
        <v>7629</v>
      </c>
      <c r="E286" s="45" t="s">
        <v>6051</v>
      </c>
      <c r="F286" s="46">
        <v>206.94</v>
      </c>
      <c r="G286" s="45" t="s">
        <v>6052</v>
      </c>
      <c r="I286" s="46">
        <v>188.54999999999998</v>
      </c>
      <c r="J286" s="47">
        <v>45810</v>
      </c>
    </row>
    <row r="287" spans="1:10">
      <c r="A287" s="36" t="s">
        <v>2346</v>
      </c>
      <c r="B287" s="35">
        <v>7629</v>
      </c>
      <c r="E287" s="45" t="s">
        <v>6051</v>
      </c>
      <c r="F287" s="46">
        <v>247.25</v>
      </c>
      <c r="G287" s="45" t="s">
        <v>6052</v>
      </c>
      <c r="I287" s="46">
        <v>225.28</v>
      </c>
      <c r="J287" s="47">
        <v>45810</v>
      </c>
    </row>
    <row r="288" spans="1:10">
      <c r="A288" s="36" t="s">
        <v>2348</v>
      </c>
      <c r="B288" s="35">
        <v>7629</v>
      </c>
      <c r="E288" s="45" t="s">
        <v>6051</v>
      </c>
      <c r="F288" s="46">
        <v>247.25</v>
      </c>
      <c r="G288" s="45" t="s">
        <v>6052</v>
      </c>
      <c r="I288" s="46">
        <v>225.28</v>
      </c>
      <c r="J288" s="47">
        <v>45810</v>
      </c>
    </row>
    <row r="289" spans="1:10">
      <c r="A289" s="36" t="s">
        <v>2661</v>
      </c>
      <c r="B289" s="35">
        <v>7629</v>
      </c>
      <c r="E289" s="45" t="s">
        <v>6051</v>
      </c>
      <c r="F289" s="46">
        <v>385.64</v>
      </c>
      <c r="G289" s="45" t="s">
        <v>6052</v>
      </c>
      <c r="I289" s="46">
        <v>351.38</v>
      </c>
      <c r="J289" s="47">
        <v>45810</v>
      </c>
    </row>
    <row r="290" spans="1:10">
      <c r="A290" s="36" t="s">
        <v>2662</v>
      </c>
      <c r="B290" s="35">
        <v>7629</v>
      </c>
      <c r="E290" s="45" t="s">
        <v>6051</v>
      </c>
      <c r="F290" s="46">
        <v>385.64</v>
      </c>
      <c r="G290" s="45" t="s">
        <v>6052</v>
      </c>
      <c r="I290" s="46">
        <v>351.38</v>
      </c>
      <c r="J290" s="47">
        <v>45810</v>
      </c>
    </row>
    <row r="291" spans="1:10">
      <c r="A291" s="36" t="s">
        <v>2664</v>
      </c>
      <c r="B291" s="35">
        <v>7629</v>
      </c>
      <c r="E291" s="45" t="s">
        <v>6051</v>
      </c>
      <c r="F291" s="46">
        <v>385.64</v>
      </c>
      <c r="G291" s="45" t="s">
        <v>6052</v>
      </c>
      <c r="I291" s="46">
        <v>351.38</v>
      </c>
      <c r="J291" s="47">
        <v>45810</v>
      </c>
    </row>
    <row r="292" spans="1:10">
      <c r="A292" s="36" t="s">
        <v>2590</v>
      </c>
      <c r="B292" s="35">
        <v>7629</v>
      </c>
      <c r="E292" s="45" t="s">
        <v>6051</v>
      </c>
      <c r="F292" s="46">
        <v>194.84</v>
      </c>
      <c r="G292" s="45" t="s">
        <v>6052</v>
      </c>
      <c r="I292" s="46">
        <v>177.53</v>
      </c>
      <c r="J292" s="47">
        <v>45810</v>
      </c>
    </row>
    <row r="293" spans="1:10">
      <c r="A293" s="36" t="s">
        <v>2688</v>
      </c>
      <c r="B293" s="35">
        <v>7629</v>
      </c>
      <c r="E293" s="45" t="s">
        <v>6051</v>
      </c>
      <c r="F293" s="46">
        <v>106.16000000000001</v>
      </c>
      <c r="G293" s="45" t="s">
        <v>6052</v>
      </c>
      <c r="I293" s="46">
        <v>96.72</v>
      </c>
      <c r="J293" s="47">
        <v>45810</v>
      </c>
    </row>
    <row r="294" spans="1:10">
      <c r="A294" s="36" t="s">
        <v>2592</v>
      </c>
      <c r="B294" s="35">
        <v>7629</v>
      </c>
      <c r="E294" s="45" t="s">
        <v>6051</v>
      </c>
      <c r="F294" s="46">
        <v>194.84</v>
      </c>
      <c r="G294" s="45" t="s">
        <v>6052</v>
      </c>
      <c r="I294" s="46">
        <v>177.53</v>
      </c>
      <c r="J294" s="47">
        <v>45810</v>
      </c>
    </row>
    <row r="295" spans="1:10">
      <c r="A295" s="36" t="s">
        <v>2351</v>
      </c>
      <c r="B295" s="35">
        <v>7629</v>
      </c>
      <c r="E295" s="45" t="s">
        <v>6051</v>
      </c>
      <c r="F295" s="46">
        <v>184.09</v>
      </c>
      <c r="G295" s="45" t="s">
        <v>6052</v>
      </c>
      <c r="I295" s="46">
        <v>167.73</v>
      </c>
      <c r="J295" s="47">
        <v>45810</v>
      </c>
    </row>
    <row r="296" spans="1:10">
      <c r="A296" s="36" t="s">
        <v>2353</v>
      </c>
      <c r="B296" s="35">
        <v>7629</v>
      </c>
      <c r="E296" s="45" t="s">
        <v>6051</v>
      </c>
      <c r="F296" s="46">
        <v>184.09</v>
      </c>
      <c r="G296" s="45" t="s">
        <v>6052</v>
      </c>
      <c r="I296" s="46">
        <v>167.73</v>
      </c>
      <c r="J296" s="47">
        <v>45810</v>
      </c>
    </row>
    <row r="297" spans="1:10">
      <c r="A297" s="36" t="s">
        <v>2676</v>
      </c>
      <c r="B297" s="35">
        <v>7629</v>
      </c>
      <c r="E297" s="45" t="s">
        <v>6051</v>
      </c>
      <c r="F297" s="46">
        <v>361.46</v>
      </c>
      <c r="G297" s="45" t="s">
        <v>6052</v>
      </c>
      <c r="I297" s="46">
        <v>329.34</v>
      </c>
      <c r="J297" s="47">
        <v>45810</v>
      </c>
    </row>
    <row r="298" spans="1:10">
      <c r="A298" s="36" t="s">
        <v>2678</v>
      </c>
      <c r="B298" s="35">
        <v>7629</v>
      </c>
      <c r="E298" s="45" t="s">
        <v>6051</v>
      </c>
      <c r="F298" s="46">
        <v>361.46</v>
      </c>
      <c r="G298" s="45" t="s">
        <v>6052</v>
      </c>
      <c r="I298" s="46">
        <v>329.34</v>
      </c>
      <c r="J298" s="47">
        <v>45810</v>
      </c>
    </row>
    <row r="299" spans="1:10">
      <c r="A299" s="36" t="s">
        <v>2585</v>
      </c>
      <c r="B299" s="35">
        <v>7629</v>
      </c>
      <c r="E299" s="45" t="s">
        <v>6051</v>
      </c>
      <c r="F299" s="46">
        <v>298.31</v>
      </c>
      <c r="G299" s="45" t="s">
        <v>6052</v>
      </c>
      <c r="I299" s="46">
        <v>271.8</v>
      </c>
      <c r="J299" s="47">
        <v>45810</v>
      </c>
    </row>
    <row r="300" spans="1:10">
      <c r="A300" s="36" t="s">
        <v>2587</v>
      </c>
      <c r="B300" s="35">
        <v>7629</v>
      </c>
      <c r="E300" s="45" t="s">
        <v>6051</v>
      </c>
      <c r="F300" s="46">
        <v>248.59</v>
      </c>
      <c r="G300" s="45" t="s">
        <v>6052</v>
      </c>
      <c r="I300" s="46">
        <v>226.5</v>
      </c>
      <c r="J300" s="47">
        <v>45810</v>
      </c>
    </row>
    <row r="301" spans="1:10">
      <c r="A301" s="36" t="s">
        <v>2588</v>
      </c>
      <c r="B301" s="35">
        <v>7629</v>
      </c>
      <c r="E301" s="45" t="s">
        <v>6051</v>
      </c>
      <c r="F301" s="46">
        <v>248.59</v>
      </c>
      <c r="G301" s="45" t="s">
        <v>6052</v>
      </c>
      <c r="I301" s="46">
        <v>226.5</v>
      </c>
      <c r="J301" s="47">
        <v>45810</v>
      </c>
    </row>
    <row r="302" spans="1:10">
      <c r="A302" s="36" t="s">
        <v>2658</v>
      </c>
      <c r="B302" s="35">
        <v>7629</v>
      </c>
      <c r="E302" s="45" t="s">
        <v>6051</v>
      </c>
      <c r="F302" s="46">
        <v>275.46999999999997</v>
      </c>
      <c r="G302" s="45" t="s">
        <v>6052</v>
      </c>
      <c r="I302" s="46">
        <v>250.98999999999998</v>
      </c>
      <c r="J302" s="47">
        <v>45810</v>
      </c>
    </row>
    <row r="303" spans="1:10">
      <c r="A303" s="36" t="s">
        <v>2660</v>
      </c>
      <c r="B303" s="35">
        <v>7629</v>
      </c>
      <c r="E303" s="45" t="s">
        <v>6051</v>
      </c>
      <c r="F303" s="46">
        <v>275.46999999999997</v>
      </c>
      <c r="G303" s="45" t="s">
        <v>6052</v>
      </c>
      <c r="I303" s="46">
        <v>250.98999999999998</v>
      </c>
      <c r="J303" s="47">
        <v>45810</v>
      </c>
    </row>
    <row r="304" spans="1:10">
      <c r="A304" s="36" t="s">
        <v>2600</v>
      </c>
      <c r="B304" s="35">
        <v>7629</v>
      </c>
      <c r="E304" s="45" t="s">
        <v>6051</v>
      </c>
      <c r="F304" s="46">
        <v>282.18</v>
      </c>
      <c r="G304" s="45" t="s">
        <v>6052</v>
      </c>
      <c r="I304" s="46">
        <v>257.11</v>
      </c>
      <c r="J304" s="47">
        <v>45810</v>
      </c>
    </row>
    <row r="305" spans="1:10">
      <c r="A305" s="36" t="s">
        <v>2602</v>
      </c>
      <c r="B305" s="35">
        <v>7629</v>
      </c>
      <c r="E305" s="45" t="s">
        <v>6051</v>
      </c>
      <c r="F305" s="46">
        <v>282.18</v>
      </c>
      <c r="G305" s="45" t="s">
        <v>6052</v>
      </c>
      <c r="I305" s="46">
        <v>257.11</v>
      </c>
      <c r="J305" s="47">
        <v>45810</v>
      </c>
    </row>
    <row r="306" spans="1:10">
      <c r="A306" s="36" t="s">
        <v>2040</v>
      </c>
      <c r="B306" s="35">
        <v>7629</v>
      </c>
      <c r="E306" s="45" t="s">
        <v>6051</v>
      </c>
      <c r="F306" s="46">
        <v>735</v>
      </c>
      <c r="G306" s="45" t="s">
        <v>6052</v>
      </c>
      <c r="I306" s="46">
        <v>669.7</v>
      </c>
      <c r="J306" s="47">
        <v>45810</v>
      </c>
    </row>
    <row r="307" spans="1:10">
      <c r="A307" s="36" t="s">
        <v>2036</v>
      </c>
      <c r="B307" s="35">
        <v>7629</v>
      </c>
      <c r="E307" s="45" t="s">
        <v>6051</v>
      </c>
      <c r="F307" s="46">
        <v>735</v>
      </c>
      <c r="G307" s="45" t="s">
        <v>6052</v>
      </c>
      <c r="I307" s="46">
        <v>669.7</v>
      </c>
      <c r="J307" s="47">
        <v>45810</v>
      </c>
    </row>
    <row r="308" spans="1:10">
      <c r="A308" s="36" t="s">
        <v>2055</v>
      </c>
      <c r="B308" s="35">
        <v>7629</v>
      </c>
      <c r="E308" s="45" t="s">
        <v>6051</v>
      </c>
      <c r="F308" s="46">
        <v>597.93999999999994</v>
      </c>
      <c r="G308" s="45" t="s">
        <v>6052</v>
      </c>
      <c r="I308" s="46">
        <v>544.81999999999994</v>
      </c>
      <c r="J308" s="47">
        <v>45810</v>
      </c>
    </row>
    <row r="309" spans="1:10">
      <c r="A309" s="36" t="s">
        <v>2265</v>
      </c>
      <c r="B309" s="35">
        <v>7629</v>
      </c>
      <c r="E309" s="45" t="s">
        <v>6051</v>
      </c>
      <c r="F309" s="46">
        <v>241.87</v>
      </c>
      <c r="G309" s="45" t="s">
        <v>6052</v>
      </c>
      <c r="I309" s="46">
        <v>220.38</v>
      </c>
      <c r="J309" s="47">
        <v>45810</v>
      </c>
    </row>
    <row r="310" spans="1:10">
      <c r="A310" s="36" t="s">
        <v>1627</v>
      </c>
      <c r="B310" s="35">
        <v>7629</v>
      </c>
      <c r="E310" s="45" t="s">
        <v>6051</v>
      </c>
      <c r="F310" s="46">
        <v>102.13000000000001</v>
      </c>
      <c r="G310" s="45" t="s">
        <v>6052</v>
      </c>
      <c r="I310" s="46">
        <v>93.050000000000011</v>
      </c>
      <c r="J310" s="47">
        <v>45810</v>
      </c>
    </row>
    <row r="311" spans="1:10">
      <c r="A311" s="36" t="s">
        <v>2037</v>
      </c>
      <c r="B311" s="35">
        <v>7629</v>
      </c>
      <c r="E311" s="45" t="s">
        <v>6051</v>
      </c>
      <c r="F311" s="46">
        <v>735</v>
      </c>
      <c r="G311" s="45" t="s">
        <v>6052</v>
      </c>
      <c r="I311" s="46">
        <v>669.7</v>
      </c>
      <c r="J311" s="47">
        <v>45810</v>
      </c>
    </row>
    <row r="312" spans="1:10">
      <c r="A312" s="36" t="s">
        <v>2297</v>
      </c>
      <c r="B312" s="35">
        <v>7629</v>
      </c>
      <c r="E312" s="45" t="s">
        <v>6051</v>
      </c>
      <c r="F312" s="46">
        <v>354.74</v>
      </c>
      <c r="G312" s="45" t="s">
        <v>6052</v>
      </c>
      <c r="I312" s="46">
        <v>323.21999999999997</v>
      </c>
      <c r="J312" s="47">
        <v>45810</v>
      </c>
    </row>
    <row r="313" spans="1:10">
      <c r="A313" s="36" t="s">
        <v>1641</v>
      </c>
      <c r="B313" s="35">
        <v>7629</v>
      </c>
      <c r="E313" s="45" t="s">
        <v>6051</v>
      </c>
      <c r="F313" s="46">
        <v>322.49</v>
      </c>
      <c r="G313" s="45" t="s">
        <v>6052</v>
      </c>
      <c r="I313" s="46">
        <v>293.83999999999997</v>
      </c>
      <c r="J313" s="47">
        <v>45810</v>
      </c>
    </row>
    <row r="314" spans="1:10">
      <c r="A314" s="36" t="s">
        <v>2607</v>
      </c>
      <c r="B314" s="35">
        <v>7629</v>
      </c>
      <c r="E314" s="45" t="s">
        <v>6051</v>
      </c>
      <c r="F314" s="46">
        <v>192.16</v>
      </c>
      <c r="G314" s="45" t="s">
        <v>6052</v>
      </c>
      <c r="I314" s="46">
        <v>175.07999999999998</v>
      </c>
      <c r="J314" s="47">
        <v>45810</v>
      </c>
    </row>
    <row r="315" spans="1:10">
      <c r="A315" s="36" t="s">
        <v>2334</v>
      </c>
      <c r="B315" s="35">
        <v>7629</v>
      </c>
      <c r="E315" s="45" t="s">
        <v>6051</v>
      </c>
      <c r="F315" s="46">
        <v>422.45</v>
      </c>
      <c r="G315" s="45" t="s">
        <v>6052</v>
      </c>
      <c r="I315" s="46">
        <v>384.92</v>
      </c>
      <c r="J315" s="47">
        <v>45810</v>
      </c>
    </row>
    <row r="316" spans="1:10">
      <c r="A316" s="36" t="s">
        <v>2354</v>
      </c>
      <c r="B316" s="35">
        <v>7629</v>
      </c>
      <c r="E316" s="45" t="s">
        <v>6051</v>
      </c>
      <c r="F316" s="46">
        <v>114.22</v>
      </c>
      <c r="G316" s="45" t="s">
        <v>6052</v>
      </c>
      <c r="I316" s="46">
        <v>104.07000000000001</v>
      </c>
      <c r="J316" s="47">
        <v>45810</v>
      </c>
    </row>
    <row r="317" spans="1:10">
      <c r="A317" s="36" t="s">
        <v>2683</v>
      </c>
      <c r="B317" s="35">
        <v>7629</v>
      </c>
      <c r="E317" s="45" t="s">
        <v>6051</v>
      </c>
      <c r="F317" s="46">
        <v>370.86</v>
      </c>
      <c r="G317" s="45" t="s">
        <v>6052</v>
      </c>
      <c r="I317" s="46">
        <v>337.90999999999997</v>
      </c>
      <c r="J317" s="47">
        <v>45810</v>
      </c>
    </row>
    <row r="318" spans="1:10">
      <c r="A318" s="36" t="s">
        <v>2355</v>
      </c>
      <c r="B318" s="35">
        <v>7629</v>
      </c>
      <c r="E318" s="45" t="s">
        <v>6051</v>
      </c>
      <c r="F318" s="46">
        <v>114.22</v>
      </c>
      <c r="G318" s="45" t="s">
        <v>6052</v>
      </c>
      <c r="I318" s="46">
        <v>104.07000000000001</v>
      </c>
      <c r="J318" s="47">
        <v>45810</v>
      </c>
    </row>
    <row r="319" spans="1:10">
      <c r="A319" s="36" t="s">
        <v>2684</v>
      </c>
      <c r="B319" s="35">
        <v>7629</v>
      </c>
      <c r="E319" s="45" t="s">
        <v>6051</v>
      </c>
      <c r="F319" s="46">
        <v>445.03</v>
      </c>
      <c r="G319" s="45" t="s">
        <v>6052</v>
      </c>
      <c r="I319" s="46">
        <v>405.49</v>
      </c>
      <c r="J319" s="47">
        <v>45810</v>
      </c>
    </row>
    <row r="320" spans="1:10">
      <c r="A320" s="36" t="s">
        <v>2356</v>
      </c>
      <c r="B320" s="35">
        <v>7629</v>
      </c>
      <c r="E320" s="45" t="s">
        <v>6051</v>
      </c>
      <c r="F320" s="46">
        <v>114.22</v>
      </c>
      <c r="G320" s="45" t="s">
        <v>6052</v>
      </c>
      <c r="I320" s="46">
        <v>104.07000000000001</v>
      </c>
      <c r="J320" s="47">
        <v>45810</v>
      </c>
    </row>
    <row r="321" spans="1:10">
      <c r="A321" s="36" t="s">
        <v>2357</v>
      </c>
      <c r="B321" s="35">
        <v>7629</v>
      </c>
      <c r="E321" s="45" t="s">
        <v>6051</v>
      </c>
      <c r="F321" s="46">
        <v>137.06</v>
      </c>
      <c r="G321" s="45" t="s">
        <v>6052</v>
      </c>
      <c r="I321" s="46">
        <v>124.88000000000001</v>
      </c>
      <c r="J321" s="47">
        <v>45810</v>
      </c>
    </row>
    <row r="322" spans="1:10">
      <c r="A322" s="36" t="s">
        <v>2358</v>
      </c>
      <c r="B322" s="35">
        <v>7629</v>
      </c>
      <c r="E322" s="45" t="s">
        <v>6051</v>
      </c>
      <c r="F322" s="46">
        <v>114.22</v>
      </c>
      <c r="G322" s="45" t="s">
        <v>6052</v>
      </c>
      <c r="I322" s="46">
        <v>104.07000000000001</v>
      </c>
      <c r="J322" s="47">
        <v>45810</v>
      </c>
    </row>
    <row r="323" spans="1:10">
      <c r="A323" s="36" t="s">
        <v>2359</v>
      </c>
      <c r="B323" s="35">
        <v>7629</v>
      </c>
      <c r="E323" s="45" t="s">
        <v>6051</v>
      </c>
      <c r="F323" s="46">
        <v>114.22</v>
      </c>
      <c r="G323" s="45" t="s">
        <v>6052</v>
      </c>
      <c r="I323" s="46">
        <v>104.07000000000001</v>
      </c>
      <c r="J323" s="47">
        <v>45810</v>
      </c>
    </row>
    <row r="324" spans="1:10">
      <c r="A324" s="36" t="s">
        <v>2389</v>
      </c>
      <c r="B324" s="35">
        <v>7629</v>
      </c>
      <c r="E324" s="45" t="s">
        <v>6051</v>
      </c>
      <c r="F324" s="46">
        <v>130.34</v>
      </c>
      <c r="G324" s="45" t="s">
        <v>6052</v>
      </c>
      <c r="I324" s="46">
        <v>118.76</v>
      </c>
      <c r="J324" s="47">
        <v>45810</v>
      </c>
    </row>
    <row r="325" spans="1:10">
      <c r="A325" s="36" t="s">
        <v>2390</v>
      </c>
      <c r="B325" s="35">
        <v>7629</v>
      </c>
      <c r="E325" s="45" t="s">
        <v>6051</v>
      </c>
      <c r="F325" s="46">
        <v>130.34</v>
      </c>
      <c r="G325" s="45" t="s">
        <v>6052</v>
      </c>
      <c r="I325" s="46">
        <v>118.76</v>
      </c>
      <c r="J325" s="47">
        <v>45810</v>
      </c>
    </row>
    <row r="326" spans="1:10">
      <c r="A326" s="36" t="s">
        <v>2493</v>
      </c>
      <c r="B326" s="35">
        <v>7629</v>
      </c>
      <c r="E326" s="45" t="s">
        <v>6051</v>
      </c>
      <c r="F326" s="46">
        <v>153.19</v>
      </c>
      <c r="G326" s="45" t="s">
        <v>6052</v>
      </c>
      <c r="I326" s="46">
        <v>139.57999999999998</v>
      </c>
      <c r="J326" s="47">
        <v>45810</v>
      </c>
    </row>
    <row r="327" spans="1:10">
      <c r="A327" s="36" t="s">
        <v>2391</v>
      </c>
      <c r="B327" s="35">
        <v>7629</v>
      </c>
      <c r="E327" s="45" t="s">
        <v>6051</v>
      </c>
      <c r="F327" s="46">
        <v>156.41</v>
      </c>
      <c r="G327" s="45" t="s">
        <v>6052</v>
      </c>
      <c r="I327" s="46">
        <v>142.51</v>
      </c>
      <c r="J327" s="47">
        <v>45810</v>
      </c>
    </row>
    <row r="328" spans="1:10">
      <c r="A328" s="36" t="s">
        <v>2494</v>
      </c>
      <c r="B328" s="35">
        <v>7629</v>
      </c>
      <c r="E328" s="45" t="s">
        <v>6051</v>
      </c>
      <c r="F328" s="46">
        <v>127.66000000000001</v>
      </c>
      <c r="G328" s="45" t="s">
        <v>6052</v>
      </c>
      <c r="I328" s="46">
        <v>116.31</v>
      </c>
      <c r="J328" s="47">
        <v>45810</v>
      </c>
    </row>
    <row r="329" spans="1:10">
      <c r="A329" s="36" t="s">
        <v>2495</v>
      </c>
      <c r="B329" s="35">
        <v>7629</v>
      </c>
      <c r="E329" s="45" t="s">
        <v>6051</v>
      </c>
      <c r="F329" s="46">
        <v>127.66000000000001</v>
      </c>
      <c r="G329" s="45" t="s">
        <v>6052</v>
      </c>
      <c r="I329" s="46">
        <v>116.31</v>
      </c>
      <c r="J329" s="47">
        <v>45810</v>
      </c>
    </row>
    <row r="330" spans="1:10">
      <c r="A330" s="36" t="s">
        <v>2629</v>
      </c>
      <c r="B330" s="35">
        <v>7629</v>
      </c>
      <c r="E330" s="45" t="s">
        <v>6051</v>
      </c>
      <c r="F330" s="46">
        <v>224.39999999999998</v>
      </c>
      <c r="G330" s="45" t="s">
        <v>6052</v>
      </c>
      <c r="I330" s="46">
        <v>204.45999999999998</v>
      </c>
      <c r="J330" s="47">
        <v>45810</v>
      </c>
    </row>
    <row r="331" spans="1:10">
      <c r="A331" s="36" t="s">
        <v>2496</v>
      </c>
      <c r="B331" s="35">
        <v>7629</v>
      </c>
      <c r="E331" s="45" t="s">
        <v>6051</v>
      </c>
      <c r="F331" s="46">
        <v>127.66000000000001</v>
      </c>
      <c r="G331" s="45" t="s">
        <v>6052</v>
      </c>
      <c r="I331" s="46">
        <v>116.31</v>
      </c>
      <c r="J331" s="47">
        <v>45810</v>
      </c>
    </row>
    <row r="332" spans="1:10">
      <c r="A332" s="36" t="s">
        <v>2635</v>
      </c>
      <c r="B332" s="35">
        <v>7629</v>
      </c>
      <c r="E332" s="45" t="s">
        <v>6051</v>
      </c>
      <c r="F332" s="46">
        <v>166.09</v>
      </c>
      <c r="G332" s="45" t="s">
        <v>6052</v>
      </c>
      <c r="I332" s="46">
        <v>151.32999999999998</v>
      </c>
      <c r="J332" s="47">
        <v>45810</v>
      </c>
    </row>
    <row r="333" spans="1:10">
      <c r="A333" s="36" t="s">
        <v>2630</v>
      </c>
      <c r="B333" s="35">
        <v>7629</v>
      </c>
      <c r="E333" s="45" t="s">
        <v>6051</v>
      </c>
      <c r="F333" s="46">
        <v>224.39999999999998</v>
      </c>
      <c r="G333" s="45" t="s">
        <v>6052</v>
      </c>
      <c r="I333" s="46">
        <v>204.45999999999998</v>
      </c>
      <c r="J333" s="47">
        <v>45810</v>
      </c>
    </row>
    <row r="334" spans="1:10">
      <c r="A334" s="36" t="s">
        <v>2631</v>
      </c>
      <c r="B334" s="35">
        <v>7629</v>
      </c>
      <c r="E334" s="45" t="s">
        <v>6051</v>
      </c>
      <c r="F334" s="46">
        <v>224.39999999999998</v>
      </c>
      <c r="G334" s="45" t="s">
        <v>6052</v>
      </c>
      <c r="I334" s="46">
        <v>204.45999999999998</v>
      </c>
      <c r="J334" s="47">
        <v>45810</v>
      </c>
    </row>
    <row r="335" spans="1:10">
      <c r="A335" s="36" t="s">
        <v>2633</v>
      </c>
      <c r="B335" s="35">
        <v>7629</v>
      </c>
      <c r="E335" s="45" t="s">
        <v>6051</v>
      </c>
      <c r="F335" s="46">
        <v>268.74</v>
      </c>
      <c r="G335" s="45" t="s">
        <v>6052</v>
      </c>
      <c r="I335" s="46">
        <v>244.86</v>
      </c>
      <c r="J335" s="47">
        <v>45810</v>
      </c>
    </row>
    <row r="336" spans="1:10">
      <c r="A336" s="36" t="s">
        <v>2639</v>
      </c>
      <c r="B336" s="35">
        <v>7629</v>
      </c>
      <c r="E336" s="45" t="s">
        <v>6051</v>
      </c>
      <c r="F336" s="46">
        <v>166.09</v>
      </c>
      <c r="G336" s="45" t="s">
        <v>6052</v>
      </c>
      <c r="I336" s="46">
        <v>151.32999999999998</v>
      </c>
      <c r="J336" s="47">
        <v>45810</v>
      </c>
    </row>
    <row r="337" spans="1:10">
      <c r="A337" s="36" t="s">
        <v>2640</v>
      </c>
      <c r="B337" s="35">
        <v>7629</v>
      </c>
      <c r="E337" s="45" t="s">
        <v>6051</v>
      </c>
      <c r="F337" s="46">
        <v>138.41</v>
      </c>
      <c r="G337" s="45" t="s">
        <v>6052</v>
      </c>
      <c r="I337" s="46">
        <v>126.11</v>
      </c>
      <c r="J337" s="47">
        <v>45810</v>
      </c>
    </row>
    <row r="338" spans="1:10">
      <c r="A338" s="36" t="s">
        <v>2641</v>
      </c>
      <c r="B338" s="35">
        <v>7629</v>
      </c>
      <c r="E338" s="45" t="s">
        <v>6051</v>
      </c>
      <c r="F338" s="46">
        <v>180.6</v>
      </c>
      <c r="G338" s="45" t="s">
        <v>6052</v>
      </c>
      <c r="I338" s="46">
        <v>164.54999999999998</v>
      </c>
      <c r="J338" s="47">
        <v>45810</v>
      </c>
    </row>
    <row r="339" spans="1:10">
      <c r="A339" s="36" t="s">
        <v>2642</v>
      </c>
      <c r="B339" s="35">
        <v>7629</v>
      </c>
      <c r="E339" s="45" t="s">
        <v>6051</v>
      </c>
      <c r="F339" s="46">
        <v>180.6</v>
      </c>
      <c r="G339" s="45" t="s">
        <v>6052</v>
      </c>
      <c r="I339" s="46">
        <v>164.54999999999998</v>
      </c>
      <c r="J339" s="47">
        <v>45810</v>
      </c>
    </row>
    <row r="340" spans="1:10">
      <c r="A340" s="36" t="s">
        <v>2643</v>
      </c>
      <c r="B340" s="35">
        <v>7629</v>
      </c>
      <c r="E340" s="45" t="s">
        <v>6051</v>
      </c>
      <c r="F340" s="46">
        <v>150.51</v>
      </c>
      <c r="G340" s="45" t="s">
        <v>6052</v>
      </c>
      <c r="I340" s="46">
        <v>137.13</v>
      </c>
      <c r="J340" s="47">
        <v>45810</v>
      </c>
    </row>
    <row r="341" spans="1:10">
      <c r="A341" s="36" t="s">
        <v>2644</v>
      </c>
      <c r="B341" s="35">
        <v>7629</v>
      </c>
      <c r="E341" s="45" t="s">
        <v>6051</v>
      </c>
      <c r="F341" s="46">
        <v>150.51</v>
      </c>
      <c r="G341" s="45" t="s">
        <v>6052</v>
      </c>
      <c r="I341" s="46">
        <v>137.13</v>
      </c>
      <c r="J341" s="47">
        <v>45810</v>
      </c>
    </row>
    <row r="342" spans="1:10">
      <c r="A342" s="36" t="s">
        <v>2645</v>
      </c>
      <c r="B342" s="35">
        <v>7629</v>
      </c>
      <c r="E342" s="45" t="s">
        <v>6051</v>
      </c>
      <c r="F342" s="46">
        <v>150.51</v>
      </c>
      <c r="G342" s="45" t="s">
        <v>6052</v>
      </c>
      <c r="I342" s="46">
        <v>137.13</v>
      </c>
      <c r="J342" s="47">
        <v>45810</v>
      </c>
    </row>
    <row r="343" spans="1:10">
      <c r="A343" s="36" t="s">
        <v>2646</v>
      </c>
      <c r="B343" s="35">
        <v>7629</v>
      </c>
      <c r="E343" s="45" t="s">
        <v>6051</v>
      </c>
      <c r="F343" s="46">
        <v>150.51</v>
      </c>
      <c r="G343" s="45" t="s">
        <v>6052</v>
      </c>
      <c r="I343" s="46">
        <v>137.13</v>
      </c>
      <c r="J343" s="47">
        <v>45810</v>
      </c>
    </row>
    <row r="344" spans="1:10">
      <c r="A344" s="36" t="s">
        <v>2539</v>
      </c>
      <c r="B344" s="35">
        <v>7629</v>
      </c>
      <c r="E344" s="45" t="s">
        <v>6051</v>
      </c>
      <c r="F344" s="46">
        <v>145.13</v>
      </c>
      <c r="G344" s="45" t="s">
        <v>6052</v>
      </c>
      <c r="I344" s="46">
        <v>132.22999999999999</v>
      </c>
      <c r="J344" s="47">
        <v>45810</v>
      </c>
    </row>
    <row r="345" spans="1:10">
      <c r="A345" s="36" t="s">
        <v>2363</v>
      </c>
      <c r="B345" s="35">
        <v>7629</v>
      </c>
      <c r="E345" s="45" t="s">
        <v>6051</v>
      </c>
      <c r="F345" s="46">
        <v>147.82</v>
      </c>
      <c r="G345" s="45" t="s">
        <v>6052</v>
      </c>
      <c r="I345" s="46">
        <v>134.67999999999998</v>
      </c>
      <c r="J345" s="47">
        <v>45810</v>
      </c>
    </row>
    <row r="346" spans="1:10">
      <c r="A346" s="36" t="s">
        <v>2364</v>
      </c>
      <c r="B346" s="35">
        <v>7629</v>
      </c>
      <c r="E346" s="45" t="s">
        <v>6051</v>
      </c>
      <c r="F346" s="46">
        <v>147.82</v>
      </c>
      <c r="G346" s="45" t="s">
        <v>6052</v>
      </c>
      <c r="I346" s="46">
        <v>134.67999999999998</v>
      </c>
      <c r="J346" s="47">
        <v>45810</v>
      </c>
    </row>
    <row r="347" spans="1:10">
      <c r="A347" s="36" t="s">
        <v>2365</v>
      </c>
      <c r="B347" s="35">
        <v>7629</v>
      </c>
      <c r="E347" s="45" t="s">
        <v>6051</v>
      </c>
      <c r="F347" s="46">
        <v>147.82</v>
      </c>
      <c r="G347" s="45" t="s">
        <v>6052</v>
      </c>
      <c r="I347" s="46">
        <v>134.67999999999998</v>
      </c>
      <c r="J347" s="47">
        <v>45810</v>
      </c>
    </row>
    <row r="348" spans="1:10">
      <c r="A348" s="36" t="s">
        <v>2366</v>
      </c>
      <c r="B348" s="35">
        <v>7629</v>
      </c>
      <c r="E348" s="45" t="s">
        <v>6051</v>
      </c>
      <c r="F348" s="46">
        <v>147.82</v>
      </c>
      <c r="G348" s="45" t="s">
        <v>6052</v>
      </c>
      <c r="I348" s="46">
        <v>134.67999999999998</v>
      </c>
      <c r="J348" s="47">
        <v>45810</v>
      </c>
    </row>
    <row r="349" spans="1:10">
      <c r="A349" s="36" t="s">
        <v>2371</v>
      </c>
      <c r="B349" s="35">
        <v>7629</v>
      </c>
      <c r="E349" s="45" t="s">
        <v>6051</v>
      </c>
      <c r="F349" s="46">
        <v>127.66000000000001</v>
      </c>
      <c r="G349" s="45" t="s">
        <v>6052</v>
      </c>
      <c r="I349" s="46">
        <v>116.31</v>
      </c>
      <c r="J349" s="47">
        <v>45810</v>
      </c>
    </row>
    <row r="350" spans="1:10">
      <c r="A350" s="36" t="s">
        <v>2372</v>
      </c>
      <c r="B350" s="35">
        <v>7629</v>
      </c>
      <c r="E350" s="45" t="s">
        <v>6051</v>
      </c>
      <c r="F350" s="46">
        <v>127.66000000000001</v>
      </c>
      <c r="G350" s="45" t="s">
        <v>6052</v>
      </c>
      <c r="I350" s="46">
        <v>116.31</v>
      </c>
      <c r="J350" s="47">
        <v>45810</v>
      </c>
    </row>
    <row r="351" spans="1:10">
      <c r="A351" s="36" t="s">
        <v>2375</v>
      </c>
      <c r="B351" s="35">
        <v>7629</v>
      </c>
      <c r="E351" s="45" t="s">
        <v>6051</v>
      </c>
      <c r="F351" s="46">
        <v>153.19</v>
      </c>
      <c r="G351" s="45" t="s">
        <v>6052</v>
      </c>
      <c r="I351" s="46">
        <v>139.57999999999998</v>
      </c>
      <c r="J351" s="47">
        <v>45810</v>
      </c>
    </row>
    <row r="352" spans="1:10">
      <c r="A352" s="36" t="s">
        <v>2373</v>
      </c>
      <c r="B352" s="35">
        <v>7629</v>
      </c>
      <c r="E352" s="45" t="s">
        <v>6051</v>
      </c>
      <c r="F352" s="46">
        <v>127.66000000000001</v>
      </c>
      <c r="G352" s="45" t="s">
        <v>6052</v>
      </c>
      <c r="I352" s="46">
        <v>116.31</v>
      </c>
      <c r="J352" s="47">
        <v>45810</v>
      </c>
    </row>
    <row r="353" spans="1:10">
      <c r="A353" s="36" t="s">
        <v>2376</v>
      </c>
      <c r="B353" s="35">
        <v>7629</v>
      </c>
      <c r="E353" s="45" t="s">
        <v>6051</v>
      </c>
      <c r="F353" s="46">
        <v>98.100000000000009</v>
      </c>
      <c r="G353" s="45" t="s">
        <v>6052</v>
      </c>
      <c r="I353" s="46">
        <v>89.38000000000001</v>
      </c>
      <c r="J353" s="47">
        <v>45810</v>
      </c>
    </row>
    <row r="354" spans="1:10">
      <c r="A354" s="36" t="s">
        <v>2377</v>
      </c>
      <c r="B354" s="35">
        <v>7629</v>
      </c>
      <c r="E354" s="45" t="s">
        <v>6051</v>
      </c>
      <c r="F354" s="46">
        <v>98.100000000000009</v>
      </c>
      <c r="G354" s="45" t="s">
        <v>6052</v>
      </c>
      <c r="I354" s="46">
        <v>89.38000000000001</v>
      </c>
      <c r="J354" s="47">
        <v>45810</v>
      </c>
    </row>
    <row r="355" spans="1:10">
      <c r="A355" s="36" t="s">
        <v>2378</v>
      </c>
      <c r="B355" s="35">
        <v>7629</v>
      </c>
      <c r="E355" s="45" t="s">
        <v>6051</v>
      </c>
      <c r="F355" s="46">
        <v>98.100000000000009</v>
      </c>
      <c r="G355" s="45" t="s">
        <v>6052</v>
      </c>
      <c r="I355" s="46">
        <v>89.38000000000001</v>
      </c>
      <c r="J355" s="47">
        <v>45810</v>
      </c>
    </row>
    <row r="356" spans="1:10">
      <c r="A356" s="36" t="s">
        <v>2379</v>
      </c>
      <c r="B356" s="35">
        <v>7629</v>
      </c>
      <c r="E356" s="45" t="s">
        <v>6051</v>
      </c>
      <c r="F356" s="46">
        <v>98.100000000000009</v>
      </c>
      <c r="G356" s="45" t="s">
        <v>6052</v>
      </c>
      <c r="I356" s="46">
        <v>89.38000000000001</v>
      </c>
      <c r="J356" s="47">
        <v>45810</v>
      </c>
    </row>
    <row r="357" spans="1:10">
      <c r="A357" s="36" t="s">
        <v>2380</v>
      </c>
      <c r="B357" s="35">
        <v>7629</v>
      </c>
      <c r="E357" s="45" t="s">
        <v>6051</v>
      </c>
      <c r="F357" s="46">
        <v>98.100000000000009</v>
      </c>
      <c r="G357" s="45" t="s">
        <v>6052</v>
      </c>
      <c r="I357" s="46">
        <v>89.38000000000001</v>
      </c>
      <c r="J357" s="47">
        <v>45810</v>
      </c>
    </row>
    <row r="358" spans="1:10">
      <c r="A358" s="36" t="s">
        <v>2383</v>
      </c>
      <c r="B358" s="35">
        <v>7629</v>
      </c>
      <c r="E358" s="45" t="s">
        <v>6051</v>
      </c>
      <c r="F358" s="46">
        <v>173.34</v>
      </c>
      <c r="G358" s="45" t="s">
        <v>6052</v>
      </c>
      <c r="I358" s="46">
        <v>157.94</v>
      </c>
      <c r="J358" s="47">
        <v>45810</v>
      </c>
    </row>
    <row r="359" spans="1:10">
      <c r="A359" s="36" t="s">
        <v>2384</v>
      </c>
      <c r="B359" s="35">
        <v>7629</v>
      </c>
      <c r="E359" s="45" t="s">
        <v>6051</v>
      </c>
      <c r="F359" s="46">
        <v>206.94</v>
      </c>
      <c r="G359" s="45" t="s">
        <v>6052</v>
      </c>
      <c r="I359" s="46">
        <v>188.54999999999998</v>
      </c>
      <c r="J359" s="47">
        <v>45810</v>
      </c>
    </row>
    <row r="360" spans="1:10">
      <c r="A360" s="36" t="s">
        <v>2385</v>
      </c>
      <c r="B360" s="35">
        <v>7629</v>
      </c>
      <c r="E360" s="45" t="s">
        <v>6051</v>
      </c>
      <c r="F360" s="46">
        <v>173.34</v>
      </c>
      <c r="G360" s="45" t="s">
        <v>6052</v>
      </c>
      <c r="I360" s="46">
        <v>157.94</v>
      </c>
      <c r="J360" s="47">
        <v>45810</v>
      </c>
    </row>
    <row r="361" spans="1:10">
      <c r="A361" s="36" t="s">
        <v>2386</v>
      </c>
      <c r="B361" s="35">
        <v>7629</v>
      </c>
      <c r="E361" s="45" t="s">
        <v>6051</v>
      </c>
      <c r="F361" s="46">
        <v>173.34</v>
      </c>
      <c r="G361" s="45" t="s">
        <v>6052</v>
      </c>
      <c r="I361" s="46">
        <v>157.94</v>
      </c>
      <c r="J361" s="47">
        <v>45810</v>
      </c>
    </row>
    <row r="362" spans="1:10">
      <c r="A362" s="36" t="s">
        <v>2387</v>
      </c>
      <c r="B362" s="35">
        <v>7629</v>
      </c>
      <c r="E362" s="45" t="s">
        <v>6051</v>
      </c>
      <c r="F362" s="46">
        <v>206.94</v>
      </c>
      <c r="G362" s="45" t="s">
        <v>6052</v>
      </c>
      <c r="I362" s="46">
        <v>188.54999999999998</v>
      </c>
      <c r="J362" s="47">
        <v>45810</v>
      </c>
    </row>
    <row r="363" spans="1:10">
      <c r="A363" s="36" t="s">
        <v>2685</v>
      </c>
      <c r="B363" s="35">
        <v>7629</v>
      </c>
      <c r="E363" s="45" t="s">
        <v>6051</v>
      </c>
      <c r="F363" s="46">
        <v>445.03</v>
      </c>
      <c r="G363" s="45" t="s">
        <v>6052</v>
      </c>
      <c r="I363" s="46">
        <v>405.49</v>
      </c>
      <c r="J363" s="47">
        <v>45810</v>
      </c>
    </row>
    <row r="364" spans="1:10">
      <c r="A364" s="36" t="s">
        <v>2686</v>
      </c>
      <c r="B364" s="35">
        <v>7629</v>
      </c>
      <c r="E364" s="45" t="s">
        <v>6051</v>
      </c>
      <c r="F364" s="46">
        <v>370.86</v>
      </c>
      <c r="G364" s="45" t="s">
        <v>6052</v>
      </c>
      <c r="I364" s="46">
        <v>337.90999999999997</v>
      </c>
      <c r="J364" s="47">
        <v>45810</v>
      </c>
    </row>
    <row r="365" spans="1:10">
      <c r="A365" s="36" t="s">
        <v>2649</v>
      </c>
      <c r="B365" s="35">
        <v>7629</v>
      </c>
      <c r="E365" s="45" t="s">
        <v>6051</v>
      </c>
      <c r="F365" s="46">
        <v>159.91</v>
      </c>
      <c r="G365" s="45" t="s">
        <v>6052</v>
      </c>
      <c r="I365" s="46">
        <v>145.69999999999999</v>
      </c>
      <c r="J365" s="47">
        <v>45810</v>
      </c>
    </row>
    <row r="366" spans="1:10">
      <c r="A366" s="36" t="s">
        <v>2650</v>
      </c>
      <c r="B366" s="35">
        <v>7629</v>
      </c>
      <c r="E366" s="45" t="s">
        <v>6051</v>
      </c>
      <c r="F366" s="46">
        <v>159.91</v>
      </c>
      <c r="G366" s="45" t="s">
        <v>6052</v>
      </c>
      <c r="I366" s="46">
        <v>145.69999999999999</v>
      </c>
      <c r="J366" s="47">
        <v>45810</v>
      </c>
    </row>
    <row r="367" spans="1:10">
      <c r="A367" s="36" t="s">
        <v>2651</v>
      </c>
      <c r="B367" s="35">
        <v>7629</v>
      </c>
      <c r="E367" s="45" t="s">
        <v>6051</v>
      </c>
      <c r="F367" s="46">
        <v>159.91</v>
      </c>
      <c r="G367" s="45" t="s">
        <v>6052</v>
      </c>
      <c r="I367" s="46">
        <v>145.69999999999999</v>
      </c>
      <c r="J367" s="47">
        <v>45810</v>
      </c>
    </row>
    <row r="368" spans="1:10">
      <c r="A368" s="36" t="s">
        <v>2687</v>
      </c>
      <c r="B368" s="35">
        <v>7629</v>
      </c>
      <c r="E368" s="45" t="s">
        <v>6051</v>
      </c>
      <c r="F368" s="46">
        <v>370.86</v>
      </c>
      <c r="G368" s="45" t="s">
        <v>6052</v>
      </c>
      <c r="I368" s="46">
        <v>337.90999999999997</v>
      </c>
      <c r="J368" s="47">
        <v>45810</v>
      </c>
    </row>
    <row r="369" spans="1:10">
      <c r="A369" s="36" t="s">
        <v>2392</v>
      </c>
      <c r="B369" s="35">
        <v>7629</v>
      </c>
      <c r="E369" s="45" t="s">
        <v>6051</v>
      </c>
      <c r="F369" s="46">
        <v>177.37</v>
      </c>
      <c r="G369" s="45" t="s">
        <v>6052</v>
      </c>
      <c r="I369" s="46">
        <v>161.60999999999999</v>
      </c>
      <c r="J369" s="47">
        <v>45810</v>
      </c>
    </row>
    <row r="370" spans="1:10">
      <c r="A370" s="36" t="s">
        <v>2393</v>
      </c>
      <c r="B370" s="35">
        <v>7629</v>
      </c>
      <c r="E370" s="45" t="s">
        <v>6051</v>
      </c>
      <c r="F370" s="46">
        <v>177.37</v>
      </c>
      <c r="G370" s="45" t="s">
        <v>6052</v>
      </c>
      <c r="I370" s="46">
        <v>161.60999999999999</v>
      </c>
      <c r="J370" s="47">
        <v>45810</v>
      </c>
    </row>
    <row r="371" spans="1:10">
      <c r="A371" s="36" t="s">
        <v>2394</v>
      </c>
      <c r="B371" s="35">
        <v>7629</v>
      </c>
      <c r="E371" s="45" t="s">
        <v>6051</v>
      </c>
      <c r="F371" s="46">
        <v>177.37</v>
      </c>
      <c r="G371" s="45" t="s">
        <v>6052</v>
      </c>
      <c r="I371" s="46">
        <v>161.60999999999999</v>
      </c>
      <c r="J371" s="47">
        <v>45810</v>
      </c>
    </row>
    <row r="372" spans="1:10">
      <c r="A372" s="36" t="s">
        <v>2395</v>
      </c>
      <c r="B372" s="35">
        <v>7629</v>
      </c>
      <c r="E372" s="45" t="s">
        <v>6051</v>
      </c>
      <c r="F372" s="46">
        <v>177.37</v>
      </c>
      <c r="G372" s="45" t="s">
        <v>6052</v>
      </c>
      <c r="I372" s="46">
        <v>161.60999999999999</v>
      </c>
      <c r="J372" s="47">
        <v>45810</v>
      </c>
    </row>
    <row r="373" spans="1:10">
      <c r="A373" s="36" t="s">
        <v>2701</v>
      </c>
      <c r="B373" s="35">
        <v>7629</v>
      </c>
      <c r="E373" s="45" t="s">
        <v>6051</v>
      </c>
      <c r="F373" s="46">
        <v>95.15</v>
      </c>
      <c r="G373" s="45" t="s">
        <v>6052</v>
      </c>
      <c r="I373" s="46">
        <v>86.690000000000012</v>
      </c>
      <c r="J373" s="47">
        <v>45810</v>
      </c>
    </row>
    <row r="374" spans="1:10">
      <c r="A374" s="36" t="s">
        <v>2702</v>
      </c>
      <c r="B374" s="35">
        <v>7629</v>
      </c>
      <c r="E374" s="45" t="s">
        <v>6051</v>
      </c>
      <c r="F374" s="46">
        <v>79.290000000000006</v>
      </c>
      <c r="G374" s="45" t="s">
        <v>6052</v>
      </c>
      <c r="I374" s="46">
        <v>72.240000000000009</v>
      </c>
      <c r="J374" s="47">
        <v>45810</v>
      </c>
    </row>
    <row r="375" spans="1:10">
      <c r="A375" s="36" t="s">
        <v>2704</v>
      </c>
      <c r="B375" s="35">
        <v>7629</v>
      </c>
      <c r="E375" s="45" t="s">
        <v>6051</v>
      </c>
      <c r="F375" s="46">
        <v>79.290000000000006</v>
      </c>
      <c r="G375" s="45" t="s">
        <v>6052</v>
      </c>
      <c r="I375" s="46">
        <v>72.240000000000009</v>
      </c>
      <c r="J375" s="47">
        <v>45810</v>
      </c>
    </row>
    <row r="376" spans="1:10">
      <c r="A376" s="36" t="s">
        <v>2705</v>
      </c>
      <c r="B376" s="35">
        <v>7629</v>
      </c>
      <c r="E376" s="45" t="s">
        <v>6051</v>
      </c>
      <c r="F376" s="46">
        <v>79.290000000000006</v>
      </c>
      <c r="G376" s="45" t="s">
        <v>6052</v>
      </c>
      <c r="I376" s="46">
        <v>72.240000000000009</v>
      </c>
      <c r="J376" s="47">
        <v>45810</v>
      </c>
    </row>
    <row r="377" spans="1:10">
      <c r="A377" s="36" t="s">
        <v>2708</v>
      </c>
      <c r="B377" s="35">
        <v>7629</v>
      </c>
      <c r="E377" s="45" t="s">
        <v>6051</v>
      </c>
      <c r="F377" s="46">
        <v>119.60000000000001</v>
      </c>
      <c r="G377" s="45" t="s">
        <v>6052</v>
      </c>
      <c r="I377" s="46">
        <v>108.97</v>
      </c>
      <c r="J377" s="47">
        <v>45810</v>
      </c>
    </row>
    <row r="378" spans="1:10">
      <c r="A378" s="36" t="s">
        <v>2709</v>
      </c>
      <c r="B378" s="35">
        <v>7629</v>
      </c>
      <c r="E378" s="45" t="s">
        <v>6051</v>
      </c>
      <c r="F378" s="46">
        <v>119.60000000000001</v>
      </c>
      <c r="G378" s="45" t="s">
        <v>6052</v>
      </c>
      <c r="I378" s="46">
        <v>108.97</v>
      </c>
      <c r="J378" s="47">
        <v>45810</v>
      </c>
    </row>
    <row r="379" spans="1:10">
      <c r="A379" s="36" t="s">
        <v>2710</v>
      </c>
      <c r="B379" s="35">
        <v>7629</v>
      </c>
      <c r="E379" s="45" t="s">
        <v>6051</v>
      </c>
      <c r="F379" s="46">
        <v>143.51</v>
      </c>
      <c r="G379" s="45" t="s">
        <v>6052</v>
      </c>
      <c r="I379" s="46">
        <v>130.76</v>
      </c>
      <c r="J379" s="47">
        <v>45810</v>
      </c>
    </row>
    <row r="380" spans="1:10">
      <c r="A380" s="36" t="s">
        <v>2603</v>
      </c>
      <c r="B380" s="35">
        <v>7629</v>
      </c>
      <c r="E380" s="45" t="s">
        <v>6051</v>
      </c>
      <c r="F380" s="46">
        <v>106.16000000000001</v>
      </c>
      <c r="G380" s="45" t="s">
        <v>6052</v>
      </c>
      <c r="I380" s="46">
        <v>96.72</v>
      </c>
      <c r="J380" s="47">
        <v>45810</v>
      </c>
    </row>
    <row r="381" spans="1:10">
      <c r="A381" s="36" t="s">
        <v>2604</v>
      </c>
      <c r="B381" s="35">
        <v>7629</v>
      </c>
      <c r="E381" s="45" t="s">
        <v>6051</v>
      </c>
      <c r="F381" s="46">
        <v>106.16000000000001</v>
      </c>
      <c r="G381" s="45" t="s">
        <v>6052</v>
      </c>
      <c r="I381" s="46">
        <v>96.72</v>
      </c>
      <c r="J381" s="47">
        <v>45810</v>
      </c>
    </row>
    <row r="382" spans="1:10">
      <c r="A382" s="36" t="s">
        <v>2605</v>
      </c>
      <c r="B382" s="35">
        <v>7629</v>
      </c>
      <c r="E382" s="45" t="s">
        <v>6051</v>
      </c>
      <c r="F382" s="46">
        <v>127.39</v>
      </c>
      <c r="G382" s="45" t="s">
        <v>6052</v>
      </c>
      <c r="I382" s="46">
        <v>116.07000000000001</v>
      </c>
      <c r="J382" s="47">
        <v>45810</v>
      </c>
    </row>
    <row r="383" spans="1:10">
      <c r="A383" s="36" t="s">
        <v>2606</v>
      </c>
      <c r="B383" s="35">
        <v>7629</v>
      </c>
      <c r="E383" s="45" t="s">
        <v>6051</v>
      </c>
      <c r="F383" s="46">
        <v>106.16000000000001</v>
      </c>
      <c r="G383" s="45" t="s">
        <v>6052</v>
      </c>
      <c r="I383" s="46">
        <v>96.72</v>
      </c>
      <c r="J383" s="47">
        <v>45810</v>
      </c>
    </row>
    <row r="384" spans="1:10">
      <c r="A384" s="36" t="s">
        <v>2608</v>
      </c>
      <c r="B384" s="35">
        <v>7629</v>
      </c>
      <c r="E384" s="45" t="s">
        <v>6051</v>
      </c>
      <c r="F384" s="46">
        <v>230.57999999999998</v>
      </c>
      <c r="G384" s="45" t="s">
        <v>6052</v>
      </c>
      <c r="I384" s="46">
        <v>210.09</v>
      </c>
      <c r="J384" s="47">
        <v>45810</v>
      </c>
    </row>
    <row r="385" spans="1:10">
      <c r="A385" s="36" t="s">
        <v>2609</v>
      </c>
      <c r="B385" s="35">
        <v>7629</v>
      </c>
      <c r="E385" s="45" t="s">
        <v>6051</v>
      </c>
      <c r="F385" s="46">
        <v>230.57999999999998</v>
      </c>
      <c r="G385" s="45" t="s">
        <v>6052</v>
      </c>
      <c r="I385" s="46">
        <v>210.09</v>
      </c>
      <c r="J385" s="47">
        <v>45810</v>
      </c>
    </row>
    <row r="386" spans="1:10">
      <c r="A386" s="36" t="s">
        <v>2610</v>
      </c>
      <c r="B386" s="35">
        <v>7629</v>
      </c>
      <c r="E386" s="45" t="s">
        <v>6051</v>
      </c>
      <c r="F386" s="46">
        <v>192.16</v>
      </c>
      <c r="G386" s="45" t="s">
        <v>6052</v>
      </c>
      <c r="I386" s="46">
        <v>175.07999999999998</v>
      </c>
      <c r="J386" s="47">
        <v>45810</v>
      </c>
    </row>
    <row r="387" spans="1:10">
      <c r="A387" s="36" t="s">
        <v>2611</v>
      </c>
      <c r="B387" s="35">
        <v>7629</v>
      </c>
      <c r="E387" s="45" t="s">
        <v>6051</v>
      </c>
      <c r="F387" s="46">
        <v>192.16</v>
      </c>
      <c r="G387" s="45" t="s">
        <v>6052</v>
      </c>
      <c r="I387" s="46">
        <v>175.07999999999998</v>
      </c>
      <c r="J387" s="47">
        <v>45810</v>
      </c>
    </row>
    <row r="388" spans="1:10">
      <c r="A388" s="36" t="s">
        <v>2612</v>
      </c>
      <c r="B388" s="35">
        <v>7629</v>
      </c>
      <c r="E388" s="45" t="s">
        <v>6051</v>
      </c>
      <c r="F388" s="46">
        <v>230.57999999999998</v>
      </c>
      <c r="G388" s="45" t="s">
        <v>6052</v>
      </c>
      <c r="I388" s="46">
        <v>210.09</v>
      </c>
      <c r="J388" s="47">
        <v>45810</v>
      </c>
    </row>
    <row r="389" spans="1:10">
      <c r="A389" s="36" t="s">
        <v>2613</v>
      </c>
      <c r="B389" s="35">
        <v>7629</v>
      </c>
      <c r="E389" s="45" t="s">
        <v>6051</v>
      </c>
      <c r="F389" s="46">
        <v>192.16</v>
      </c>
      <c r="G389" s="45" t="s">
        <v>6052</v>
      </c>
      <c r="I389" s="46">
        <v>175.07999999999998</v>
      </c>
      <c r="J389" s="47">
        <v>45810</v>
      </c>
    </row>
    <row r="390" spans="1:10">
      <c r="A390" s="36" t="s">
        <v>2398</v>
      </c>
      <c r="B390" s="35">
        <v>7629</v>
      </c>
      <c r="E390" s="45" t="s">
        <v>6051</v>
      </c>
      <c r="F390" s="46">
        <v>214.98999999999998</v>
      </c>
      <c r="G390" s="45" t="s">
        <v>6052</v>
      </c>
      <c r="I390" s="46">
        <v>195.89</v>
      </c>
      <c r="J390" s="47">
        <v>45810</v>
      </c>
    </row>
    <row r="391" spans="1:10">
      <c r="A391" s="36" t="s">
        <v>2399</v>
      </c>
      <c r="B391" s="35">
        <v>7629</v>
      </c>
      <c r="E391" s="45" t="s">
        <v>6051</v>
      </c>
      <c r="F391" s="46">
        <v>214.98999999999998</v>
      </c>
      <c r="G391" s="45" t="s">
        <v>6052</v>
      </c>
      <c r="I391" s="46">
        <v>195.89</v>
      </c>
      <c r="J391" s="47">
        <v>45810</v>
      </c>
    </row>
    <row r="392" spans="1:10">
      <c r="A392" s="36" t="s">
        <v>2962</v>
      </c>
      <c r="B392" s="35">
        <v>7629</v>
      </c>
      <c r="E392" s="45" t="s">
        <v>6051</v>
      </c>
      <c r="F392" s="46">
        <v>214.98999999999998</v>
      </c>
      <c r="G392" s="45" t="s">
        <v>6052</v>
      </c>
      <c r="I392" s="46">
        <v>195.89</v>
      </c>
      <c r="J392" s="47">
        <v>45810</v>
      </c>
    </row>
    <row r="393" spans="1:10">
      <c r="A393" s="36" t="s">
        <v>2400</v>
      </c>
      <c r="B393" s="35">
        <v>7629</v>
      </c>
      <c r="E393" s="45" t="s">
        <v>6051</v>
      </c>
      <c r="F393" s="46">
        <v>214.98999999999998</v>
      </c>
      <c r="G393" s="45" t="s">
        <v>6052</v>
      </c>
      <c r="I393" s="46">
        <v>195.89</v>
      </c>
      <c r="J393" s="47">
        <v>45810</v>
      </c>
    </row>
    <row r="394" spans="1:10">
      <c r="A394" s="36" t="s">
        <v>2401</v>
      </c>
      <c r="B394" s="35">
        <v>7629</v>
      </c>
      <c r="E394" s="45" t="s">
        <v>6051</v>
      </c>
      <c r="F394" s="46">
        <v>214.98999999999998</v>
      </c>
      <c r="G394" s="45" t="s">
        <v>6052</v>
      </c>
      <c r="I394" s="46">
        <v>195.89</v>
      </c>
      <c r="J394" s="47">
        <v>45810</v>
      </c>
    </row>
    <row r="395" spans="1:10">
      <c r="A395" s="36" t="s">
        <v>1990</v>
      </c>
      <c r="B395" s="35">
        <v>7629</v>
      </c>
      <c r="E395" s="45" t="s">
        <v>6051</v>
      </c>
      <c r="F395" s="46">
        <v>442.08</v>
      </c>
      <c r="G395" s="45" t="s">
        <v>6052</v>
      </c>
      <c r="I395" s="46">
        <v>402.8</v>
      </c>
      <c r="J395" s="47">
        <v>45810</v>
      </c>
    </row>
    <row r="396" spans="1:10">
      <c r="A396" s="36" t="s">
        <v>2589</v>
      </c>
      <c r="B396" s="35">
        <v>7629</v>
      </c>
      <c r="E396" s="45" t="s">
        <v>6051</v>
      </c>
      <c r="F396" s="46">
        <v>248.59</v>
      </c>
      <c r="G396" s="45" t="s">
        <v>6052</v>
      </c>
      <c r="I396" s="46">
        <v>226.5</v>
      </c>
      <c r="J396" s="47">
        <v>45810</v>
      </c>
    </row>
    <row r="397" spans="1:10">
      <c r="A397" s="36" t="s">
        <v>2016</v>
      </c>
      <c r="B397" s="35">
        <v>7629</v>
      </c>
      <c r="E397" s="45" t="s">
        <v>6051</v>
      </c>
      <c r="F397" s="46">
        <v>318.45999999999998</v>
      </c>
      <c r="G397" s="45" t="s">
        <v>6052</v>
      </c>
      <c r="I397" s="46">
        <v>290.15999999999997</v>
      </c>
      <c r="J397" s="47">
        <v>45810</v>
      </c>
    </row>
    <row r="398" spans="1:10">
      <c r="A398" s="36" t="s">
        <v>2498</v>
      </c>
      <c r="B398" s="35">
        <v>7629</v>
      </c>
      <c r="E398" s="45" t="s">
        <v>6051</v>
      </c>
      <c r="F398" s="46">
        <v>153.19</v>
      </c>
      <c r="G398" s="45" t="s">
        <v>6052</v>
      </c>
      <c r="I398" s="46">
        <v>139.57999999999998</v>
      </c>
      <c r="J398" s="47">
        <v>45810</v>
      </c>
    </row>
    <row r="399" spans="1:10">
      <c r="A399" s="36" t="s">
        <v>2540</v>
      </c>
      <c r="B399" s="35">
        <v>7629</v>
      </c>
      <c r="E399" s="45" t="s">
        <v>6051</v>
      </c>
      <c r="F399" s="46">
        <v>120.94000000000001</v>
      </c>
      <c r="G399" s="45" t="s">
        <v>6052</v>
      </c>
      <c r="I399" s="46">
        <v>110.19000000000001</v>
      </c>
      <c r="J399" s="47">
        <v>45810</v>
      </c>
    </row>
    <row r="400" spans="1:10">
      <c r="A400" s="36" t="s">
        <v>2374</v>
      </c>
      <c r="B400" s="35">
        <v>7629</v>
      </c>
      <c r="E400" s="45" t="s">
        <v>6051</v>
      </c>
      <c r="F400" s="46">
        <v>127.66000000000001</v>
      </c>
      <c r="G400" s="45" t="s">
        <v>6052</v>
      </c>
      <c r="I400" s="46">
        <v>116.31</v>
      </c>
      <c r="J400" s="47">
        <v>45810</v>
      </c>
    </row>
    <row r="401" spans="1:10">
      <c r="A401" s="36" t="s">
        <v>2381</v>
      </c>
      <c r="B401" s="35">
        <v>7629</v>
      </c>
      <c r="E401" s="45" t="s">
        <v>6051</v>
      </c>
      <c r="F401" s="46">
        <v>98.100000000000009</v>
      </c>
      <c r="G401" s="45" t="s">
        <v>6052</v>
      </c>
      <c r="I401" s="46">
        <v>89.38000000000001</v>
      </c>
      <c r="J401" s="47">
        <v>45810</v>
      </c>
    </row>
    <row r="402" spans="1:10">
      <c r="A402" s="36" t="s">
        <v>2541</v>
      </c>
      <c r="B402" s="35">
        <v>7629</v>
      </c>
      <c r="E402" s="45" t="s">
        <v>6051</v>
      </c>
      <c r="F402" s="46">
        <v>120.94000000000001</v>
      </c>
      <c r="G402" s="45" t="s">
        <v>6052</v>
      </c>
      <c r="I402" s="46">
        <v>110.19000000000001</v>
      </c>
      <c r="J402" s="47">
        <v>45810</v>
      </c>
    </row>
    <row r="403" spans="1:10">
      <c r="A403" s="36" t="s">
        <v>2542</v>
      </c>
      <c r="B403" s="35">
        <v>7629</v>
      </c>
      <c r="E403" s="45" t="s">
        <v>6051</v>
      </c>
      <c r="F403" s="46">
        <v>120.94000000000001</v>
      </c>
      <c r="G403" s="45" t="s">
        <v>6052</v>
      </c>
      <c r="I403" s="46">
        <v>110.19000000000001</v>
      </c>
      <c r="J403" s="47">
        <v>45810</v>
      </c>
    </row>
    <row r="404" spans="1:10">
      <c r="A404" s="36" t="s">
        <v>2544</v>
      </c>
      <c r="B404" s="35">
        <v>7629</v>
      </c>
      <c r="E404" s="45" t="s">
        <v>6051</v>
      </c>
      <c r="F404" s="46">
        <v>145.13</v>
      </c>
      <c r="G404" s="45" t="s">
        <v>6052</v>
      </c>
      <c r="I404" s="46">
        <v>132.22999999999999</v>
      </c>
      <c r="J404" s="47">
        <v>45810</v>
      </c>
    </row>
    <row r="405" spans="1:10">
      <c r="A405" s="36" t="s">
        <v>2654</v>
      </c>
      <c r="B405" s="35">
        <v>7629</v>
      </c>
      <c r="E405" s="45" t="s">
        <v>6051</v>
      </c>
      <c r="F405" s="46">
        <v>159.91</v>
      </c>
      <c r="G405" s="45" t="s">
        <v>6052</v>
      </c>
      <c r="I405" s="46">
        <v>145.69999999999999</v>
      </c>
      <c r="J405" s="47">
        <v>45810</v>
      </c>
    </row>
    <row r="406" spans="1:10">
      <c r="A406" s="36" t="s">
        <v>2396</v>
      </c>
      <c r="B406" s="35">
        <v>7629</v>
      </c>
      <c r="E406" s="45" t="s">
        <v>6051</v>
      </c>
      <c r="F406" s="46">
        <v>177.37</v>
      </c>
      <c r="G406" s="45" t="s">
        <v>6052</v>
      </c>
      <c r="I406" s="46">
        <v>161.60999999999999</v>
      </c>
      <c r="J406" s="47">
        <v>45810</v>
      </c>
    </row>
    <row r="407" spans="1:10">
      <c r="A407" s="36" t="s">
        <v>2397</v>
      </c>
      <c r="B407" s="35">
        <v>7629</v>
      </c>
      <c r="E407" s="45" t="s">
        <v>6051</v>
      </c>
      <c r="F407" s="46">
        <v>177.37</v>
      </c>
      <c r="G407" s="45" t="s">
        <v>6052</v>
      </c>
      <c r="I407" s="46">
        <v>161.60999999999999</v>
      </c>
      <c r="J407" s="47">
        <v>45810</v>
      </c>
    </row>
    <row r="408" spans="1:10">
      <c r="A408" s="36" t="s">
        <v>2402</v>
      </c>
      <c r="B408" s="35">
        <v>7629</v>
      </c>
      <c r="E408" s="45" t="s">
        <v>6051</v>
      </c>
      <c r="F408" s="46">
        <v>214.98999999999998</v>
      </c>
      <c r="G408" s="45" t="s">
        <v>6052</v>
      </c>
      <c r="I408" s="46">
        <v>195.89</v>
      </c>
      <c r="J408" s="47">
        <v>45810</v>
      </c>
    </row>
    <row r="409" spans="1:10">
      <c r="A409" s="36" t="s">
        <v>2403</v>
      </c>
      <c r="B409" s="35">
        <v>7629</v>
      </c>
      <c r="E409" s="45" t="s">
        <v>6051</v>
      </c>
      <c r="F409" s="46">
        <v>214.98999999999998</v>
      </c>
      <c r="G409" s="45" t="s">
        <v>6052</v>
      </c>
      <c r="I409" s="46">
        <v>195.89</v>
      </c>
      <c r="J409" s="47">
        <v>45810</v>
      </c>
    </row>
    <row r="410" spans="1:10">
      <c r="A410" s="36" t="s">
        <v>2714</v>
      </c>
      <c r="B410" s="35">
        <v>7629</v>
      </c>
      <c r="E410" s="45" t="s">
        <v>6051</v>
      </c>
      <c r="F410" s="46">
        <v>119.60000000000001</v>
      </c>
      <c r="G410" s="45" t="s">
        <v>6052</v>
      </c>
      <c r="I410" s="46">
        <v>108.97</v>
      </c>
      <c r="J410" s="47">
        <v>45810</v>
      </c>
    </row>
    <row r="411" spans="1:10">
      <c r="A411" s="36" t="s">
        <v>2728</v>
      </c>
      <c r="B411" s="35">
        <v>7629</v>
      </c>
      <c r="E411" s="45" t="s">
        <v>6051</v>
      </c>
      <c r="F411" s="46">
        <v>141.1</v>
      </c>
      <c r="G411" s="45" t="s">
        <v>6052</v>
      </c>
      <c r="I411" s="46">
        <v>128.56</v>
      </c>
      <c r="J411" s="47">
        <v>45810</v>
      </c>
    </row>
    <row r="412" spans="1:10">
      <c r="A412" s="36" t="s">
        <v>2729</v>
      </c>
      <c r="B412" s="35">
        <v>7629</v>
      </c>
      <c r="E412" s="45" t="s">
        <v>6051</v>
      </c>
      <c r="F412" s="46">
        <v>141.1</v>
      </c>
      <c r="G412" s="45" t="s">
        <v>6052</v>
      </c>
      <c r="I412" s="46">
        <v>128.56</v>
      </c>
      <c r="J412" s="47">
        <v>45810</v>
      </c>
    </row>
    <row r="413" spans="1:10">
      <c r="A413" s="36" t="s">
        <v>2964</v>
      </c>
      <c r="B413" s="35">
        <v>7629</v>
      </c>
      <c r="E413" s="45" t="s">
        <v>6051</v>
      </c>
      <c r="F413" s="46">
        <v>141.1</v>
      </c>
      <c r="G413" s="45" t="s">
        <v>6052</v>
      </c>
      <c r="I413" s="46">
        <v>128.56</v>
      </c>
      <c r="J413" s="47">
        <v>45810</v>
      </c>
    </row>
    <row r="414" spans="1:10">
      <c r="A414" s="36" t="s">
        <v>2730</v>
      </c>
      <c r="B414" s="35">
        <v>7629</v>
      </c>
      <c r="E414" s="45" t="s">
        <v>6051</v>
      </c>
      <c r="F414" s="46">
        <v>169.32</v>
      </c>
      <c r="G414" s="45" t="s">
        <v>6052</v>
      </c>
      <c r="I414" s="46">
        <v>154.26999999999998</v>
      </c>
      <c r="J414" s="47">
        <v>45810</v>
      </c>
    </row>
    <row r="415" spans="1:10">
      <c r="A415" s="36" t="s">
        <v>2350</v>
      </c>
      <c r="B415" s="35">
        <v>7629</v>
      </c>
      <c r="E415" s="45" t="s">
        <v>6051</v>
      </c>
      <c r="F415" s="46">
        <v>206.94</v>
      </c>
      <c r="G415" s="45" t="s">
        <v>6052</v>
      </c>
      <c r="I415" s="46">
        <v>188.54999999999998</v>
      </c>
      <c r="J415" s="47">
        <v>45810</v>
      </c>
    </row>
    <row r="416" spans="1:10">
      <c r="A416" s="36" t="s">
        <v>2545</v>
      </c>
      <c r="B416" s="35">
        <v>7629</v>
      </c>
      <c r="E416" s="45" t="s">
        <v>6051</v>
      </c>
      <c r="F416" s="46">
        <v>364.14</v>
      </c>
      <c r="G416" s="45" t="s">
        <v>6052</v>
      </c>
      <c r="I416" s="46">
        <v>331.78999999999996</v>
      </c>
      <c r="J416" s="47">
        <v>45810</v>
      </c>
    </row>
    <row r="417" spans="1:10">
      <c r="A417" s="36" t="s">
        <v>2546</v>
      </c>
      <c r="B417" s="35">
        <v>7629</v>
      </c>
      <c r="E417" s="45" t="s">
        <v>6051</v>
      </c>
      <c r="F417" s="46">
        <v>364.14</v>
      </c>
      <c r="G417" s="45" t="s">
        <v>6052</v>
      </c>
      <c r="I417" s="46">
        <v>331.78999999999996</v>
      </c>
      <c r="J417" s="47">
        <v>45810</v>
      </c>
    </row>
    <row r="418" spans="1:10">
      <c r="A418" s="36" t="s">
        <v>2547</v>
      </c>
      <c r="B418" s="35">
        <v>7629</v>
      </c>
      <c r="E418" s="45" t="s">
        <v>6051</v>
      </c>
      <c r="F418" s="46">
        <v>364.14</v>
      </c>
      <c r="G418" s="45" t="s">
        <v>6052</v>
      </c>
      <c r="I418" s="46">
        <v>331.78999999999996</v>
      </c>
      <c r="J418" s="47">
        <v>45810</v>
      </c>
    </row>
    <row r="419" spans="1:10">
      <c r="A419" s="36" t="s">
        <v>2548</v>
      </c>
      <c r="B419" s="35">
        <v>7629</v>
      </c>
      <c r="E419" s="45" t="s">
        <v>6051</v>
      </c>
      <c r="F419" s="46">
        <v>364.14</v>
      </c>
      <c r="G419" s="45" t="s">
        <v>6052</v>
      </c>
      <c r="I419" s="46">
        <v>331.78999999999996</v>
      </c>
      <c r="J419" s="47">
        <v>45810</v>
      </c>
    </row>
    <row r="420" spans="1:10">
      <c r="A420" s="36" t="s">
        <v>2549</v>
      </c>
      <c r="B420" s="35">
        <v>7629</v>
      </c>
      <c r="E420" s="45" t="s">
        <v>6051</v>
      </c>
      <c r="F420" s="46">
        <v>421.93</v>
      </c>
      <c r="G420" s="45" t="s">
        <v>6052</v>
      </c>
      <c r="I420" s="46">
        <v>384.44</v>
      </c>
      <c r="J420" s="47">
        <v>45810</v>
      </c>
    </row>
    <row r="421" spans="1:10">
      <c r="A421" s="36" t="s">
        <v>2550</v>
      </c>
      <c r="B421" s="35">
        <v>7629</v>
      </c>
      <c r="E421" s="45" t="s">
        <v>6051</v>
      </c>
      <c r="F421" s="46">
        <v>421.93</v>
      </c>
      <c r="G421" s="45" t="s">
        <v>6052</v>
      </c>
      <c r="I421" s="46">
        <v>384.44</v>
      </c>
      <c r="J421" s="47">
        <v>45810</v>
      </c>
    </row>
    <row r="422" spans="1:10">
      <c r="A422" s="36" t="s">
        <v>2551</v>
      </c>
      <c r="B422" s="35">
        <v>7629</v>
      </c>
      <c r="E422" s="45" t="s">
        <v>6051</v>
      </c>
      <c r="F422" s="46">
        <v>421.93</v>
      </c>
      <c r="G422" s="45" t="s">
        <v>6052</v>
      </c>
      <c r="I422" s="46">
        <v>384.44</v>
      </c>
      <c r="J422" s="47">
        <v>45810</v>
      </c>
    </row>
    <row r="423" spans="1:10">
      <c r="A423" s="36" t="s">
        <v>2552</v>
      </c>
      <c r="B423" s="35">
        <v>7629</v>
      </c>
      <c r="E423" s="45" t="s">
        <v>6051</v>
      </c>
      <c r="F423" s="46">
        <v>421.93</v>
      </c>
      <c r="G423" s="45" t="s">
        <v>6052</v>
      </c>
      <c r="I423" s="46">
        <v>384.44</v>
      </c>
      <c r="J423" s="47">
        <v>45810</v>
      </c>
    </row>
    <row r="424" spans="1:10">
      <c r="A424" s="36" t="s">
        <v>2417</v>
      </c>
      <c r="B424" s="35">
        <v>7629</v>
      </c>
      <c r="E424" s="45" t="s">
        <v>6051</v>
      </c>
      <c r="F424" s="46">
        <v>146.47</v>
      </c>
      <c r="G424" s="45" t="s">
        <v>6052</v>
      </c>
      <c r="I424" s="46">
        <v>133.44999999999999</v>
      </c>
      <c r="J424" s="47">
        <v>45810</v>
      </c>
    </row>
    <row r="425" spans="1:10">
      <c r="A425" s="36" t="s">
        <v>2418</v>
      </c>
      <c r="B425" s="35">
        <v>7629</v>
      </c>
      <c r="E425" s="45" t="s">
        <v>6051</v>
      </c>
      <c r="F425" s="46">
        <v>146.47</v>
      </c>
      <c r="G425" s="45" t="s">
        <v>6052</v>
      </c>
      <c r="I425" s="46">
        <v>133.44999999999999</v>
      </c>
      <c r="J425" s="47">
        <v>45810</v>
      </c>
    </row>
    <row r="426" spans="1:10">
      <c r="A426" s="36" t="s">
        <v>2534</v>
      </c>
      <c r="B426" s="35">
        <v>7629</v>
      </c>
      <c r="E426" s="45" t="s">
        <v>6051</v>
      </c>
      <c r="F426" s="46">
        <v>538.81999999999994</v>
      </c>
      <c r="G426" s="45" t="s">
        <v>6052</v>
      </c>
      <c r="I426" s="46">
        <v>490.95</v>
      </c>
      <c r="J426" s="47">
        <v>45810</v>
      </c>
    </row>
    <row r="427" spans="1:10">
      <c r="A427" s="36" t="s">
        <v>2535</v>
      </c>
      <c r="B427" s="35">
        <v>7629</v>
      </c>
      <c r="E427" s="45" t="s">
        <v>6051</v>
      </c>
      <c r="F427" s="46">
        <v>538.81999999999994</v>
      </c>
      <c r="G427" s="45" t="s">
        <v>6052</v>
      </c>
      <c r="I427" s="46">
        <v>490.95</v>
      </c>
      <c r="J427" s="47">
        <v>45810</v>
      </c>
    </row>
    <row r="428" spans="1:10">
      <c r="A428" s="36" t="s">
        <v>2536</v>
      </c>
      <c r="B428" s="35">
        <v>7629</v>
      </c>
      <c r="E428" s="45" t="s">
        <v>6051</v>
      </c>
      <c r="F428" s="46">
        <v>538.81999999999994</v>
      </c>
      <c r="G428" s="45" t="s">
        <v>6052</v>
      </c>
      <c r="I428" s="46">
        <v>490.95</v>
      </c>
      <c r="J428" s="47">
        <v>45810</v>
      </c>
    </row>
    <row r="429" spans="1:10">
      <c r="A429" s="36" t="s">
        <v>2537</v>
      </c>
      <c r="B429" s="35">
        <v>7629</v>
      </c>
      <c r="E429" s="45" t="s">
        <v>6051</v>
      </c>
      <c r="F429" s="46">
        <v>538.81999999999994</v>
      </c>
      <c r="G429" s="45" t="s">
        <v>6052</v>
      </c>
      <c r="I429" s="46">
        <v>490.95</v>
      </c>
      <c r="J429" s="47">
        <v>45810</v>
      </c>
    </row>
    <row r="430" spans="1:10">
      <c r="A430" s="36" t="s">
        <v>2734</v>
      </c>
      <c r="B430" s="35">
        <v>7629</v>
      </c>
      <c r="E430" s="45" t="s">
        <v>6051</v>
      </c>
      <c r="F430" s="46">
        <v>141.1</v>
      </c>
      <c r="G430" s="45" t="s">
        <v>6052</v>
      </c>
      <c r="I430" s="46">
        <v>128.56</v>
      </c>
      <c r="J430" s="47">
        <v>45810</v>
      </c>
    </row>
    <row r="431" spans="1:10">
      <c r="A431" s="36" t="s">
        <v>2405</v>
      </c>
      <c r="B431" s="35">
        <v>7629</v>
      </c>
      <c r="E431" s="45" t="s">
        <v>6051</v>
      </c>
      <c r="F431" s="46">
        <v>232.47</v>
      </c>
      <c r="G431" s="45" t="s">
        <v>6052</v>
      </c>
      <c r="I431" s="46">
        <v>211.81</v>
      </c>
      <c r="J431" s="47">
        <v>45810</v>
      </c>
    </row>
    <row r="432" spans="1:10">
      <c r="A432" s="36" t="s">
        <v>2406</v>
      </c>
      <c r="B432" s="35">
        <v>7629</v>
      </c>
      <c r="E432" s="45" t="s">
        <v>6051</v>
      </c>
      <c r="F432" s="46">
        <v>278.15999999999997</v>
      </c>
      <c r="G432" s="45" t="s">
        <v>6052</v>
      </c>
      <c r="I432" s="46">
        <v>253.44</v>
      </c>
      <c r="J432" s="47">
        <v>45810</v>
      </c>
    </row>
    <row r="433" spans="1:10">
      <c r="A433" s="36" t="s">
        <v>2407</v>
      </c>
      <c r="B433" s="35">
        <v>7629</v>
      </c>
      <c r="E433" s="45" t="s">
        <v>6051</v>
      </c>
      <c r="F433" s="46">
        <v>232.47</v>
      </c>
      <c r="G433" s="45" t="s">
        <v>6052</v>
      </c>
      <c r="I433" s="46">
        <v>211.81</v>
      </c>
      <c r="J433" s="47">
        <v>45810</v>
      </c>
    </row>
    <row r="434" spans="1:10">
      <c r="A434" s="36" t="s">
        <v>2408</v>
      </c>
      <c r="B434" s="35">
        <v>7629</v>
      </c>
      <c r="E434" s="45" t="s">
        <v>6051</v>
      </c>
      <c r="F434" s="46">
        <v>278.15999999999997</v>
      </c>
      <c r="G434" s="45" t="s">
        <v>6052</v>
      </c>
      <c r="I434" s="46">
        <v>253.44</v>
      </c>
      <c r="J434" s="47">
        <v>45810</v>
      </c>
    </row>
    <row r="435" spans="1:10">
      <c r="A435" s="36" t="s">
        <v>2520</v>
      </c>
      <c r="B435" s="35">
        <v>7629</v>
      </c>
      <c r="E435" s="45" t="s">
        <v>6051</v>
      </c>
      <c r="F435" s="46">
        <v>616.76</v>
      </c>
      <c r="G435" s="45" t="s">
        <v>6052</v>
      </c>
      <c r="I435" s="46">
        <v>561.96</v>
      </c>
      <c r="J435" s="47">
        <v>45810</v>
      </c>
    </row>
    <row r="436" spans="1:10">
      <c r="A436" s="36" t="s">
        <v>2521</v>
      </c>
      <c r="B436" s="35">
        <v>7629</v>
      </c>
      <c r="E436" s="45" t="s">
        <v>6051</v>
      </c>
      <c r="F436" s="46">
        <v>616.76</v>
      </c>
      <c r="G436" s="45" t="s">
        <v>6052</v>
      </c>
      <c r="I436" s="46">
        <v>561.96</v>
      </c>
      <c r="J436" s="47">
        <v>45810</v>
      </c>
    </row>
    <row r="437" spans="1:10">
      <c r="A437" s="36" t="s">
        <v>2522</v>
      </c>
      <c r="B437" s="35">
        <v>7629</v>
      </c>
      <c r="E437" s="45" t="s">
        <v>6051</v>
      </c>
      <c r="F437" s="46">
        <v>616.76</v>
      </c>
      <c r="G437" s="45" t="s">
        <v>6052</v>
      </c>
      <c r="I437" s="46">
        <v>561.96</v>
      </c>
      <c r="J437" s="47">
        <v>45810</v>
      </c>
    </row>
    <row r="438" spans="1:10">
      <c r="A438" s="36" t="s">
        <v>2523</v>
      </c>
      <c r="B438" s="35">
        <v>7629</v>
      </c>
      <c r="E438" s="45" t="s">
        <v>6051</v>
      </c>
      <c r="F438" s="46">
        <v>616.76</v>
      </c>
      <c r="G438" s="45" t="s">
        <v>6052</v>
      </c>
      <c r="I438" s="46">
        <v>561.96</v>
      </c>
      <c r="J438" s="47">
        <v>45810</v>
      </c>
    </row>
    <row r="439" spans="1:10">
      <c r="A439" s="36" t="s">
        <v>2527</v>
      </c>
      <c r="B439" s="35">
        <v>7629</v>
      </c>
      <c r="E439" s="45" t="s">
        <v>6051</v>
      </c>
      <c r="F439" s="46">
        <v>576.43999999999994</v>
      </c>
      <c r="G439" s="45" t="s">
        <v>6052</v>
      </c>
      <c r="I439" s="46">
        <v>525.23</v>
      </c>
      <c r="J439" s="47">
        <v>45810</v>
      </c>
    </row>
    <row r="440" spans="1:10">
      <c r="A440" s="36" t="s">
        <v>2533</v>
      </c>
      <c r="B440" s="35">
        <v>7629</v>
      </c>
      <c r="E440" s="45" t="s">
        <v>6051</v>
      </c>
      <c r="F440" s="46">
        <v>576.43999999999994</v>
      </c>
      <c r="G440" s="45" t="s">
        <v>6052</v>
      </c>
      <c r="I440" s="46">
        <v>525.23</v>
      </c>
      <c r="J440" s="47">
        <v>45810</v>
      </c>
    </row>
    <row r="441" spans="1:10">
      <c r="A441" s="36" t="s">
        <v>2382</v>
      </c>
      <c r="B441" s="35">
        <v>7629</v>
      </c>
      <c r="E441" s="45" t="s">
        <v>6051</v>
      </c>
      <c r="F441" s="46">
        <v>117.71000000000001</v>
      </c>
      <c r="G441" s="45" t="s">
        <v>6052</v>
      </c>
      <c r="I441" s="46">
        <v>107.25</v>
      </c>
      <c r="J441" s="47">
        <v>45810</v>
      </c>
    </row>
    <row r="442" spans="1:10">
      <c r="A442" s="36" t="s">
        <v>2632</v>
      </c>
      <c r="B442" s="35">
        <v>7629</v>
      </c>
      <c r="E442" s="45" t="s">
        <v>6051</v>
      </c>
      <c r="F442" s="46">
        <v>224.39999999999998</v>
      </c>
      <c r="G442" s="45" t="s">
        <v>6052</v>
      </c>
      <c r="I442" s="46">
        <v>204.45999999999998</v>
      </c>
      <c r="J442" s="47">
        <v>45810</v>
      </c>
    </row>
    <row r="443" spans="1:10">
      <c r="A443" s="36" t="s">
        <v>2675</v>
      </c>
      <c r="B443" s="35">
        <v>7629</v>
      </c>
      <c r="E443" s="45" t="s">
        <v>6051</v>
      </c>
      <c r="F443" s="46">
        <v>395.05</v>
      </c>
      <c r="G443" s="45" t="s">
        <v>6052</v>
      </c>
      <c r="I443" s="46">
        <v>359.95</v>
      </c>
      <c r="J443" s="47">
        <v>45810</v>
      </c>
    </row>
    <row r="444" spans="1:10">
      <c r="A444" s="36" t="s">
        <v>1634</v>
      </c>
      <c r="B444" s="35">
        <v>7629</v>
      </c>
      <c r="E444" s="45" t="s">
        <v>6051</v>
      </c>
      <c r="F444" s="46">
        <v>167.97</v>
      </c>
      <c r="G444" s="45" t="s">
        <v>6052</v>
      </c>
      <c r="I444" s="46">
        <v>153.04</v>
      </c>
      <c r="J444" s="47">
        <v>45810</v>
      </c>
    </row>
    <row r="445" spans="1:10">
      <c r="A445" s="36" t="s">
        <v>2421</v>
      </c>
      <c r="B445" s="35">
        <v>7629</v>
      </c>
      <c r="E445" s="45" t="s">
        <v>6051</v>
      </c>
      <c r="F445" s="46">
        <v>262.02</v>
      </c>
      <c r="G445" s="45" t="s">
        <v>6052</v>
      </c>
      <c r="I445" s="46">
        <v>238.73999999999998</v>
      </c>
      <c r="J445" s="47">
        <v>45810</v>
      </c>
    </row>
    <row r="446" spans="1:10">
      <c r="A446" s="36" t="s">
        <v>2423</v>
      </c>
      <c r="B446" s="35">
        <v>7629</v>
      </c>
      <c r="E446" s="45" t="s">
        <v>6051</v>
      </c>
      <c r="F446" s="46">
        <v>262.02</v>
      </c>
      <c r="G446" s="45" t="s">
        <v>6052</v>
      </c>
      <c r="I446" s="46">
        <v>238.73999999999998</v>
      </c>
      <c r="J446" s="47">
        <v>45810</v>
      </c>
    </row>
    <row r="447" spans="1:10">
      <c r="A447" s="36" t="s">
        <v>2424</v>
      </c>
      <c r="B447" s="35">
        <v>7629</v>
      </c>
      <c r="E447" s="45" t="s">
        <v>6051</v>
      </c>
      <c r="F447" s="46">
        <v>262.02</v>
      </c>
      <c r="G447" s="45" t="s">
        <v>6052</v>
      </c>
      <c r="I447" s="46">
        <v>238.73999999999998</v>
      </c>
      <c r="J447" s="47">
        <v>45810</v>
      </c>
    </row>
    <row r="448" spans="1:10">
      <c r="A448" s="36" t="s">
        <v>2426</v>
      </c>
      <c r="B448" s="35">
        <v>7629</v>
      </c>
      <c r="E448" s="45" t="s">
        <v>6051</v>
      </c>
      <c r="F448" s="46">
        <v>262.02</v>
      </c>
      <c r="G448" s="45" t="s">
        <v>6052</v>
      </c>
      <c r="I448" s="46">
        <v>238.73999999999998</v>
      </c>
      <c r="J448" s="47">
        <v>45810</v>
      </c>
    </row>
    <row r="449" spans="1:10">
      <c r="A449" s="36" t="s">
        <v>2427</v>
      </c>
      <c r="B449" s="35">
        <v>7629</v>
      </c>
      <c r="E449" s="45" t="s">
        <v>6051</v>
      </c>
      <c r="F449" s="46">
        <v>235.16</v>
      </c>
      <c r="G449" s="45" t="s">
        <v>6052</v>
      </c>
      <c r="I449" s="46">
        <v>214.26</v>
      </c>
      <c r="J449" s="47">
        <v>45810</v>
      </c>
    </row>
    <row r="450" spans="1:10">
      <c r="A450" s="36" t="s">
        <v>2428</v>
      </c>
      <c r="B450" s="35">
        <v>7629</v>
      </c>
      <c r="E450" s="45" t="s">
        <v>6051</v>
      </c>
      <c r="F450" s="46">
        <v>235.16</v>
      </c>
      <c r="G450" s="45" t="s">
        <v>6052</v>
      </c>
      <c r="I450" s="46">
        <v>214.26</v>
      </c>
      <c r="J450" s="47">
        <v>45810</v>
      </c>
    </row>
    <row r="451" spans="1:10">
      <c r="A451" s="36" t="s">
        <v>2429</v>
      </c>
      <c r="B451" s="35">
        <v>7629</v>
      </c>
      <c r="E451" s="45" t="s">
        <v>6051</v>
      </c>
      <c r="F451" s="46">
        <v>235.16</v>
      </c>
      <c r="G451" s="45" t="s">
        <v>6052</v>
      </c>
      <c r="I451" s="46">
        <v>214.26</v>
      </c>
      <c r="J451" s="47">
        <v>45810</v>
      </c>
    </row>
    <row r="452" spans="1:10">
      <c r="A452" s="36" t="s">
        <v>2432</v>
      </c>
      <c r="B452" s="35">
        <v>7629</v>
      </c>
      <c r="E452" s="45" t="s">
        <v>6051</v>
      </c>
      <c r="F452" s="46">
        <v>235.16</v>
      </c>
      <c r="G452" s="45" t="s">
        <v>6052</v>
      </c>
      <c r="I452" s="46">
        <v>214.26</v>
      </c>
      <c r="J452" s="47">
        <v>45810</v>
      </c>
    </row>
    <row r="453" spans="1:10">
      <c r="A453" s="36" t="s">
        <v>2433</v>
      </c>
      <c r="B453" s="35">
        <v>7629</v>
      </c>
      <c r="E453" s="45" t="s">
        <v>6051</v>
      </c>
      <c r="F453" s="46">
        <v>151.70999999999998</v>
      </c>
      <c r="G453" s="45" t="s">
        <v>6052</v>
      </c>
      <c r="I453" s="46">
        <v>138.22999999999999</v>
      </c>
      <c r="J453" s="47">
        <v>45810</v>
      </c>
    </row>
    <row r="454" spans="1:10">
      <c r="A454" s="36" t="s">
        <v>2434</v>
      </c>
      <c r="B454" s="35">
        <v>7629</v>
      </c>
      <c r="E454" s="45" t="s">
        <v>6051</v>
      </c>
      <c r="F454" s="46">
        <v>151.70999999999998</v>
      </c>
      <c r="G454" s="45" t="s">
        <v>6052</v>
      </c>
      <c r="I454" s="46">
        <v>138.22999999999999</v>
      </c>
      <c r="J454" s="47">
        <v>45810</v>
      </c>
    </row>
    <row r="455" spans="1:10">
      <c r="A455" s="36" t="s">
        <v>2435</v>
      </c>
      <c r="B455" s="35">
        <v>7629</v>
      </c>
      <c r="E455" s="45" t="s">
        <v>6051</v>
      </c>
      <c r="F455" s="46">
        <v>151.70999999999998</v>
      </c>
      <c r="G455" s="45" t="s">
        <v>6052</v>
      </c>
      <c r="I455" s="46">
        <v>138.22999999999999</v>
      </c>
      <c r="J455" s="47">
        <v>45810</v>
      </c>
    </row>
    <row r="456" spans="1:10">
      <c r="A456" s="36" t="s">
        <v>2441</v>
      </c>
      <c r="B456" s="35">
        <v>7629</v>
      </c>
      <c r="E456" s="45" t="s">
        <v>6051</v>
      </c>
      <c r="F456" s="46">
        <v>157.09</v>
      </c>
      <c r="G456" s="45" t="s">
        <v>6052</v>
      </c>
      <c r="I456" s="46">
        <v>143.13</v>
      </c>
      <c r="J456" s="47">
        <v>45810</v>
      </c>
    </row>
    <row r="457" spans="1:10">
      <c r="A457" s="36" t="s">
        <v>2442</v>
      </c>
      <c r="B457" s="35">
        <v>7629</v>
      </c>
      <c r="E457" s="45" t="s">
        <v>6051</v>
      </c>
      <c r="F457" s="46">
        <v>157.09</v>
      </c>
      <c r="G457" s="45" t="s">
        <v>6052</v>
      </c>
      <c r="I457" s="46">
        <v>143.13</v>
      </c>
      <c r="J457" s="47">
        <v>45810</v>
      </c>
    </row>
    <row r="458" spans="1:10">
      <c r="A458" s="36" t="s">
        <v>2443</v>
      </c>
      <c r="B458" s="35">
        <v>7629</v>
      </c>
      <c r="E458" s="45" t="s">
        <v>6051</v>
      </c>
      <c r="F458" s="46">
        <v>157.09</v>
      </c>
      <c r="G458" s="45" t="s">
        <v>6052</v>
      </c>
      <c r="I458" s="46">
        <v>143.13</v>
      </c>
      <c r="J458" s="47">
        <v>45810</v>
      </c>
    </row>
    <row r="459" spans="1:10">
      <c r="A459" s="36" t="s">
        <v>2736</v>
      </c>
      <c r="B459" s="35">
        <v>7629</v>
      </c>
      <c r="E459" s="45" t="s">
        <v>6051</v>
      </c>
      <c r="F459" s="46">
        <v>343.99</v>
      </c>
      <c r="G459" s="45" t="s">
        <v>6052</v>
      </c>
      <c r="I459" s="46">
        <v>313.43</v>
      </c>
      <c r="J459" s="47">
        <v>45810</v>
      </c>
    </row>
    <row r="460" spans="1:10">
      <c r="A460" s="36" t="s">
        <v>2737</v>
      </c>
      <c r="B460" s="35">
        <v>7629</v>
      </c>
      <c r="E460" s="45" t="s">
        <v>6051</v>
      </c>
      <c r="F460" s="46">
        <v>343.99</v>
      </c>
      <c r="G460" s="45" t="s">
        <v>6052</v>
      </c>
      <c r="I460" s="46">
        <v>313.43</v>
      </c>
      <c r="J460" s="47">
        <v>45810</v>
      </c>
    </row>
    <row r="461" spans="1:10">
      <c r="A461" s="36" t="s">
        <v>2738</v>
      </c>
      <c r="B461" s="35">
        <v>7629</v>
      </c>
      <c r="E461" s="45" t="s">
        <v>6051</v>
      </c>
      <c r="F461" s="46">
        <v>343.99</v>
      </c>
      <c r="G461" s="45" t="s">
        <v>6052</v>
      </c>
      <c r="I461" s="46">
        <v>313.43</v>
      </c>
      <c r="J461" s="47">
        <v>45810</v>
      </c>
    </row>
    <row r="462" spans="1:10">
      <c r="A462" s="36" t="s">
        <v>2744</v>
      </c>
      <c r="B462" s="35">
        <v>7629</v>
      </c>
      <c r="E462" s="45" t="s">
        <v>6051</v>
      </c>
      <c r="F462" s="46">
        <v>444.77</v>
      </c>
      <c r="G462" s="45" t="s">
        <v>6052</v>
      </c>
      <c r="I462" s="46">
        <v>405.25</v>
      </c>
      <c r="J462" s="47">
        <v>45810</v>
      </c>
    </row>
    <row r="463" spans="1:10">
      <c r="A463" s="36" t="s">
        <v>2745</v>
      </c>
      <c r="B463" s="35">
        <v>7629</v>
      </c>
      <c r="E463" s="45" t="s">
        <v>6051</v>
      </c>
      <c r="F463" s="46">
        <v>444.77</v>
      </c>
      <c r="G463" s="45" t="s">
        <v>6052</v>
      </c>
      <c r="I463" s="46">
        <v>405.25</v>
      </c>
      <c r="J463" s="47">
        <v>45810</v>
      </c>
    </row>
    <row r="464" spans="1:10">
      <c r="A464" s="36" t="s">
        <v>2746</v>
      </c>
      <c r="B464" s="35">
        <v>7629</v>
      </c>
      <c r="E464" s="45" t="s">
        <v>6051</v>
      </c>
      <c r="F464" s="46">
        <v>444.77</v>
      </c>
      <c r="G464" s="45" t="s">
        <v>6052</v>
      </c>
      <c r="I464" s="46">
        <v>405.25</v>
      </c>
      <c r="J464" s="47">
        <v>45810</v>
      </c>
    </row>
    <row r="465" spans="1:10">
      <c r="A465" s="36" t="s">
        <v>2748</v>
      </c>
      <c r="B465" s="35">
        <v>7629</v>
      </c>
      <c r="E465" s="45" t="s">
        <v>6051</v>
      </c>
      <c r="F465" s="46">
        <v>444.77</v>
      </c>
      <c r="G465" s="45" t="s">
        <v>6052</v>
      </c>
      <c r="I465" s="46">
        <v>405.25</v>
      </c>
      <c r="J465" s="47">
        <v>45810</v>
      </c>
    </row>
    <row r="466" spans="1:10">
      <c r="A466" s="36" t="s">
        <v>2749</v>
      </c>
      <c r="B466" s="35">
        <v>7629</v>
      </c>
      <c r="E466" s="45" t="s">
        <v>6051</v>
      </c>
      <c r="F466" s="46">
        <v>444.77</v>
      </c>
      <c r="G466" s="45" t="s">
        <v>6052</v>
      </c>
      <c r="I466" s="46">
        <v>405.25</v>
      </c>
      <c r="J466" s="47">
        <v>45810</v>
      </c>
    </row>
    <row r="467" spans="1:10">
      <c r="A467" s="36" t="s">
        <v>2750</v>
      </c>
      <c r="B467" s="35">
        <v>7629</v>
      </c>
      <c r="E467" s="45" t="s">
        <v>6051</v>
      </c>
      <c r="F467" s="46">
        <v>444.77</v>
      </c>
      <c r="G467" s="45" t="s">
        <v>6052</v>
      </c>
      <c r="I467" s="46">
        <v>405.25</v>
      </c>
      <c r="J467" s="47">
        <v>45810</v>
      </c>
    </row>
    <row r="468" spans="1:10">
      <c r="A468" s="36" t="s">
        <v>2565</v>
      </c>
      <c r="B468" s="35">
        <v>7629</v>
      </c>
      <c r="E468" s="45" t="s">
        <v>6051</v>
      </c>
      <c r="F468" s="46">
        <v>455.51</v>
      </c>
      <c r="G468" s="45" t="s">
        <v>6052</v>
      </c>
      <c r="I468" s="46">
        <v>415.03999999999996</v>
      </c>
      <c r="J468" s="47">
        <v>45810</v>
      </c>
    </row>
    <row r="469" spans="1:10">
      <c r="A469" s="36" t="s">
        <v>2566</v>
      </c>
      <c r="B469" s="35">
        <v>7629</v>
      </c>
      <c r="E469" s="45" t="s">
        <v>6051</v>
      </c>
      <c r="F469" s="46">
        <v>455.51</v>
      </c>
      <c r="G469" s="45" t="s">
        <v>6052</v>
      </c>
      <c r="I469" s="46">
        <v>415.03999999999996</v>
      </c>
      <c r="J469" s="47">
        <v>45810</v>
      </c>
    </row>
    <row r="470" spans="1:10">
      <c r="A470" s="36" t="s">
        <v>2567</v>
      </c>
      <c r="B470" s="35">
        <v>7629</v>
      </c>
      <c r="E470" s="45" t="s">
        <v>6051</v>
      </c>
      <c r="F470" s="46">
        <v>455.51</v>
      </c>
      <c r="G470" s="45" t="s">
        <v>6052</v>
      </c>
      <c r="I470" s="46">
        <v>415.03999999999996</v>
      </c>
      <c r="J470" s="47">
        <v>45810</v>
      </c>
    </row>
    <row r="471" spans="1:10">
      <c r="A471" s="36" t="s">
        <v>2659</v>
      </c>
      <c r="B471" s="35">
        <v>7629</v>
      </c>
      <c r="E471" s="45" t="s">
        <v>6051</v>
      </c>
      <c r="F471" s="46">
        <v>275.46999999999997</v>
      </c>
      <c r="G471" s="45" t="s">
        <v>6052</v>
      </c>
      <c r="I471" s="46">
        <v>250.98999999999998</v>
      </c>
      <c r="J471" s="47">
        <v>45810</v>
      </c>
    </row>
    <row r="472" spans="1:10">
      <c r="A472" s="36" t="s">
        <v>2531</v>
      </c>
      <c r="B472" s="35">
        <v>7629</v>
      </c>
      <c r="E472" s="45" t="s">
        <v>6051</v>
      </c>
      <c r="F472" s="46">
        <v>576.43999999999994</v>
      </c>
      <c r="G472" s="45" t="s">
        <v>6052</v>
      </c>
      <c r="I472" s="46">
        <v>525.23</v>
      </c>
      <c r="J472" s="47">
        <v>45810</v>
      </c>
    </row>
    <row r="473" spans="1:10">
      <c r="A473" s="36" t="s">
        <v>2050</v>
      </c>
      <c r="B473" s="35">
        <v>7629</v>
      </c>
      <c r="E473" s="45" t="s">
        <v>6051</v>
      </c>
      <c r="F473" s="46">
        <v>597.93999999999994</v>
      </c>
      <c r="G473" s="45" t="s">
        <v>6052</v>
      </c>
      <c r="I473" s="46">
        <v>544.81999999999994</v>
      </c>
      <c r="J473" s="47">
        <v>45810</v>
      </c>
    </row>
    <row r="474" spans="1:10">
      <c r="A474" s="36" t="s">
        <v>2431</v>
      </c>
      <c r="B474" s="35">
        <v>7629</v>
      </c>
      <c r="E474" s="45" t="s">
        <v>6051</v>
      </c>
      <c r="F474" s="46">
        <v>235.16</v>
      </c>
      <c r="G474" s="45" t="s">
        <v>6052</v>
      </c>
      <c r="I474" s="46">
        <v>214.26</v>
      </c>
      <c r="J474" s="47">
        <v>45810</v>
      </c>
    </row>
    <row r="475" spans="1:10">
      <c r="A475" s="36" t="s">
        <v>2532</v>
      </c>
      <c r="B475" s="35">
        <v>7629</v>
      </c>
      <c r="E475" s="45" t="s">
        <v>6051</v>
      </c>
      <c r="F475" s="46">
        <v>576.43999999999994</v>
      </c>
      <c r="G475" s="45" t="s">
        <v>6052</v>
      </c>
      <c r="I475" s="46">
        <v>525.23</v>
      </c>
      <c r="J475" s="47">
        <v>45810</v>
      </c>
    </row>
    <row r="476" spans="1:10">
      <c r="A476" s="36" t="s">
        <v>2653</v>
      </c>
      <c r="B476" s="35">
        <v>7629</v>
      </c>
      <c r="E476" s="45" t="s">
        <v>6051</v>
      </c>
      <c r="F476" s="46">
        <v>191.89</v>
      </c>
      <c r="G476" s="45" t="s">
        <v>6052</v>
      </c>
      <c r="I476" s="46">
        <v>174.84</v>
      </c>
      <c r="J476" s="47">
        <v>45810</v>
      </c>
    </row>
    <row r="477" spans="1:10">
      <c r="A477" s="36" t="s">
        <v>2198</v>
      </c>
      <c r="B477" s="35">
        <v>7629</v>
      </c>
      <c r="E477" s="45" t="s">
        <v>6051</v>
      </c>
      <c r="F477" s="46">
        <v>146.47</v>
      </c>
      <c r="G477" s="45" t="s">
        <v>6052</v>
      </c>
      <c r="I477" s="46">
        <v>133.44999999999999</v>
      </c>
      <c r="J477" s="47">
        <v>45810</v>
      </c>
    </row>
    <row r="478" spans="1:10">
      <c r="A478" s="36" t="s">
        <v>1690</v>
      </c>
      <c r="B478" s="35">
        <v>7629</v>
      </c>
      <c r="E478" s="45" t="s">
        <v>6051</v>
      </c>
      <c r="F478" s="46">
        <v>287.56</v>
      </c>
      <c r="G478" s="45" t="s">
        <v>6052</v>
      </c>
      <c r="I478" s="46">
        <v>262.01</v>
      </c>
      <c r="J478" s="47">
        <v>45810</v>
      </c>
    </row>
    <row r="479" spans="1:10">
      <c r="A479" s="36" t="s">
        <v>1702</v>
      </c>
      <c r="B479" s="35">
        <v>7629</v>
      </c>
      <c r="E479" s="45" t="s">
        <v>6051</v>
      </c>
      <c r="F479" s="46">
        <v>558.97</v>
      </c>
      <c r="G479" s="45" t="s">
        <v>6052</v>
      </c>
      <c r="I479" s="46">
        <v>509.31</v>
      </c>
      <c r="J479" s="47">
        <v>45810</v>
      </c>
    </row>
    <row r="480" spans="1:10">
      <c r="A480" s="36" t="s">
        <v>2222</v>
      </c>
      <c r="B480" s="35">
        <v>7629</v>
      </c>
      <c r="E480" s="45" t="s">
        <v>6051</v>
      </c>
      <c r="F480" s="46">
        <v>181.41</v>
      </c>
      <c r="G480" s="45" t="s">
        <v>6052</v>
      </c>
      <c r="I480" s="46">
        <v>165.29</v>
      </c>
      <c r="J480" s="47">
        <v>45810</v>
      </c>
    </row>
    <row r="481" spans="1:10">
      <c r="A481" s="36" t="s">
        <v>1956</v>
      </c>
      <c r="B481" s="35">
        <v>7629</v>
      </c>
      <c r="E481" s="45" t="s">
        <v>6051</v>
      </c>
      <c r="F481" s="46">
        <v>749.77</v>
      </c>
      <c r="G481" s="45" t="s">
        <v>6052</v>
      </c>
      <c r="I481" s="46">
        <v>683.16</v>
      </c>
      <c r="J481" s="47">
        <v>45810</v>
      </c>
    </row>
    <row r="482" spans="1:10">
      <c r="A482" s="36" t="s">
        <v>1707</v>
      </c>
      <c r="B482" s="35">
        <v>7629</v>
      </c>
      <c r="E482" s="45" t="s">
        <v>6051</v>
      </c>
      <c r="F482" s="46">
        <v>327.86</v>
      </c>
      <c r="G482" s="45" t="s">
        <v>6052</v>
      </c>
      <c r="I482" s="46">
        <v>298.73</v>
      </c>
      <c r="J482" s="47">
        <v>45810</v>
      </c>
    </row>
    <row r="483" spans="1:10">
      <c r="A483" s="36" t="s">
        <v>1676</v>
      </c>
      <c r="B483" s="35">
        <v>7629</v>
      </c>
      <c r="E483" s="45" t="s">
        <v>6051</v>
      </c>
      <c r="F483" s="46">
        <v>278.15999999999997</v>
      </c>
      <c r="G483" s="45" t="s">
        <v>6052</v>
      </c>
      <c r="I483" s="46">
        <v>253.44</v>
      </c>
      <c r="J483" s="47">
        <v>45810</v>
      </c>
    </row>
    <row r="484" spans="1:10">
      <c r="A484" s="36" t="s">
        <v>1682</v>
      </c>
      <c r="B484" s="35">
        <v>7629</v>
      </c>
      <c r="E484" s="45" t="s">
        <v>6051</v>
      </c>
      <c r="F484" s="46">
        <v>439.39</v>
      </c>
      <c r="G484" s="45" t="s">
        <v>6052</v>
      </c>
      <c r="I484" s="46">
        <v>400.34999999999997</v>
      </c>
      <c r="J484" s="47">
        <v>45810</v>
      </c>
    </row>
    <row r="485" spans="1:10">
      <c r="A485" s="36" t="s">
        <v>2039</v>
      </c>
      <c r="B485" s="35">
        <v>7629</v>
      </c>
      <c r="E485" s="45" t="s">
        <v>6051</v>
      </c>
      <c r="F485" s="46">
        <v>735</v>
      </c>
      <c r="G485" s="45" t="s">
        <v>6052</v>
      </c>
      <c r="I485" s="46">
        <v>669.7</v>
      </c>
      <c r="J485" s="47">
        <v>45810</v>
      </c>
    </row>
    <row r="486" spans="1:10">
      <c r="A486" s="36" t="s">
        <v>1722</v>
      </c>
      <c r="B486" s="35">
        <v>7629</v>
      </c>
      <c r="E486" s="45" t="s">
        <v>6051</v>
      </c>
      <c r="F486" s="46">
        <v>376.24</v>
      </c>
      <c r="G486" s="45" t="s">
        <v>6052</v>
      </c>
      <c r="I486" s="46">
        <v>342.81</v>
      </c>
      <c r="J486" s="47">
        <v>45810</v>
      </c>
    </row>
    <row r="487" spans="1:10">
      <c r="A487" s="36" t="s">
        <v>2298</v>
      </c>
      <c r="B487" s="35">
        <v>7629</v>
      </c>
      <c r="E487" s="45" t="s">
        <v>6051</v>
      </c>
      <c r="F487" s="46">
        <v>295.62</v>
      </c>
      <c r="G487" s="45" t="s">
        <v>6052</v>
      </c>
      <c r="I487" s="46">
        <v>269.34999999999997</v>
      </c>
      <c r="J487" s="47">
        <v>45810</v>
      </c>
    </row>
    <row r="488" spans="1:10">
      <c r="A488" s="36" t="s">
        <v>2569</v>
      </c>
      <c r="B488" s="35">
        <v>7629</v>
      </c>
      <c r="E488" s="45" t="s">
        <v>6051</v>
      </c>
      <c r="F488" s="46">
        <v>102.13000000000001</v>
      </c>
      <c r="G488" s="45" t="s">
        <v>6052</v>
      </c>
      <c r="I488" s="46">
        <v>93.050000000000011</v>
      </c>
      <c r="J488" s="47">
        <v>45810</v>
      </c>
    </row>
    <row r="489" spans="1:10">
      <c r="A489" s="36" t="s">
        <v>2570</v>
      </c>
      <c r="B489" s="35">
        <v>7629</v>
      </c>
      <c r="E489" s="45" t="s">
        <v>6051</v>
      </c>
      <c r="F489" s="46">
        <v>121.77000000000001</v>
      </c>
      <c r="G489" s="45" t="s">
        <v>6052</v>
      </c>
      <c r="I489" s="46">
        <v>110.95</v>
      </c>
      <c r="J489" s="47">
        <v>45810</v>
      </c>
    </row>
    <row r="490" spans="1:10">
      <c r="A490" s="36" t="s">
        <v>2571</v>
      </c>
      <c r="B490" s="35">
        <v>7629</v>
      </c>
      <c r="E490" s="45" t="s">
        <v>6051</v>
      </c>
      <c r="F490" s="46">
        <v>102.13000000000001</v>
      </c>
      <c r="G490" s="45" t="s">
        <v>6052</v>
      </c>
      <c r="I490" s="46">
        <v>93.050000000000011</v>
      </c>
      <c r="J490" s="47">
        <v>45810</v>
      </c>
    </row>
    <row r="491" spans="1:10">
      <c r="A491" s="36" t="s">
        <v>2988</v>
      </c>
      <c r="B491" s="35">
        <v>7629</v>
      </c>
      <c r="E491" s="45" t="s">
        <v>6051</v>
      </c>
      <c r="F491" s="46">
        <v>102.13000000000001</v>
      </c>
      <c r="G491" s="45" t="s">
        <v>6052</v>
      </c>
      <c r="I491" s="46">
        <v>93.050000000000011</v>
      </c>
      <c r="J491" s="47">
        <v>45810</v>
      </c>
    </row>
    <row r="492" spans="1:10">
      <c r="A492" s="36" t="s">
        <v>2572</v>
      </c>
      <c r="B492" s="35">
        <v>7629</v>
      </c>
      <c r="E492" s="45" t="s">
        <v>6051</v>
      </c>
      <c r="F492" s="46">
        <v>102.13000000000001</v>
      </c>
      <c r="G492" s="45" t="s">
        <v>6052</v>
      </c>
      <c r="I492" s="46">
        <v>93.050000000000011</v>
      </c>
      <c r="J492" s="47">
        <v>45810</v>
      </c>
    </row>
    <row r="493" spans="1:10">
      <c r="A493" s="36" t="s">
        <v>2573</v>
      </c>
      <c r="B493" s="35">
        <v>7629</v>
      </c>
      <c r="E493" s="45" t="s">
        <v>6051</v>
      </c>
      <c r="F493" s="46">
        <v>102.13000000000001</v>
      </c>
      <c r="G493" s="45" t="s">
        <v>6052</v>
      </c>
      <c r="I493" s="46">
        <v>93.050000000000011</v>
      </c>
      <c r="J493" s="47">
        <v>45810</v>
      </c>
    </row>
    <row r="494" spans="1:10">
      <c r="A494" s="36" t="s">
        <v>2574</v>
      </c>
      <c r="B494" s="35">
        <v>7629</v>
      </c>
      <c r="E494" s="45" t="s">
        <v>6051</v>
      </c>
      <c r="F494" s="46">
        <v>102.13000000000001</v>
      </c>
      <c r="G494" s="45" t="s">
        <v>6052</v>
      </c>
      <c r="I494" s="46">
        <v>93.050000000000011</v>
      </c>
      <c r="J494" s="47">
        <v>45810</v>
      </c>
    </row>
    <row r="495" spans="1:10">
      <c r="A495" s="36" t="s">
        <v>2707</v>
      </c>
      <c r="B495" s="35">
        <v>7629</v>
      </c>
      <c r="E495" s="45" t="s">
        <v>6051</v>
      </c>
      <c r="F495" s="46">
        <v>79.290000000000006</v>
      </c>
      <c r="G495" s="45" t="s">
        <v>6052</v>
      </c>
      <c r="I495" s="46">
        <v>72.240000000000009</v>
      </c>
      <c r="J495" s="47">
        <v>45810</v>
      </c>
    </row>
    <row r="496" spans="1:10">
      <c r="A496" s="36" t="s">
        <v>2634</v>
      </c>
      <c r="B496" s="35">
        <v>7629</v>
      </c>
      <c r="E496" s="45" t="s">
        <v>6051</v>
      </c>
      <c r="F496" s="46">
        <v>268.74</v>
      </c>
      <c r="G496" s="45" t="s">
        <v>6052</v>
      </c>
      <c r="I496" s="46">
        <v>244.86</v>
      </c>
      <c r="J496" s="47">
        <v>45810</v>
      </c>
    </row>
    <row r="497" spans="1:10">
      <c r="A497" s="36" t="s">
        <v>2947</v>
      </c>
      <c r="B497" s="35">
        <v>7629</v>
      </c>
      <c r="E497" s="45" t="s">
        <v>6051</v>
      </c>
      <c r="F497" s="46">
        <v>442.08</v>
      </c>
      <c r="G497" s="45" t="s">
        <v>6052</v>
      </c>
      <c r="I497" s="46">
        <v>402.8</v>
      </c>
      <c r="J497" s="47">
        <v>45810</v>
      </c>
    </row>
    <row r="498" spans="1:10">
      <c r="A498" s="36" t="s">
        <v>2885</v>
      </c>
      <c r="B498" s="35">
        <v>7629</v>
      </c>
      <c r="E498" s="45" t="s">
        <v>6051</v>
      </c>
      <c r="F498" s="46">
        <v>630.18999999999994</v>
      </c>
      <c r="G498" s="45" t="s">
        <v>6052</v>
      </c>
      <c r="I498" s="46">
        <v>574.20000000000005</v>
      </c>
      <c r="J498" s="47">
        <v>45810</v>
      </c>
    </row>
    <row r="499" spans="1:10">
      <c r="A499" s="36" t="s">
        <v>2829</v>
      </c>
      <c r="B499" s="35">
        <v>7629</v>
      </c>
      <c r="E499" s="45" t="s">
        <v>6051</v>
      </c>
      <c r="F499" s="46">
        <v>256.65999999999997</v>
      </c>
      <c r="G499" s="45" t="s">
        <v>6052</v>
      </c>
      <c r="I499" s="46">
        <v>233.85</v>
      </c>
      <c r="J499" s="47">
        <v>45810</v>
      </c>
    </row>
    <row r="500" spans="1:10">
      <c r="A500" s="36" t="s">
        <v>2953</v>
      </c>
      <c r="B500" s="35">
        <v>7629</v>
      </c>
      <c r="E500" s="45" t="s">
        <v>6051</v>
      </c>
      <c r="F500" s="46">
        <v>293.5</v>
      </c>
      <c r="G500" s="45" t="s">
        <v>6052</v>
      </c>
      <c r="I500" s="46">
        <v>267.42</v>
      </c>
      <c r="J500" s="47">
        <v>45810</v>
      </c>
    </row>
    <row r="501" spans="1:10">
      <c r="A501" s="36" t="s">
        <v>2814</v>
      </c>
      <c r="B501" s="35">
        <v>7629</v>
      </c>
      <c r="E501" s="45" t="s">
        <v>6051</v>
      </c>
      <c r="F501" s="46">
        <v>362.78</v>
      </c>
      <c r="G501" s="45" t="s">
        <v>6052</v>
      </c>
      <c r="I501" s="46">
        <v>330.55</v>
      </c>
      <c r="J501" s="47">
        <v>45810</v>
      </c>
    </row>
    <row r="502" spans="1:10">
      <c r="A502" s="36" t="s">
        <v>2800</v>
      </c>
      <c r="B502" s="35">
        <v>7629</v>
      </c>
      <c r="E502" s="45" t="s">
        <v>6051</v>
      </c>
      <c r="F502" s="46">
        <v>485.01</v>
      </c>
      <c r="G502" s="45" t="s">
        <v>6052</v>
      </c>
      <c r="I502" s="46">
        <v>441.92</v>
      </c>
      <c r="J502" s="47">
        <v>45810</v>
      </c>
    </row>
    <row r="503" spans="1:10">
      <c r="A503" s="36" t="s">
        <v>2868</v>
      </c>
      <c r="B503" s="35">
        <v>7629</v>
      </c>
      <c r="E503" s="45" t="s">
        <v>6051</v>
      </c>
      <c r="F503" s="46">
        <v>147.82</v>
      </c>
      <c r="G503" s="45" t="s">
        <v>6052</v>
      </c>
      <c r="I503" s="46">
        <v>134.67999999999998</v>
      </c>
      <c r="J503" s="47">
        <v>45810</v>
      </c>
    </row>
    <row r="504" spans="1:10">
      <c r="A504" s="36" t="s">
        <v>2870</v>
      </c>
      <c r="B504" s="35">
        <v>7629</v>
      </c>
      <c r="E504" s="45" t="s">
        <v>6051</v>
      </c>
      <c r="F504" s="46">
        <v>240.51999999999998</v>
      </c>
      <c r="G504" s="45" t="s">
        <v>6052</v>
      </c>
      <c r="I504" s="46">
        <v>219.14999999999998</v>
      </c>
      <c r="J504" s="47">
        <v>45810</v>
      </c>
    </row>
    <row r="505" spans="1:10">
      <c r="A505" s="36" t="s">
        <v>2872</v>
      </c>
      <c r="B505" s="35">
        <v>7629</v>
      </c>
      <c r="E505" s="45" t="s">
        <v>6051</v>
      </c>
      <c r="F505" s="46">
        <v>294.27999999999997</v>
      </c>
      <c r="G505" s="45" t="s">
        <v>6052</v>
      </c>
      <c r="I505" s="46">
        <v>268.13</v>
      </c>
      <c r="J505" s="47">
        <v>45810</v>
      </c>
    </row>
    <row r="506" spans="1:10">
      <c r="A506" s="36" t="s">
        <v>2883</v>
      </c>
      <c r="B506" s="35">
        <v>7629</v>
      </c>
      <c r="E506" s="45" t="s">
        <v>6051</v>
      </c>
      <c r="F506" s="46">
        <v>288.89999999999998</v>
      </c>
      <c r="G506" s="45" t="s">
        <v>6052</v>
      </c>
      <c r="I506" s="46">
        <v>263.23</v>
      </c>
      <c r="J506" s="47">
        <v>45810</v>
      </c>
    </row>
    <row r="507" spans="1:10">
      <c r="A507" s="36" t="s">
        <v>2864</v>
      </c>
      <c r="B507" s="35">
        <v>7629</v>
      </c>
      <c r="E507" s="45" t="s">
        <v>6051</v>
      </c>
      <c r="F507" s="46">
        <v>159.91</v>
      </c>
      <c r="G507" s="45" t="s">
        <v>6052</v>
      </c>
      <c r="I507" s="46">
        <v>145.69999999999999</v>
      </c>
      <c r="J507" s="47">
        <v>45810</v>
      </c>
    </row>
    <row r="508" spans="1:10">
      <c r="A508" s="36" t="s">
        <v>2892</v>
      </c>
      <c r="B508" s="35">
        <v>7629</v>
      </c>
      <c r="E508" s="45" t="s">
        <v>6051</v>
      </c>
      <c r="F508" s="46">
        <v>159.91</v>
      </c>
      <c r="G508" s="45" t="s">
        <v>6052</v>
      </c>
      <c r="I508" s="46">
        <v>145.69999999999999</v>
      </c>
      <c r="J508" s="47">
        <v>45810</v>
      </c>
    </row>
    <row r="509" spans="1:10">
      <c r="A509" s="36" t="s">
        <v>2945</v>
      </c>
      <c r="B509" s="35">
        <v>7629</v>
      </c>
      <c r="E509" s="45" t="s">
        <v>6051</v>
      </c>
      <c r="F509" s="46">
        <v>267.39999999999998</v>
      </c>
      <c r="G509" s="45" t="s">
        <v>6052</v>
      </c>
      <c r="I509" s="46">
        <v>243.64</v>
      </c>
      <c r="J509" s="47">
        <v>45810</v>
      </c>
    </row>
    <row r="510" spans="1:10">
      <c r="A510" s="36" t="s">
        <v>2943</v>
      </c>
      <c r="B510" s="35">
        <v>7629</v>
      </c>
      <c r="E510" s="45" t="s">
        <v>6051</v>
      </c>
      <c r="F510" s="46">
        <v>392.36</v>
      </c>
      <c r="G510" s="45" t="s">
        <v>6052</v>
      </c>
      <c r="I510" s="46">
        <v>357.5</v>
      </c>
      <c r="J510" s="47">
        <v>45810</v>
      </c>
    </row>
    <row r="511" spans="1:10">
      <c r="A511" s="36" t="s">
        <v>2866</v>
      </c>
      <c r="B511" s="35">
        <v>7629</v>
      </c>
      <c r="E511" s="45" t="s">
        <v>6051</v>
      </c>
      <c r="F511" s="46">
        <v>159.91</v>
      </c>
      <c r="G511" s="45" t="s">
        <v>6052</v>
      </c>
      <c r="I511" s="46">
        <v>145.69999999999999</v>
      </c>
      <c r="J511" s="47">
        <v>45810</v>
      </c>
    </row>
    <row r="512" spans="1:10">
      <c r="A512" s="36" t="s">
        <v>2939</v>
      </c>
      <c r="B512" s="35">
        <v>7629</v>
      </c>
      <c r="E512" s="45" t="s">
        <v>6051</v>
      </c>
      <c r="F512" s="46">
        <v>133.03</v>
      </c>
      <c r="G512" s="45" t="s">
        <v>6052</v>
      </c>
      <c r="I512" s="46">
        <v>121.21000000000001</v>
      </c>
      <c r="J512" s="47">
        <v>45810</v>
      </c>
    </row>
    <row r="513" spans="1:10">
      <c r="A513" s="36" t="s">
        <v>2974</v>
      </c>
      <c r="B513" s="35">
        <v>7629</v>
      </c>
      <c r="E513" s="45" t="s">
        <v>6051</v>
      </c>
      <c r="F513" s="46">
        <v>133.03</v>
      </c>
      <c r="G513" s="45" t="s">
        <v>6052</v>
      </c>
      <c r="I513" s="46">
        <v>121.21000000000001</v>
      </c>
      <c r="J513" s="47">
        <v>45810</v>
      </c>
    </row>
    <row r="514" spans="1:10">
      <c r="A514" s="36" t="s">
        <v>2796</v>
      </c>
      <c r="B514" s="35">
        <v>7629</v>
      </c>
      <c r="E514" s="45" t="s">
        <v>6051</v>
      </c>
      <c r="F514" s="46">
        <v>158.56</v>
      </c>
      <c r="G514" s="45" t="s">
        <v>6052</v>
      </c>
      <c r="I514" s="46">
        <v>144.47</v>
      </c>
      <c r="J514" s="47">
        <v>45810</v>
      </c>
    </row>
    <row r="515" spans="1:10">
      <c r="A515" s="36" t="s">
        <v>2874</v>
      </c>
      <c r="B515" s="35">
        <v>7629</v>
      </c>
      <c r="E515" s="45" t="s">
        <v>6051</v>
      </c>
      <c r="F515" s="46">
        <v>181.41</v>
      </c>
      <c r="G515" s="45" t="s">
        <v>6052</v>
      </c>
      <c r="I515" s="46">
        <v>165.29</v>
      </c>
      <c r="J515" s="47">
        <v>45810</v>
      </c>
    </row>
    <row r="516" spans="1:10">
      <c r="A516" s="36" t="s">
        <v>2862</v>
      </c>
      <c r="B516" s="35">
        <v>7629</v>
      </c>
      <c r="E516" s="45" t="s">
        <v>6051</v>
      </c>
      <c r="F516" s="46">
        <v>181.41</v>
      </c>
      <c r="G516" s="45" t="s">
        <v>6052</v>
      </c>
      <c r="I516" s="46">
        <v>165.29</v>
      </c>
      <c r="J516" s="47">
        <v>45810</v>
      </c>
    </row>
    <row r="517" spans="1:10">
      <c r="A517" s="36" t="s">
        <v>2832</v>
      </c>
      <c r="B517" s="35">
        <v>7629</v>
      </c>
      <c r="E517" s="45" t="s">
        <v>6051</v>
      </c>
      <c r="F517" s="46">
        <v>178.72</v>
      </c>
      <c r="G517" s="45" t="s">
        <v>6052</v>
      </c>
      <c r="I517" s="46">
        <v>162.84</v>
      </c>
      <c r="J517" s="47">
        <v>45810</v>
      </c>
    </row>
    <row r="518" spans="1:10">
      <c r="A518" s="36" t="s">
        <v>2794</v>
      </c>
      <c r="B518" s="35">
        <v>7629</v>
      </c>
      <c r="E518" s="45" t="s">
        <v>6051</v>
      </c>
      <c r="F518" s="46">
        <v>133.03</v>
      </c>
      <c r="G518" s="45" t="s">
        <v>6052</v>
      </c>
      <c r="I518" s="46">
        <v>121.21000000000001</v>
      </c>
      <c r="J518" s="47">
        <v>45810</v>
      </c>
    </row>
    <row r="519" spans="1:10">
      <c r="A519" s="36" t="s">
        <v>2826</v>
      </c>
      <c r="B519" s="35">
        <v>7629</v>
      </c>
      <c r="E519" s="45" t="s">
        <v>6051</v>
      </c>
      <c r="F519" s="46">
        <v>200.22</v>
      </c>
      <c r="G519" s="45" t="s">
        <v>6052</v>
      </c>
      <c r="I519" s="46">
        <v>182.42999999999998</v>
      </c>
      <c r="J519" s="47">
        <v>45810</v>
      </c>
    </row>
    <row r="520" spans="1:10">
      <c r="A520" s="36" t="s">
        <v>2836</v>
      </c>
      <c r="B520" s="35">
        <v>7629</v>
      </c>
      <c r="E520" s="45" t="s">
        <v>6051</v>
      </c>
      <c r="F520" s="46">
        <v>121.58</v>
      </c>
      <c r="G520" s="45" t="s">
        <v>6052</v>
      </c>
      <c r="I520" s="46">
        <v>110.77</v>
      </c>
      <c r="J520" s="47">
        <v>45810</v>
      </c>
    </row>
    <row r="521" spans="1:10">
      <c r="A521" s="36" t="s">
        <v>2842</v>
      </c>
      <c r="B521" s="35">
        <v>7629</v>
      </c>
      <c r="E521" s="45" t="s">
        <v>6051</v>
      </c>
      <c r="F521" s="46">
        <v>52.41</v>
      </c>
      <c r="G521" s="45" t="s">
        <v>6052</v>
      </c>
      <c r="I521" s="46">
        <v>47.75</v>
      </c>
      <c r="J521" s="47">
        <v>45810</v>
      </c>
    </row>
    <row r="522" spans="1:10">
      <c r="A522" s="36" t="s">
        <v>2844</v>
      </c>
      <c r="B522" s="35">
        <v>7629</v>
      </c>
      <c r="E522" s="45" t="s">
        <v>6051</v>
      </c>
      <c r="F522" s="46">
        <v>52.41</v>
      </c>
      <c r="G522" s="45" t="s">
        <v>6052</v>
      </c>
      <c r="I522" s="46">
        <v>47.75</v>
      </c>
      <c r="J522" s="47">
        <v>45810</v>
      </c>
    </row>
    <row r="523" spans="1:10">
      <c r="A523" s="36" t="s">
        <v>2840</v>
      </c>
      <c r="B523" s="35">
        <v>7629</v>
      </c>
      <c r="E523" s="45" t="s">
        <v>6051</v>
      </c>
      <c r="F523" s="46">
        <v>52.41</v>
      </c>
      <c r="G523" s="45" t="s">
        <v>6052</v>
      </c>
      <c r="I523" s="46">
        <v>47.75</v>
      </c>
      <c r="J523" s="47">
        <v>45810</v>
      </c>
    </row>
    <row r="524" spans="1:10">
      <c r="A524" s="36" t="s">
        <v>2838</v>
      </c>
      <c r="B524" s="35">
        <v>7629</v>
      </c>
      <c r="E524" s="45" t="s">
        <v>6051</v>
      </c>
      <c r="F524" s="46">
        <v>52.41</v>
      </c>
      <c r="G524" s="45" t="s">
        <v>6052</v>
      </c>
      <c r="I524" s="46">
        <v>47.75</v>
      </c>
      <c r="J524" s="47">
        <v>45810</v>
      </c>
    </row>
    <row r="525" spans="1:10">
      <c r="A525" s="36" t="s">
        <v>2848</v>
      </c>
      <c r="B525" s="35">
        <v>7629</v>
      </c>
      <c r="E525" s="45" t="s">
        <v>6051</v>
      </c>
      <c r="F525" s="46">
        <v>153.85</v>
      </c>
      <c r="G525" s="45" t="s">
        <v>6052</v>
      </c>
      <c r="I525" s="46">
        <v>140.17999999999998</v>
      </c>
      <c r="J525" s="47">
        <v>45810</v>
      </c>
    </row>
    <row r="526" spans="1:10">
      <c r="A526" s="36" t="s">
        <v>2850</v>
      </c>
      <c r="B526" s="35">
        <v>7629</v>
      </c>
      <c r="E526" s="45" t="s">
        <v>6051</v>
      </c>
      <c r="F526" s="46">
        <v>68.53</v>
      </c>
      <c r="G526" s="45" t="s">
        <v>6052</v>
      </c>
      <c r="I526" s="46">
        <v>62.44</v>
      </c>
      <c r="J526" s="47">
        <v>45810</v>
      </c>
    </row>
    <row r="527" spans="1:10">
      <c r="A527" s="36" t="s">
        <v>2852</v>
      </c>
      <c r="B527" s="35">
        <v>7629</v>
      </c>
      <c r="E527" s="45" t="s">
        <v>6051</v>
      </c>
      <c r="F527" s="46">
        <v>60.48</v>
      </c>
      <c r="G527" s="45" t="s">
        <v>6052</v>
      </c>
      <c r="I527" s="46">
        <v>55.1</v>
      </c>
      <c r="J527" s="47">
        <v>45810</v>
      </c>
    </row>
    <row r="528" spans="1:10">
      <c r="A528" s="36" t="s">
        <v>2854</v>
      </c>
      <c r="B528" s="35">
        <v>7629</v>
      </c>
      <c r="E528" s="45" t="s">
        <v>6051</v>
      </c>
      <c r="F528" s="46">
        <v>60.48</v>
      </c>
      <c r="G528" s="45" t="s">
        <v>6052</v>
      </c>
      <c r="I528" s="46">
        <v>55.1</v>
      </c>
      <c r="J528" s="47">
        <v>45810</v>
      </c>
    </row>
    <row r="529" spans="1:10">
      <c r="A529" s="36" t="s">
        <v>2816</v>
      </c>
      <c r="B529" s="35">
        <v>7629</v>
      </c>
      <c r="E529" s="45" t="s">
        <v>6051</v>
      </c>
      <c r="F529" s="46">
        <v>62.78</v>
      </c>
      <c r="G529" s="45" t="s">
        <v>6052</v>
      </c>
      <c r="I529" s="46">
        <v>57.199999999999996</v>
      </c>
      <c r="J529" s="47">
        <v>45810</v>
      </c>
    </row>
    <row r="530" spans="1:10">
      <c r="A530" s="36" t="s">
        <v>2824</v>
      </c>
      <c r="B530" s="35">
        <v>7629</v>
      </c>
      <c r="E530" s="45" t="s">
        <v>6051</v>
      </c>
      <c r="F530" s="46">
        <v>97.27000000000001</v>
      </c>
      <c r="G530" s="45" t="s">
        <v>6052</v>
      </c>
      <c r="I530" s="46">
        <v>88.62</v>
      </c>
      <c r="J530" s="47">
        <v>45810</v>
      </c>
    </row>
    <row r="531" spans="1:10">
      <c r="A531" s="36" t="s">
        <v>2822</v>
      </c>
      <c r="B531" s="35">
        <v>7629</v>
      </c>
      <c r="E531" s="45" t="s">
        <v>6051</v>
      </c>
      <c r="F531" s="46">
        <v>120.23</v>
      </c>
      <c r="G531" s="45" t="s">
        <v>6052</v>
      </c>
      <c r="I531" s="46">
        <v>109.54</v>
      </c>
      <c r="J531" s="47">
        <v>45810</v>
      </c>
    </row>
    <row r="532" spans="1:10">
      <c r="A532" s="36" t="s">
        <v>2802</v>
      </c>
      <c r="B532" s="35">
        <v>7629</v>
      </c>
      <c r="E532" s="45" t="s">
        <v>6051</v>
      </c>
      <c r="F532" s="46">
        <v>95.98</v>
      </c>
      <c r="G532" s="45" t="s">
        <v>6052</v>
      </c>
      <c r="I532" s="46">
        <v>87.45</v>
      </c>
      <c r="J532" s="47">
        <v>45810</v>
      </c>
    </row>
    <row r="533" spans="1:10">
      <c r="A533" s="36" t="s">
        <v>2804</v>
      </c>
      <c r="B533" s="35">
        <v>7629</v>
      </c>
      <c r="E533" s="45" t="s">
        <v>6051</v>
      </c>
      <c r="F533" s="46">
        <v>95.98</v>
      </c>
      <c r="G533" s="45" t="s">
        <v>6052</v>
      </c>
      <c r="I533" s="46">
        <v>87.45</v>
      </c>
      <c r="J533" s="47">
        <v>45810</v>
      </c>
    </row>
    <row r="534" spans="1:10">
      <c r="A534" s="36" t="s">
        <v>2806</v>
      </c>
      <c r="B534" s="35">
        <v>7629</v>
      </c>
      <c r="E534" s="45" t="s">
        <v>6051</v>
      </c>
      <c r="F534" s="46">
        <v>130.54</v>
      </c>
      <c r="G534" s="45" t="s">
        <v>6052</v>
      </c>
      <c r="I534" s="46">
        <v>118.94000000000001</v>
      </c>
      <c r="J534" s="47">
        <v>45810</v>
      </c>
    </row>
    <row r="535" spans="1:10">
      <c r="A535" s="36" t="s">
        <v>2808</v>
      </c>
      <c r="B535" s="35">
        <v>7629</v>
      </c>
      <c r="E535" s="45" t="s">
        <v>6051</v>
      </c>
      <c r="F535" s="46">
        <v>130.54</v>
      </c>
      <c r="G535" s="45" t="s">
        <v>6052</v>
      </c>
      <c r="I535" s="46">
        <v>118.94000000000001</v>
      </c>
      <c r="J535" s="47">
        <v>45810</v>
      </c>
    </row>
    <row r="536" spans="1:10">
      <c r="A536" s="36" t="s">
        <v>2810</v>
      </c>
      <c r="B536" s="35">
        <v>7629</v>
      </c>
      <c r="E536" s="45" t="s">
        <v>6051</v>
      </c>
      <c r="F536" s="46">
        <v>113.9</v>
      </c>
      <c r="G536" s="45" t="s">
        <v>6052</v>
      </c>
      <c r="I536" s="46">
        <v>103.78</v>
      </c>
      <c r="J536" s="47">
        <v>45810</v>
      </c>
    </row>
    <row r="537" spans="1:10">
      <c r="A537" s="36" t="s">
        <v>2812</v>
      </c>
      <c r="B537" s="35">
        <v>7629</v>
      </c>
      <c r="E537" s="45" t="s">
        <v>6051</v>
      </c>
      <c r="F537" s="46">
        <v>113.9</v>
      </c>
      <c r="G537" s="45" t="s">
        <v>6052</v>
      </c>
      <c r="I537" s="46">
        <v>103.78</v>
      </c>
      <c r="J537" s="47">
        <v>45810</v>
      </c>
    </row>
    <row r="538" spans="1:10">
      <c r="A538" s="36" t="s">
        <v>2827</v>
      </c>
      <c r="B538" s="35">
        <v>7629</v>
      </c>
      <c r="E538" s="45" t="s">
        <v>6051</v>
      </c>
      <c r="F538" s="46">
        <v>113.9</v>
      </c>
      <c r="G538" s="45" t="s">
        <v>6052</v>
      </c>
      <c r="I538" s="46">
        <v>103.78</v>
      </c>
      <c r="J538" s="47">
        <v>45810</v>
      </c>
    </row>
    <row r="539" spans="1:10">
      <c r="A539" s="36" t="s">
        <v>2818</v>
      </c>
      <c r="B539" s="35">
        <v>7629</v>
      </c>
      <c r="E539" s="45" t="s">
        <v>6051</v>
      </c>
      <c r="F539" s="46">
        <v>152.29</v>
      </c>
      <c r="G539" s="45" t="s">
        <v>6052</v>
      </c>
      <c r="I539" s="46">
        <v>138.76</v>
      </c>
      <c r="J539" s="47">
        <v>45810</v>
      </c>
    </row>
    <row r="540" spans="1:10">
      <c r="A540" s="36" t="s">
        <v>2820</v>
      </c>
      <c r="B540" s="35">
        <v>7629</v>
      </c>
      <c r="E540" s="45" t="s">
        <v>6051</v>
      </c>
      <c r="F540" s="46">
        <v>177.89</v>
      </c>
      <c r="G540" s="45" t="s">
        <v>6052</v>
      </c>
      <c r="I540" s="46">
        <v>162.07999999999998</v>
      </c>
      <c r="J540" s="47">
        <v>45810</v>
      </c>
    </row>
    <row r="541" spans="1:10">
      <c r="A541" s="36" t="s">
        <v>2986</v>
      </c>
      <c r="B541" s="35">
        <v>7629</v>
      </c>
      <c r="E541" s="45" t="s">
        <v>6051</v>
      </c>
      <c r="F541" s="46">
        <v>199.92999999999998</v>
      </c>
      <c r="G541" s="45" t="s">
        <v>6052</v>
      </c>
      <c r="I541" s="46">
        <v>182.16</v>
      </c>
      <c r="J541" s="47">
        <v>45810</v>
      </c>
    </row>
    <row r="542" spans="1:10">
      <c r="A542" s="36" t="s">
        <v>2937</v>
      </c>
      <c r="B542" s="35">
        <v>7629</v>
      </c>
      <c r="E542" s="45" t="s">
        <v>6051</v>
      </c>
      <c r="F542" s="46">
        <v>137.13999999999999</v>
      </c>
      <c r="G542" s="45" t="s">
        <v>6052</v>
      </c>
      <c r="I542" s="46">
        <v>124.95</v>
      </c>
      <c r="J542" s="47">
        <v>45810</v>
      </c>
    </row>
    <row r="543" spans="1:10">
      <c r="A543" s="36" t="s">
        <v>2972</v>
      </c>
      <c r="B543" s="35">
        <v>7629</v>
      </c>
      <c r="E543" s="45" t="s">
        <v>6051</v>
      </c>
      <c r="F543" s="46">
        <v>208.64999999999998</v>
      </c>
      <c r="G543" s="45" t="s">
        <v>6052</v>
      </c>
      <c r="I543" s="46">
        <v>190.10999999999999</v>
      </c>
      <c r="J543" s="47">
        <v>45810</v>
      </c>
    </row>
    <row r="544" spans="1:10">
      <c r="A544" s="36" t="s">
        <v>2949</v>
      </c>
      <c r="B544" s="35">
        <v>7629</v>
      </c>
      <c r="E544" s="45" t="s">
        <v>6051</v>
      </c>
      <c r="F544" s="46">
        <v>250.38</v>
      </c>
      <c r="G544" s="45" t="s">
        <v>6052</v>
      </c>
      <c r="I544" s="46">
        <v>228.13</v>
      </c>
      <c r="J544" s="47">
        <v>45810</v>
      </c>
    </row>
    <row r="545" spans="1:10">
      <c r="A545" s="36" t="s">
        <v>2968</v>
      </c>
      <c r="B545" s="35">
        <v>7629</v>
      </c>
      <c r="E545" s="45" t="s">
        <v>6051</v>
      </c>
      <c r="F545" s="46">
        <v>251.37</v>
      </c>
      <c r="G545" s="45" t="s">
        <v>6052</v>
      </c>
      <c r="I545" s="46">
        <v>229.03</v>
      </c>
      <c r="J545" s="47">
        <v>45810</v>
      </c>
    </row>
    <row r="546" spans="1:10">
      <c r="A546" s="36" t="s">
        <v>2982</v>
      </c>
      <c r="B546" s="35">
        <v>7629</v>
      </c>
      <c r="E546" s="45" t="s">
        <v>6051</v>
      </c>
      <c r="F546" s="46">
        <v>126.96000000000001</v>
      </c>
      <c r="G546" s="45" t="s">
        <v>6052</v>
      </c>
      <c r="I546" s="46">
        <v>115.68</v>
      </c>
      <c r="J546" s="47">
        <v>45810</v>
      </c>
    </row>
    <row r="547" spans="1:10">
      <c r="A547" s="36" t="s">
        <v>2966</v>
      </c>
      <c r="B547" s="35">
        <v>7629</v>
      </c>
      <c r="E547" s="45" t="s">
        <v>6051</v>
      </c>
      <c r="F547" s="46">
        <v>254.98</v>
      </c>
      <c r="G547" s="45" t="s">
        <v>6052</v>
      </c>
      <c r="I547" s="46">
        <v>232.32</v>
      </c>
      <c r="J547" s="47">
        <v>45810</v>
      </c>
    </row>
    <row r="548" spans="1:10">
      <c r="A548" s="36" t="s">
        <v>2941</v>
      </c>
      <c r="B548" s="35">
        <v>7629</v>
      </c>
      <c r="E548" s="45" t="s">
        <v>6051</v>
      </c>
      <c r="F548" s="46">
        <v>259.23</v>
      </c>
      <c r="G548" s="45" t="s">
        <v>6052</v>
      </c>
      <c r="I548" s="46">
        <v>236.2</v>
      </c>
      <c r="J548" s="47">
        <v>45810</v>
      </c>
    </row>
    <row r="549" spans="1:10">
      <c r="A549" s="36" t="s">
        <v>2958</v>
      </c>
      <c r="B549" s="35">
        <v>7629</v>
      </c>
      <c r="E549" s="45" t="s">
        <v>6051</v>
      </c>
      <c r="F549" s="46">
        <v>233.98999999999998</v>
      </c>
      <c r="G549" s="45" t="s">
        <v>6052</v>
      </c>
      <c r="I549" s="46">
        <v>213.2</v>
      </c>
      <c r="J549" s="47">
        <v>45810</v>
      </c>
    </row>
    <row r="550" spans="1:10">
      <c r="A550" s="36" t="s">
        <v>2978</v>
      </c>
      <c r="B550" s="35">
        <v>7629</v>
      </c>
      <c r="E550" s="45" t="s">
        <v>6051</v>
      </c>
      <c r="F550" s="46">
        <v>253.63</v>
      </c>
      <c r="G550" s="45" t="s">
        <v>6052</v>
      </c>
      <c r="I550" s="46">
        <v>231.09</v>
      </c>
      <c r="J550" s="47">
        <v>45810</v>
      </c>
    </row>
    <row r="551" spans="1:10">
      <c r="A551" s="36" t="s">
        <v>2976</v>
      </c>
      <c r="B551" s="35">
        <v>7629</v>
      </c>
      <c r="E551" s="45" t="s">
        <v>6051</v>
      </c>
      <c r="F551" s="46">
        <v>160.35999999999999</v>
      </c>
      <c r="G551" s="45" t="s">
        <v>6052</v>
      </c>
      <c r="I551" s="46">
        <v>146.10999999999999</v>
      </c>
      <c r="J551" s="47">
        <v>45810</v>
      </c>
    </row>
    <row r="552" spans="1:10">
      <c r="A552" s="36" t="s">
        <v>2980</v>
      </c>
      <c r="B552" s="35">
        <v>7629</v>
      </c>
      <c r="E552" s="45" t="s">
        <v>6051</v>
      </c>
      <c r="F552" s="46">
        <v>278.25</v>
      </c>
      <c r="G552" s="45" t="s">
        <v>6052</v>
      </c>
      <c r="I552" s="46">
        <v>253.53</v>
      </c>
      <c r="J552" s="47">
        <v>45810</v>
      </c>
    </row>
  </sheetData>
  <dataValidations count="2">
    <dataValidation type="list" allowBlank="1" showInputMessage="1" showErrorMessage="1" sqref="G2:G1048576" xr:uid="{E02E68AB-D2AD-D54B-B834-B4A59C9AA11E}">
      <formula1>"BRL,EUR,USD"</formula1>
    </dataValidation>
    <dataValidation type="list" allowBlank="1" showInputMessage="1" showErrorMessage="1" sqref="E2:E1048576" xr:uid="{A385514E-31BA-C642-9E99-DD4E1FE58194}">
      <formula1>"FOB,CIF,DDP"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A6AE-4D94-E54D-9A19-B7AB0928071C}">
  <dimension ref="A1:G729"/>
  <sheetViews>
    <sheetView topLeftCell="A253" workbookViewId="0">
      <selection activeCell="A273" sqref="A273:XFD273"/>
    </sheetView>
  </sheetViews>
  <sheetFormatPr baseColWidth="10" defaultRowHeight="15"/>
  <sheetData>
    <row r="1" spans="1:7">
      <c r="A1" s="33" t="s">
        <v>1599</v>
      </c>
      <c r="B1" s="34" t="s">
        <v>1600</v>
      </c>
      <c r="C1" s="34" t="s">
        <v>4133</v>
      </c>
      <c r="D1" s="33" t="s">
        <v>5265</v>
      </c>
      <c r="E1" s="34" t="s">
        <v>5266</v>
      </c>
      <c r="F1" s="33" t="s">
        <v>5267</v>
      </c>
      <c r="G1" s="33" t="s">
        <v>5268</v>
      </c>
    </row>
    <row r="2" spans="1:7">
      <c r="A2" s="35">
        <v>44</v>
      </c>
      <c r="B2" s="36" t="s">
        <v>2876</v>
      </c>
      <c r="C2" s="36" t="s">
        <v>4134</v>
      </c>
      <c r="D2" s="35">
        <v>7629</v>
      </c>
      <c r="E2" s="36" t="s">
        <v>5269</v>
      </c>
      <c r="F2" s="35" t="s">
        <v>5270</v>
      </c>
      <c r="G2" s="35" t="s">
        <v>5271</v>
      </c>
    </row>
    <row r="3" spans="1:7">
      <c r="A3" s="35">
        <v>88</v>
      </c>
      <c r="B3" s="36" t="s">
        <v>1625</v>
      </c>
      <c r="C3" s="36" t="s">
        <v>4138</v>
      </c>
      <c r="D3" s="35">
        <v>7629</v>
      </c>
      <c r="E3" s="36" t="s">
        <v>5269</v>
      </c>
      <c r="F3" s="35" t="s">
        <v>5272</v>
      </c>
      <c r="G3" s="35" t="s">
        <v>5273</v>
      </c>
    </row>
    <row r="4" spans="1:7">
      <c r="A4" s="35">
        <v>101</v>
      </c>
      <c r="B4" s="36" t="s">
        <v>1632</v>
      </c>
      <c r="C4" s="36" t="s">
        <v>4143</v>
      </c>
      <c r="D4" s="35">
        <v>7629</v>
      </c>
      <c r="E4" s="36" t="s">
        <v>5269</v>
      </c>
      <c r="F4" s="35" t="s">
        <v>5276</v>
      </c>
      <c r="G4" s="35" t="s">
        <v>5277</v>
      </c>
    </row>
    <row r="5" spans="1:7">
      <c r="A5" s="35">
        <v>122</v>
      </c>
      <c r="B5" s="36" t="s">
        <v>1709</v>
      </c>
      <c r="C5" s="36" t="s">
        <v>4148</v>
      </c>
      <c r="D5" s="35">
        <v>7629</v>
      </c>
      <c r="E5" s="36" t="s">
        <v>5269</v>
      </c>
      <c r="F5" s="35" t="s">
        <v>5284</v>
      </c>
      <c r="G5" s="35" t="s">
        <v>5285</v>
      </c>
    </row>
    <row r="6" spans="1:7">
      <c r="A6" s="35">
        <v>123</v>
      </c>
      <c r="B6" s="36" t="s">
        <v>1710</v>
      </c>
      <c r="C6" s="36" t="s">
        <v>4145</v>
      </c>
      <c r="D6" s="35">
        <v>7629</v>
      </c>
      <c r="E6" s="36" t="s">
        <v>5269</v>
      </c>
      <c r="F6" s="35" t="s">
        <v>5286</v>
      </c>
      <c r="G6" s="35" t="s">
        <v>5287</v>
      </c>
    </row>
    <row r="7" spans="1:7">
      <c r="A7" s="35">
        <v>124</v>
      </c>
      <c r="B7" s="36" t="s">
        <v>1711</v>
      </c>
      <c r="C7" s="36" t="s">
        <v>4149</v>
      </c>
      <c r="D7" s="35">
        <v>7629</v>
      </c>
      <c r="E7" s="36" t="s">
        <v>5269</v>
      </c>
      <c r="F7" s="35" t="s">
        <v>5288</v>
      </c>
      <c r="G7" s="35" t="s">
        <v>5289</v>
      </c>
    </row>
    <row r="8" spans="1:7">
      <c r="A8" s="35">
        <v>126</v>
      </c>
      <c r="B8" s="36" t="s">
        <v>1712</v>
      </c>
      <c r="C8" s="36" t="s">
        <v>4147</v>
      </c>
      <c r="D8" s="35">
        <v>7629</v>
      </c>
      <c r="E8" s="36" t="s">
        <v>5269</v>
      </c>
      <c r="F8" s="35" t="s">
        <v>5290</v>
      </c>
      <c r="G8" s="35" t="s">
        <v>5291</v>
      </c>
    </row>
    <row r="9" spans="1:7">
      <c r="A9" s="35">
        <v>126</v>
      </c>
      <c r="B9" s="36" t="s">
        <v>1714</v>
      </c>
      <c r="C9" s="36" t="s">
        <v>4150</v>
      </c>
      <c r="D9" s="35">
        <v>7629</v>
      </c>
      <c r="E9" s="36" t="s">
        <v>5269</v>
      </c>
      <c r="F9" s="35" t="s">
        <v>5292</v>
      </c>
      <c r="G9" s="35" t="s">
        <v>5293</v>
      </c>
    </row>
    <row r="10" spans="1:7">
      <c r="A10" s="35">
        <v>132</v>
      </c>
      <c r="B10" s="36" t="s">
        <v>1718</v>
      </c>
      <c r="C10" s="36" t="s">
        <v>4151</v>
      </c>
      <c r="D10" s="35">
        <v>7629</v>
      </c>
      <c r="E10" s="36" t="s">
        <v>5269</v>
      </c>
      <c r="F10" s="35" t="s">
        <v>5296</v>
      </c>
      <c r="G10" s="35" t="s">
        <v>5297</v>
      </c>
    </row>
    <row r="11" spans="1:7">
      <c r="A11" s="35">
        <v>133</v>
      </c>
      <c r="B11" s="36" t="s">
        <v>1719</v>
      </c>
      <c r="C11" s="36" t="s">
        <v>4152</v>
      </c>
      <c r="D11" s="35">
        <v>7629</v>
      </c>
      <c r="E11" s="36" t="s">
        <v>5269</v>
      </c>
      <c r="F11" s="35" t="s">
        <v>5296</v>
      </c>
      <c r="G11" s="35" t="s">
        <v>5297</v>
      </c>
    </row>
    <row r="12" spans="1:7">
      <c r="A12" s="35">
        <v>154</v>
      </c>
      <c r="B12" s="36" t="s">
        <v>2878</v>
      </c>
      <c r="C12" s="36" t="s">
        <v>4154</v>
      </c>
      <c r="D12" s="35">
        <v>7629</v>
      </c>
      <c r="E12" s="36" t="s">
        <v>5269</v>
      </c>
      <c r="F12" s="35" t="s">
        <v>5300</v>
      </c>
      <c r="G12" s="35" t="s">
        <v>5301</v>
      </c>
    </row>
    <row r="13" spans="1:7">
      <c r="A13" s="35">
        <v>166</v>
      </c>
      <c r="B13" s="36" t="s">
        <v>1724</v>
      </c>
      <c r="C13" s="36" t="s">
        <v>4155</v>
      </c>
      <c r="D13" s="35">
        <v>7629</v>
      </c>
      <c r="E13" s="36" t="s">
        <v>5269</v>
      </c>
      <c r="F13" s="35" t="s">
        <v>5296</v>
      </c>
      <c r="G13" s="35" t="s">
        <v>5297</v>
      </c>
    </row>
    <row r="14" spans="1:7">
      <c r="A14" s="35">
        <v>167</v>
      </c>
      <c r="B14" s="36" t="s">
        <v>1725</v>
      </c>
      <c r="C14" s="36" t="s">
        <v>4156</v>
      </c>
      <c r="D14" s="35">
        <v>7629</v>
      </c>
      <c r="E14" s="36" t="s">
        <v>5269</v>
      </c>
      <c r="F14" s="35" t="s">
        <v>5296</v>
      </c>
      <c r="G14" s="35" t="s">
        <v>5297</v>
      </c>
    </row>
    <row r="15" spans="1:7">
      <c r="A15" s="35">
        <v>169</v>
      </c>
      <c r="B15" s="36" t="s">
        <v>1726</v>
      </c>
      <c r="C15" s="36" t="s">
        <v>4157</v>
      </c>
      <c r="D15" s="35">
        <v>7629</v>
      </c>
      <c r="E15" s="36" t="s">
        <v>5269</v>
      </c>
      <c r="F15" s="35" t="s">
        <v>5302</v>
      </c>
      <c r="G15" s="35" t="s">
        <v>5303</v>
      </c>
    </row>
    <row r="16" spans="1:7">
      <c r="A16" s="35">
        <v>170</v>
      </c>
      <c r="B16" s="36" t="s">
        <v>1727</v>
      </c>
      <c r="C16" s="36" t="s">
        <v>4158</v>
      </c>
      <c r="D16" s="35">
        <v>7629</v>
      </c>
      <c r="E16" s="36" t="s">
        <v>5269</v>
      </c>
      <c r="F16" s="35" t="s">
        <v>5304</v>
      </c>
      <c r="G16" s="35" t="s">
        <v>5305</v>
      </c>
    </row>
    <row r="17" spans="1:7">
      <c r="A17" s="35">
        <v>170</v>
      </c>
      <c r="B17" s="36" t="s">
        <v>2917</v>
      </c>
      <c r="C17" s="36" t="s">
        <v>4159</v>
      </c>
      <c r="D17" s="35">
        <v>7629</v>
      </c>
      <c r="E17" s="36" t="s">
        <v>5269</v>
      </c>
      <c r="F17" s="35" t="s">
        <v>5304</v>
      </c>
      <c r="G17" s="35" t="s">
        <v>5305</v>
      </c>
    </row>
    <row r="18" spans="1:7">
      <c r="A18" s="35">
        <v>171</v>
      </c>
      <c r="B18" s="36" t="s">
        <v>2915</v>
      </c>
      <c r="C18" s="36" t="s">
        <v>4160</v>
      </c>
      <c r="D18" s="35">
        <v>7629</v>
      </c>
      <c r="E18" s="36" t="s">
        <v>5269</v>
      </c>
      <c r="F18" s="35" t="s">
        <v>5306</v>
      </c>
      <c r="G18" s="35" t="s">
        <v>5307</v>
      </c>
    </row>
    <row r="19" spans="1:7">
      <c r="A19" s="35">
        <v>172</v>
      </c>
      <c r="B19" s="36" t="s">
        <v>1728</v>
      </c>
      <c r="C19" s="36" t="s">
        <v>4161</v>
      </c>
      <c r="D19" s="35">
        <v>7629</v>
      </c>
      <c r="E19" s="36" t="s">
        <v>5269</v>
      </c>
      <c r="F19" s="35" t="s">
        <v>5308</v>
      </c>
      <c r="G19" s="35" t="s">
        <v>5309</v>
      </c>
    </row>
    <row r="20" spans="1:7">
      <c r="A20" s="35">
        <v>172</v>
      </c>
      <c r="B20" s="36" t="s">
        <v>2911</v>
      </c>
      <c r="C20" s="36" t="s">
        <v>4162</v>
      </c>
      <c r="D20" s="35">
        <v>7629</v>
      </c>
      <c r="E20" s="36" t="s">
        <v>5269</v>
      </c>
      <c r="F20" s="35" t="s">
        <v>5304</v>
      </c>
      <c r="G20" s="35" t="s">
        <v>5305</v>
      </c>
    </row>
    <row r="21" spans="1:7">
      <c r="A21" s="35">
        <v>173</v>
      </c>
      <c r="B21" s="36" t="s">
        <v>1729</v>
      </c>
      <c r="C21" s="36" t="s">
        <v>4163</v>
      </c>
      <c r="D21" s="35">
        <v>7629</v>
      </c>
      <c r="E21" s="36" t="s">
        <v>5269</v>
      </c>
      <c r="F21" s="35" t="s">
        <v>5304</v>
      </c>
      <c r="G21" s="35" t="s">
        <v>5305</v>
      </c>
    </row>
    <row r="22" spans="1:7">
      <c r="A22" s="35">
        <v>174</v>
      </c>
      <c r="B22" s="36" t="s">
        <v>1730</v>
      </c>
      <c r="C22" s="36" t="s">
        <v>4164</v>
      </c>
      <c r="D22" s="35">
        <v>7629</v>
      </c>
      <c r="E22" s="36" t="s">
        <v>5269</v>
      </c>
      <c r="F22" s="35" t="s">
        <v>5310</v>
      </c>
      <c r="G22" s="35" t="s">
        <v>5311</v>
      </c>
    </row>
    <row r="23" spans="1:7">
      <c r="A23" s="35">
        <v>184</v>
      </c>
      <c r="B23" s="36" t="s">
        <v>1601</v>
      </c>
      <c r="C23" s="36" t="s">
        <v>4165</v>
      </c>
      <c r="D23" s="35">
        <v>7629</v>
      </c>
      <c r="E23" s="36" t="s">
        <v>5269</v>
      </c>
      <c r="F23" s="35" t="s">
        <v>5312</v>
      </c>
      <c r="G23" s="35" t="s">
        <v>5313</v>
      </c>
    </row>
    <row r="24" spans="1:7">
      <c r="A24" s="35">
        <v>185</v>
      </c>
      <c r="B24" s="36" t="s">
        <v>1602</v>
      </c>
      <c r="C24" s="36" t="s">
        <v>4166</v>
      </c>
      <c r="D24" s="35">
        <v>7629</v>
      </c>
      <c r="E24" s="36" t="s">
        <v>5269</v>
      </c>
      <c r="F24" s="35" t="s">
        <v>5312</v>
      </c>
      <c r="G24" s="35" t="s">
        <v>5313</v>
      </c>
    </row>
    <row r="25" spans="1:7">
      <c r="A25" s="35">
        <v>186</v>
      </c>
      <c r="B25" s="36" t="s">
        <v>1606</v>
      </c>
      <c r="C25" s="36" t="s">
        <v>4167</v>
      </c>
      <c r="D25" s="35">
        <v>7629</v>
      </c>
      <c r="E25" s="36" t="s">
        <v>5269</v>
      </c>
      <c r="F25" s="35" t="s">
        <v>5314</v>
      </c>
      <c r="G25" s="35" t="s">
        <v>5315</v>
      </c>
    </row>
    <row r="26" spans="1:7">
      <c r="A26" s="35">
        <v>187</v>
      </c>
      <c r="B26" s="36" t="s">
        <v>1607</v>
      </c>
      <c r="C26" s="36" t="s">
        <v>4168</v>
      </c>
      <c r="D26" s="35">
        <v>7629</v>
      </c>
      <c r="E26" s="36" t="s">
        <v>5269</v>
      </c>
      <c r="F26" s="35" t="s">
        <v>5316</v>
      </c>
      <c r="G26" s="35" t="s">
        <v>5317</v>
      </c>
    </row>
    <row r="27" spans="1:7">
      <c r="A27" s="35">
        <v>189</v>
      </c>
      <c r="B27" s="36" t="s">
        <v>1608</v>
      </c>
      <c r="C27" s="36" t="s">
        <v>4169</v>
      </c>
      <c r="D27" s="35">
        <v>7629</v>
      </c>
      <c r="E27" s="36" t="s">
        <v>5269</v>
      </c>
      <c r="F27" s="35" t="s">
        <v>5312</v>
      </c>
      <c r="G27" s="35" t="s">
        <v>5313</v>
      </c>
    </row>
    <row r="28" spans="1:7">
      <c r="A28" s="35">
        <v>192</v>
      </c>
      <c r="B28" s="36" t="s">
        <v>1609</v>
      </c>
      <c r="C28" s="36" t="s">
        <v>4170</v>
      </c>
      <c r="D28" s="35">
        <v>7629</v>
      </c>
      <c r="E28" s="36" t="s">
        <v>5269</v>
      </c>
      <c r="F28" s="35" t="s">
        <v>5312</v>
      </c>
      <c r="G28" s="35" t="s">
        <v>5313</v>
      </c>
    </row>
    <row r="29" spans="1:7">
      <c r="A29" s="35">
        <v>193</v>
      </c>
      <c r="B29" s="36" t="s">
        <v>1610</v>
      </c>
      <c r="C29" s="36" t="s">
        <v>4171</v>
      </c>
      <c r="D29" s="35">
        <v>7629</v>
      </c>
      <c r="E29" s="36" t="s">
        <v>5269</v>
      </c>
      <c r="F29" s="35" t="s">
        <v>5318</v>
      </c>
      <c r="G29" s="35" t="s">
        <v>5319</v>
      </c>
    </row>
    <row r="30" spans="1:7">
      <c r="A30" s="35">
        <v>194</v>
      </c>
      <c r="B30" s="36" t="s">
        <v>1611</v>
      </c>
      <c r="C30" s="36" t="s">
        <v>4172</v>
      </c>
      <c r="D30" s="35">
        <v>7629</v>
      </c>
      <c r="E30" s="36" t="s">
        <v>5269</v>
      </c>
      <c r="F30" s="35" t="s">
        <v>5320</v>
      </c>
      <c r="G30" s="35" t="s">
        <v>5321</v>
      </c>
    </row>
    <row r="31" spans="1:7">
      <c r="A31" s="35">
        <v>217</v>
      </c>
      <c r="B31" s="36" t="s">
        <v>1732</v>
      </c>
      <c r="C31" s="36" t="s">
        <v>4173</v>
      </c>
      <c r="D31" s="35">
        <v>7629</v>
      </c>
      <c r="E31" s="36" t="s">
        <v>5269</v>
      </c>
      <c r="F31" s="35" t="s">
        <v>5322</v>
      </c>
      <c r="G31" s="35" t="s">
        <v>5323</v>
      </c>
    </row>
    <row r="32" spans="1:7">
      <c r="A32" s="35">
        <v>218</v>
      </c>
      <c r="B32" s="36" t="s">
        <v>1733</v>
      </c>
      <c r="C32" s="36" t="s">
        <v>4174</v>
      </c>
      <c r="D32" s="35">
        <v>7629</v>
      </c>
      <c r="E32" s="36" t="s">
        <v>5269</v>
      </c>
      <c r="F32" s="35" t="s">
        <v>5320</v>
      </c>
      <c r="G32" s="35" t="s">
        <v>5321</v>
      </c>
    </row>
    <row r="33" spans="1:7">
      <c r="A33" s="35">
        <v>220</v>
      </c>
      <c r="B33" s="36" t="s">
        <v>1737</v>
      </c>
      <c r="C33" s="36" t="s">
        <v>4175</v>
      </c>
      <c r="D33" s="35">
        <v>7629</v>
      </c>
      <c r="E33" s="36" t="s">
        <v>5269</v>
      </c>
      <c r="F33" s="35" t="s">
        <v>5322</v>
      </c>
      <c r="G33" s="35" t="s">
        <v>5323</v>
      </c>
    </row>
    <row r="34" spans="1:7">
      <c r="A34" s="35">
        <v>223</v>
      </c>
      <c r="B34" s="36" t="s">
        <v>1740</v>
      </c>
      <c r="C34" s="36" t="s">
        <v>4176</v>
      </c>
      <c r="D34" s="35">
        <v>7629</v>
      </c>
      <c r="E34" s="36" t="s">
        <v>5269</v>
      </c>
      <c r="F34" s="35" t="s">
        <v>5322</v>
      </c>
      <c r="G34" s="35" t="s">
        <v>5323</v>
      </c>
    </row>
    <row r="35" spans="1:7">
      <c r="A35" s="35">
        <v>227</v>
      </c>
      <c r="B35" s="36" t="s">
        <v>1738</v>
      </c>
      <c r="C35" s="36" t="s">
        <v>4177</v>
      </c>
      <c r="D35" s="35">
        <v>7629</v>
      </c>
      <c r="E35" s="36" t="s">
        <v>5269</v>
      </c>
      <c r="F35" s="35" t="s">
        <v>5322</v>
      </c>
      <c r="G35" s="35" t="s">
        <v>5323</v>
      </c>
    </row>
    <row r="36" spans="1:7">
      <c r="A36" s="35">
        <v>228</v>
      </c>
      <c r="B36" s="36" t="s">
        <v>1739</v>
      </c>
      <c r="C36" s="36" t="s">
        <v>4178</v>
      </c>
      <c r="D36" s="35">
        <v>7629</v>
      </c>
      <c r="E36" s="36" t="s">
        <v>5269</v>
      </c>
      <c r="F36" s="35" t="s">
        <v>5324</v>
      </c>
      <c r="G36" s="35" t="s">
        <v>5325</v>
      </c>
    </row>
    <row r="37" spans="1:7">
      <c r="A37" s="35">
        <v>253</v>
      </c>
      <c r="B37" s="36" t="s">
        <v>2909</v>
      </c>
      <c r="C37" s="36" t="s">
        <v>4179</v>
      </c>
      <c r="D37" s="35">
        <v>7629</v>
      </c>
      <c r="E37" s="36" t="s">
        <v>5269</v>
      </c>
      <c r="F37" s="35" t="s">
        <v>5324</v>
      </c>
      <c r="G37" s="35" t="s">
        <v>5325</v>
      </c>
    </row>
    <row r="38" spans="1:7">
      <c r="A38" s="35">
        <v>254</v>
      </c>
      <c r="B38" s="36" t="s">
        <v>2907</v>
      </c>
      <c r="C38" s="36" t="s">
        <v>4180</v>
      </c>
      <c r="D38" s="35">
        <v>7629</v>
      </c>
      <c r="E38" s="36" t="s">
        <v>5269</v>
      </c>
      <c r="F38" s="35" t="s">
        <v>5326</v>
      </c>
      <c r="G38" s="35" t="s">
        <v>5327</v>
      </c>
    </row>
    <row r="39" spans="1:7">
      <c r="A39" s="35">
        <v>255</v>
      </c>
      <c r="B39" s="36" t="s">
        <v>2903</v>
      </c>
      <c r="C39" s="36" t="s">
        <v>4181</v>
      </c>
      <c r="D39" s="35">
        <v>7629</v>
      </c>
      <c r="E39" s="36" t="s">
        <v>5269</v>
      </c>
      <c r="F39" s="35" t="s">
        <v>5328</v>
      </c>
      <c r="G39" s="35" t="s">
        <v>5329</v>
      </c>
    </row>
    <row r="40" spans="1:7">
      <c r="A40" s="35">
        <v>277</v>
      </c>
      <c r="B40" s="36" t="s">
        <v>2760</v>
      </c>
      <c r="C40" s="36" t="s">
        <v>4185</v>
      </c>
      <c r="D40" s="35">
        <v>7629</v>
      </c>
      <c r="E40" s="36" t="s">
        <v>5269</v>
      </c>
      <c r="F40" s="35" t="s">
        <v>5332</v>
      </c>
      <c r="G40" s="35" t="s">
        <v>5333</v>
      </c>
    </row>
    <row r="41" spans="1:7">
      <c r="A41" s="35">
        <v>277</v>
      </c>
      <c r="B41" s="36" t="s">
        <v>2918</v>
      </c>
      <c r="C41" s="36" t="s">
        <v>4186</v>
      </c>
      <c r="D41" s="35">
        <v>7629</v>
      </c>
      <c r="E41" s="36" t="s">
        <v>5269</v>
      </c>
      <c r="F41" s="35" t="s">
        <v>5330</v>
      </c>
      <c r="G41" s="35" t="s">
        <v>5331</v>
      </c>
    </row>
    <row r="42" spans="1:7">
      <c r="A42" s="35">
        <v>278</v>
      </c>
      <c r="B42" s="36" t="s">
        <v>2762</v>
      </c>
      <c r="C42" s="36" t="s">
        <v>4187</v>
      </c>
      <c r="D42" s="35">
        <v>7629</v>
      </c>
      <c r="E42" s="36" t="s">
        <v>5269</v>
      </c>
      <c r="F42" s="35" t="s">
        <v>5330</v>
      </c>
      <c r="G42" s="35" t="s">
        <v>5331</v>
      </c>
    </row>
    <row r="43" spans="1:7">
      <c r="A43" s="35">
        <v>278</v>
      </c>
      <c r="B43" s="36" t="s">
        <v>2919</v>
      </c>
      <c r="C43" s="36" t="s">
        <v>4188</v>
      </c>
      <c r="D43" s="35">
        <v>7629</v>
      </c>
      <c r="E43" s="36" t="s">
        <v>5269</v>
      </c>
      <c r="F43" s="35" t="s">
        <v>5334</v>
      </c>
      <c r="G43" s="35" t="s">
        <v>5335</v>
      </c>
    </row>
    <row r="44" spans="1:7">
      <c r="A44" s="35">
        <v>279</v>
      </c>
      <c r="B44" s="36" t="s">
        <v>2764</v>
      </c>
      <c r="C44" s="36" t="s">
        <v>4189</v>
      </c>
      <c r="D44" s="35">
        <v>7629</v>
      </c>
      <c r="E44" s="36" t="s">
        <v>5269</v>
      </c>
      <c r="F44" s="35" t="s">
        <v>5332</v>
      </c>
      <c r="G44" s="35" t="s">
        <v>5333</v>
      </c>
    </row>
    <row r="45" spans="1:7">
      <c r="A45" s="35">
        <v>279</v>
      </c>
      <c r="B45" s="36" t="s">
        <v>2920</v>
      </c>
      <c r="C45" s="36" t="s">
        <v>4190</v>
      </c>
      <c r="D45" s="35">
        <v>7629</v>
      </c>
      <c r="E45" s="36" t="s">
        <v>5269</v>
      </c>
      <c r="F45" s="35" t="s">
        <v>5336</v>
      </c>
      <c r="G45" s="35" t="s">
        <v>5337</v>
      </c>
    </row>
    <row r="46" spans="1:7">
      <c r="A46" s="35">
        <v>280</v>
      </c>
      <c r="B46" s="36" t="s">
        <v>2766</v>
      </c>
      <c r="C46" s="36" t="s">
        <v>4191</v>
      </c>
      <c r="D46" s="35">
        <v>7629</v>
      </c>
      <c r="E46" s="36" t="s">
        <v>5269</v>
      </c>
      <c r="F46" s="35" t="s">
        <v>5338</v>
      </c>
      <c r="G46" s="35" t="s">
        <v>5339</v>
      </c>
    </row>
    <row r="47" spans="1:7">
      <c r="A47" s="35">
        <v>280</v>
      </c>
      <c r="B47" s="36" t="s">
        <v>2921</v>
      </c>
      <c r="C47" s="36" t="s">
        <v>4192</v>
      </c>
      <c r="D47" s="35">
        <v>7629</v>
      </c>
      <c r="E47" s="36" t="s">
        <v>5269</v>
      </c>
      <c r="F47" s="35" t="s">
        <v>5336</v>
      </c>
      <c r="G47" s="35" t="s">
        <v>5337</v>
      </c>
    </row>
    <row r="48" spans="1:7">
      <c r="A48" s="35">
        <v>281</v>
      </c>
      <c r="B48" s="36" t="s">
        <v>2768</v>
      </c>
      <c r="C48" s="36" t="s">
        <v>4193</v>
      </c>
      <c r="D48" s="35">
        <v>7629</v>
      </c>
      <c r="E48" s="36" t="s">
        <v>5269</v>
      </c>
      <c r="F48" s="35" t="s">
        <v>5338</v>
      </c>
      <c r="G48" s="35" t="s">
        <v>5339</v>
      </c>
    </row>
    <row r="49" spans="1:7">
      <c r="A49" s="35">
        <v>281</v>
      </c>
      <c r="B49" s="36" t="s">
        <v>2922</v>
      </c>
      <c r="C49" s="36" t="s">
        <v>4194</v>
      </c>
      <c r="D49" s="35">
        <v>7629</v>
      </c>
      <c r="E49" s="36" t="s">
        <v>5269</v>
      </c>
      <c r="F49" s="35" t="s">
        <v>5340</v>
      </c>
      <c r="G49" s="35" t="s">
        <v>5341</v>
      </c>
    </row>
    <row r="50" spans="1:7">
      <c r="A50" s="35">
        <v>282</v>
      </c>
      <c r="B50" s="36" t="s">
        <v>2770</v>
      </c>
      <c r="C50" s="36" t="s">
        <v>4195</v>
      </c>
      <c r="D50" s="35">
        <v>7629</v>
      </c>
      <c r="E50" s="36" t="s">
        <v>5269</v>
      </c>
      <c r="F50" s="35" t="s">
        <v>5342</v>
      </c>
      <c r="G50" s="35" t="s">
        <v>5343</v>
      </c>
    </row>
    <row r="51" spans="1:7">
      <c r="A51" s="35">
        <v>282</v>
      </c>
      <c r="B51" s="36" t="s">
        <v>2923</v>
      </c>
      <c r="C51" s="36" t="s">
        <v>4196</v>
      </c>
      <c r="D51" s="35">
        <v>7629</v>
      </c>
      <c r="E51" s="36" t="s">
        <v>5269</v>
      </c>
      <c r="F51" s="35" t="s">
        <v>5338</v>
      </c>
      <c r="G51" s="35" t="s">
        <v>5339</v>
      </c>
    </row>
    <row r="52" spans="1:7">
      <c r="A52" s="35">
        <v>283</v>
      </c>
      <c r="B52" s="36" t="s">
        <v>2772</v>
      </c>
      <c r="C52" s="36" t="s">
        <v>4197</v>
      </c>
      <c r="D52" s="35">
        <v>7629</v>
      </c>
      <c r="E52" s="36" t="s">
        <v>5269</v>
      </c>
      <c r="F52" s="35" t="s">
        <v>5338</v>
      </c>
      <c r="G52" s="35" t="s">
        <v>5339</v>
      </c>
    </row>
    <row r="53" spans="1:7">
      <c r="A53" s="35">
        <v>283</v>
      </c>
      <c r="B53" s="36" t="s">
        <v>2924</v>
      </c>
      <c r="C53" s="36" t="s">
        <v>4198</v>
      </c>
      <c r="D53" s="35">
        <v>7629</v>
      </c>
      <c r="E53" s="36" t="s">
        <v>5269</v>
      </c>
      <c r="F53" s="35" t="s">
        <v>5342</v>
      </c>
      <c r="G53" s="35" t="s">
        <v>5343</v>
      </c>
    </row>
    <row r="54" spans="1:7">
      <c r="A54" s="35">
        <v>284</v>
      </c>
      <c r="B54" s="36" t="s">
        <v>2790</v>
      </c>
      <c r="C54" s="36" t="s">
        <v>4199</v>
      </c>
      <c r="D54" s="35">
        <v>7629</v>
      </c>
      <c r="E54" s="36" t="s">
        <v>5269</v>
      </c>
      <c r="F54" s="35" t="s">
        <v>5344</v>
      </c>
      <c r="G54" s="35" t="s">
        <v>5345</v>
      </c>
    </row>
    <row r="55" spans="1:7">
      <c r="A55" s="35">
        <v>284</v>
      </c>
      <c r="B55" s="36" t="s">
        <v>2925</v>
      </c>
      <c r="C55" s="36" t="s">
        <v>4200</v>
      </c>
      <c r="D55" s="35">
        <v>7629</v>
      </c>
      <c r="E55" s="36" t="s">
        <v>5269</v>
      </c>
      <c r="F55" s="35" t="s">
        <v>5344</v>
      </c>
      <c r="G55" s="35" t="s">
        <v>5345</v>
      </c>
    </row>
    <row r="56" spans="1:7">
      <c r="A56" s="35">
        <v>285</v>
      </c>
      <c r="B56" s="36" t="s">
        <v>2774</v>
      </c>
      <c r="C56" s="36" t="s">
        <v>4201</v>
      </c>
      <c r="D56" s="35">
        <v>7629</v>
      </c>
      <c r="E56" s="36" t="s">
        <v>5269</v>
      </c>
      <c r="F56" s="35" t="s">
        <v>5344</v>
      </c>
      <c r="G56" s="35" t="s">
        <v>5345</v>
      </c>
    </row>
    <row r="57" spans="1:7">
      <c r="A57" s="35">
        <v>285</v>
      </c>
      <c r="B57" s="36" t="s">
        <v>2926</v>
      </c>
      <c r="C57" s="36" t="s">
        <v>4202</v>
      </c>
      <c r="D57" s="35">
        <v>7629</v>
      </c>
      <c r="E57" s="36" t="s">
        <v>5269</v>
      </c>
      <c r="F57" s="35" t="s">
        <v>5346</v>
      </c>
      <c r="G57" s="35" t="s">
        <v>5347</v>
      </c>
    </row>
    <row r="58" spans="1:7">
      <c r="A58" s="35">
        <v>286</v>
      </c>
      <c r="B58" s="36" t="s">
        <v>2776</v>
      </c>
      <c r="C58" s="36" t="s">
        <v>4203</v>
      </c>
      <c r="D58" s="35">
        <v>7629</v>
      </c>
      <c r="E58" s="36" t="s">
        <v>5269</v>
      </c>
      <c r="F58" s="35" t="s">
        <v>5344</v>
      </c>
      <c r="G58" s="35" t="s">
        <v>5345</v>
      </c>
    </row>
    <row r="59" spans="1:7">
      <c r="A59" s="35">
        <v>286</v>
      </c>
      <c r="B59" s="36" t="s">
        <v>2927</v>
      </c>
      <c r="C59" s="36" t="s">
        <v>4204</v>
      </c>
      <c r="D59" s="35">
        <v>7629</v>
      </c>
      <c r="E59" s="36" t="s">
        <v>5269</v>
      </c>
      <c r="F59" s="35" t="s">
        <v>5344</v>
      </c>
      <c r="G59" s="35" t="s">
        <v>5345</v>
      </c>
    </row>
    <row r="60" spans="1:7">
      <c r="A60" s="35">
        <v>290</v>
      </c>
      <c r="B60" s="36" t="s">
        <v>2778</v>
      </c>
      <c r="C60" s="36" t="s">
        <v>4205</v>
      </c>
      <c r="D60" s="35">
        <v>7629</v>
      </c>
      <c r="E60" s="36" t="s">
        <v>5269</v>
      </c>
      <c r="F60" s="35" t="s">
        <v>5344</v>
      </c>
      <c r="G60" s="35" t="s">
        <v>5345</v>
      </c>
    </row>
    <row r="61" spans="1:7">
      <c r="A61" s="35">
        <v>290</v>
      </c>
      <c r="B61" s="36" t="s">
        <v>2932</v>
      </c>
      <c r="C61" s="36" t="s">
        <v>4206</v>
      </c>
      <c r="D61" s="35">
        <v>7629</v>
      </c>
      <c r="E61" s="36" t="s">
        <v>5269</v>
      </c>
      <c r="F61" s="35" t="s">
        <v>5346</v>
      </c>
      <c r="G61" s="35" t="s">
        <v>5347</v>
      </c>
    </row>
    <row r="62" spans="1:7">
      <c r="A62" s="35">
        <v>291</v>
      </c>
      <c r="B62" s="36" t="s">
        <v>2780</v>
      </c>
      <c r="C62" s="36" t="s">
        <v>4207</v>
      </c>
      <c r="D62" s="35">
        <v>7629</v>
      </c>
      <c r="E62" s="36" t="s">
        <v>5269</v>
      </c>
      <c r="F62" s="35" t="s">
        <v>5348</v>
      </c>
      <c r="G62" s="35" t="s">
        <v>5349</v>
      </c>
    </row>
    <row r="63" spans="1:7">
      <c r="A63" s="35">
        <v>291</v>
      </c>
      <c r="B63" s="36" t="s">
        <v>2933</v>
      </c>
      <c r="C63" s="36" t="s">
        <v>4208</v>
      </c>
      <c r="D63" s="35">
        <v>7629</v>
      </c>
      <c r="E63" s="36" t="s">
        <v>5269</v>
      </c>
      <c r="F63" s="35" t="s">
        <v>5350</v>
      </c>
      <c r="G63" s="35" t="s">
        <v>5351</v>
      </c>
    </row>
    <row r="64" spans="1:7">
      <c r="A64" s="35">
        <v>294</v>
      </c>
      <c r="B64" s="36" t="s">
        <v>2782</v>
      </c>
      <c r="C64" s="36" t="s">
        <v>4209</v>
      </c>
      <c r="D64" s="35">
        <v>7629</v>
      </c>
      <c r="E64" s="36" t="s">
        <v>5269</v>
      </c>
      <c r="F64" s="35" t="s">
        <v>5348</v>
      </c>
      <c r="G64" s="35" t="s">
        <v>5349</v>
      </c>
    </row>
    <row r="65" spans="1:7">
      <c r="A65" s="35">
        <v>294</v>
      </c>
      <c r="B65" s="36" t="s">
        <v>2931</v>
      </c>
      <c r="C65" s="36" t="s">
        <v>4210</v>
      </c>
      <c r="D65" s="35">
        <v>7629</v>
      </c>
      <c r="E65" s="36" t="s">
        <v>5269</v>
      </c>
      <c r="F65" s="35" t="s">
        <v>5348</v>
      </c>
      <c r="G65" s="35" t="s">
        <v>5349</v>
      </c>
    </row>
    <row r="66" spans="1:7">
      <c r="A66" s="35">
        <v>295</v>
      </c>
      <c r="B66" s="36" t="s">
        <v>2784</v>
      </c>
      <c r="C66" s="36" t="s">
        <v>4211</v>
      </c>
      <c r="D66" s="35">
        <v>7629</v>
      </c>
      <c r="E66" s="36" t="s">
        <v>5269</v>
      </c>
      <c r="F66" s="35" t="s">
        <v>5348</v>
      </c>
      <c r="G66" s="35" t="s">
        <v>5349</v>
      </c>
    </row>
    <row r="67" spans="1:7">
      <c r="A67" s="35">
        <v>295</v>
      </c>
      <c r="B67" s="36" t="s">
        <v>2930</v>
      </c>
      <c r="C67" s="36" t="s">
        <v>4212</v>
      </c>
      <c r="D67" s="35">
        <v>7629</v>
      </c>
      <c r="E67" s="36" t="s">
        <v>5269</v>
      </c>
      <c r="F67" s="35" t="s">
        <v>5350</v>
      </c>
      <c r="G67" s="35" t="s">
        <v>5351</v>
      </c>
    </row>
    <row r="68" spans="1:7">
      <c r="A68" s="35">
        <v>296</v>
      </c>
      <c r="B68" s="36" t="s">
        <v>2786</v>
      </c>
      <c r="C68" s="36" t="s">
        <v>4213</v>
      </c>
      <c r="D68" s="35">
        <v>7629</v>
      </c>
      <c r="E68" s="36" t="s">
        <v>5269</v>
      </c>
      <c r="F68" s="35" t="s">
        <v>5348</v>
      </c>
      <c r="G68" s="35" t="s">
        <v>5349</v>
      </c>
    </row>
    <row r="69" spans="1:7">
      <c r="A69" s="35">
        <v>296</v>
      </c>
      <c r="B69" s="36" t="s">
        <v>2928</v>
      </c>
      <c r="C69" s="36" t="s">
        <v>4214</v>
      </c>
      <c r="D69" s="35">
        <v>7629</v>
      </c>
      <c r="E69" s="36" t="s">
        <v>5269</v>
      </c>
      <c r="F69" s="35" t="s">
        <v>5352</v>
      </c>
      <c r="G69" s="35" t="s">
        <v>5353</v>
      </c>
    </row>
    <row r="70" spans="1:7">
      <c r="A70" s="35">
        <v>297</v>
      </c>
      <c r="B70" s="36" t="s">
        <v>2788</v>
      </c>
      <c r="C70" s="36" t="s">
        <v>4215</v>
      </c>
      <c r="D70" s="35">
        <v>7629</v>
      </c>
      <c r="E70" s="36" t="s">
        <v>5269</v>
      </c>
      <c r="F70" s="35" t="s">
        <v>5352</v>
      </c>
      <c r="G70" s="35" t="s">
        <v>5353</v>
      </c>
    </row>
    <row r="71" spans="1:7">
      <c r="A71" s="35">
        <v>297</v>
      </c>
      <c r="B71" s="36" t="s">
        <v>2929</v>
      </c>
      <c r="C71" s="36" t="s">
        <v>4216</v>
      </c>
      <c r="D71" s="35">
        <v>7629</v>
      </c>
      <c r="E71" s="36" t="s">
        <v>5269</v>
      </c>
      <c r="F71" s="35" t="s">
        <v>5352</v>
      </c>
      <c r="G71" s="35" t="s">
        <v>5353</v>
      </c>
    </row>
    <row r="72" spans="1:7">
      <c r="A72" s="35">
        <v>300</v>
      </c>
      <c r="B72" s="36" t="s">
        <v>1744</v>
      </c>
      <c r="C72" s="36" t="s">
        <v>4218</v>
      </c>
      <c r="D72" s="35">
        <v>7629</v>
      </c>
      <c r="E72" s="36" t="s">
        <v>5269</v>
      </c>
      <c r="F72" s="35" t="s">
        <v>5352</v>
      </c>
      <c r="G72" s="35" t="s">
        <v>5353</v>
      </c>
    </row>
    <row r="73" spans="1:7">
      <c r="A73" s="35">
        <v>302</v>
      </c>
      <c r="B73" s="36" t="s">
        <v>1746</v>
      </c>
      <c r="C73" s="36" t="s">
        <v>4220</v>
      </c>
      <c r="D73" s="35">
        <v>7629</v>
      </c>
      <c r="E73" s="36" t="s">
        <v>5269</v>
      </c>
      <c r="F73" s="35" t="s">
        <v>5354</v>
      </c>
      <c r="G73" s="35" t="s">
        <v>5355</v>
      </c>
    </row>
    <row r="74" spans="1:7">
      <c r="A74" s="35">
        <v>305</v>
      </c>
      <c r="B74" s="36" t="s">
        <v>1748</v>
      </c>
      <c r="C74" s="36" t="s">
        <v>4222</v>
      </c>
      <c r="D74" s="35">
        <v>7629</v>
      </c>
      <c r="E74" s="36" t="s">
        <v>5269</v>
      </c>
      <c r="F74" s="35" t="s">
        <v>5354</v>
      </c>
      <c r="G74" s="35" t="s">
        <v>5355</v>
      </c>
    </row>
    <row r="75" spans="1:7">
      <c r="A75" s="35">
        <v>312</v>
      </c>
      <c r="B75" s="36" t="s">
        <v>2881</v>
      </c>
      <c r="C75" s="36" t="s">
        <v>4224</v>
      </c>
      <c r="D75" s="35">
        <v>7629</v>
      </c>
      <c r="E75" s="36" t="s">
        <v>5269</v>
      </c>
      <c r="F75" s="35" t="s">
        <v>5354</v>
      </c>
      <c r="G75" s="35" t="s">
        <v>5355</v>
      </c>
    </row>
    <row r="76" spans="1:7">
      <c r="A76" s="35">
        <v>315</v>
      </c>
      <c r="B76" s="36" t="s">
        <v>2956</v>
      </c>
      <c r="C76" s="36" t="s">
        <v>4225</v>
      </c>
      <c r="D76" s="35">
        <v>7629</v>
      </c>
      <c r="E76" s="36" t="s">
        <v>5269</v>
      </c>
      <c r="F76" s="35" t="s">
        <v>5354</v>
      </c>
      <c r="G76" s="35" t="s">
        <v>5355</v>
      </c>
    </row>
    <row r="77" spans="1:7">
      <c r="A77" s="35">
        <v>343</v>
      </c>
      <c r="B77" s="36" t="s">
        <v>1769</v>
      </c>
      <c r="C77" s="36" t="s">
        <v>4233</v>
      </c>
      <c r="D77" s="35">
        <v>7629</v>
      </c>
      <c r="E77" s="36" t="s">
        <v>5269</v>
      </c>
      <c r="F77" s="35" t="s">
        <v>5358</v>
      </c>
      <c r="G77" s="35" t="s">
        <v>5359</v>
      </c>
    </row>
    <row r="78" spans="1:7">
      <c r="A78" s="35">
        <v>344</v>
      </c>
      <c r="B78" s="36" t="s">
        <v>1766</v>
      </c>
      <c r="C78" s="36" t="s">
        <v>4234</v>
      </c>
      <c r="D78" s="35">
        <v>7629</v>
      </c>
      <c r="E78" s="36" t="s">
        <v>5269</v>
      </c>
      <c r="F78" s="35" t="s">
        <v>5358</v>
      </c>
      <c r="G78" s="35" t="s">
        <v>5359</v>
      </c>
    </row>
    <row r="79" spans="1:7">
      <c r="A79" s="35">
        <v>349</v>
      </c>
      <c r="B79" s="36" t="s">
        <v>1773</v>
      </c>
      <c r="C79" s="36" t="s">
        <v>4237</v>
      </c>
      <c r="D79" s="35">
        <v>7629</v>
      </c>
      <c r="E79" s="36" t="s">
        <v>5269</v>
      </c>
      <c r="F79" s="35" t="s">
        <v>5358</v>
      </c>
      <c r="G79" s="35" t="s">
        <v>5359</v>
      </c>
    </row>
    <row r="80" spans="1:7">
      <c r="A80" s="35">
        <v>349</v>
      </c>
      <c r="B80" s="36" t="s">
        <v>2893</v>
      </c>
      <c r="C80" s="36" t="s">
        <v>4238</v>
      </c>
      <c r="D80" s="35">
        <v>7629</v>
      </c>
      <c r="E80" s="36" t="s">
        <v>5269</v>
      </c>
      <c r="F80" s="35" t="s">
        <v>5360</v>
      </c>
      <c r="G80" s="35" t="s">
        <v>5361</v>
      </c>
    </row>
    <row r="81" spans="1:7">
      <c r="A81" s="35">
        <v>350</v>
      </c>
      <c r="B81" s="36" t="s">
        <v>1774</v>
      </c>
      <c r="C81" s="36" t="s">
        <v>4239</v>
      </c>
      <c r="D81" s="35">
        <v>7629</v>
      </c>
      <c r="E81" s="36" t="s">
        <v>5269</v>
      </c>
      <c r="F81" s="35" t="s">
        <v>5360</v>
      </c>
      <c r="G81" s="35" t="s">
        <v>5361</v>
      </c>
    </row>
    <row r="82" spans="1:7">
      <c r="A82" s="35">
        <v>351</v>
      </c>
      <c r="B82" s="36" t="s">
        <v>1775</v>
      </c>
      <c r="C82" s="36" t="s">
        <v>4240</v>
      </c>
      <c r="D82" s="35">
        <v>7629</v>
      </c>
      <c r="E82" s="36" t="s">
        <v>5269</v>
      </c>
      <c r="F82" s="35" t="s">
        <v>5362</v>
      </c>
      <c r="G82" s="35" t="s">
        <v>5363</v>
      </c>
    </row>
    <row r="83" spans="1:7">
      <c r="A83" s="35">
        <v>352</v>
      </c>
      <c r="B83" s="36" t="s">
        <v>1778</v>
      </c>
      <c r="C83" s="36" t="s">
        <v>4241</v>
      </c>
      <c r="D83" s="35">
        <v>7629</v>
      </c>
      <c r="E83" s="36" t="s">
        <v>5269</v>
      </c>
      <c r="F83" s="35" t="s">
        <v>5364</v>
      </c>
      <c r="G83" s="35" t="s">
        <v>5365</v>
      </c>
    </row>
    <row r="84" spans="1:7">
      <c r="A84" s="35">
        <v>353</v>
      </c>
      <c r="B84" s="36" t="s">
        <v>1779</v>
      </c>
      <c r="C84" s="36" t="s">
        <v>4242</v>
      </c>
      <c r="D84" s="35">
        <v>7629</v>
      </c>
      <c r="E84" s="36" t="s">
        <v>5269</v>
      </c>
      <c r="F84" s="35" t="s">
        <v>5362</v>
      </c>
      <c r="G84" s="35" t="s">
        <v>5363</v>
      </c>
    </row>
    <row r="85" spans="1:7">
      <c r="A85" s="35">
        <v>355</v>
      </c>
      <c r="B85" s="36" t="s">
        <v>1780</v>
      </c>
      <c r="C85" s="36" t="s">
        <v>4241</v>
      </c>
      <c r="D85" s="35">
        <v>7629</v>
      </c>
      <c r="E85" s="36" t="s">
        <v>5269</v>
      </c>
      <c r="F85" s="35" t="s">
        <v>5364</v>
      </c>
      <c r="G85" s="35" t="s">
        <v>5365</v>
      </c>
    </row>
    <row r="86" spans="1:7">
      <c r="A86" s="35">
        <v>372</v>
      </c>
      <c r="B86" s="36" t="s">
        <v>2905</v>
      </c>
      <c r="C86" s="36" t="s">
        <v>4243</v>
      </c>
      <c r="D86" s="35">
        <v>7629</v>
      </c>
      <c r="E86" s="36" t="s">
        <v>5269</v>
      </c>
      <c r="F86" s="35" t="s">
        <v>5360</v>
      </c>
      <c r="G86" s="35" t="s">
        <v>5361</v>
      </c>
    </row>
    <row r="87" spans="1:7">
      <c r="A87" s="35">
        <v>377</v>
      </c>
      <c r="B87" s="36" t="s">
        <v>2913</v>
      </c>
      <c r="C87" s="36" t="s">
        <v>4244</v>
      </c>
      <c r="D87" s="35">
        <v>7629</v>
      </c>
      <c r="E87" s="36" t="s">
        <v>5269</v>
      </c>
      <c r="F87" s="35" t="s">
        <v>5360</v>
      </c>
      <c r="G87" s="35" t="s">
        <v>5361</v>
      </c>
    </row>
    <row r="88" spans="1:7">
      <c r="A88" s="35">
        <v>385</v>
      </c>
      <c r="B88" s="36" t="s">
        <v>2960</v>
      </c>
      <c r="C88" s="36" t="s">
        <v>4245</v>
      </c>
      <c r="D88" s="35">
        <v>7629</v>
      </c>
      <c r="E88" s="36" t="s">
        <v>5269</v>
      </c>
      <c r="F88" s="35" t="s">
        <v>5366</v>
      </c>
      <c r="G88" s="35" t="s">
        <v>5367</v>
      </c>
    </row>
    <row r="89" spans="1:7">
      <c r="A89" s="35">
        <v>399</v>
      </c>
      <c r="B89" s="36" t="s">
        <v>2887</v>
      </c>
      <c r="C89" s="36" t="s">
        <v>4247</v>
      </c>
      <c r="D89" s="35">
        <v>7629</v>
      </c>
      <c r="E89" s="36" t="s">
        <v>5269</v>
      </c>
      <c r="F89" s="35" t="s">
        <v>5370</v>
      </c>
      <c r="G89" s="35" t="s">
        <v>5371</v>
      </c>
    </row>
    <row r="90" spans="1:7">
      <c r="A90" s="35">
        <v>442</v>
      </c>
      <c r="B90" s="36" t="s">
        <v>2315</v>
      </c>
      <c r="C90" s="36" t="s">
        <v>4257</v>
      </c>
      <c r="D90" s="35">
        <v>7629</v>
      </c>
      <c r="E90" s="36" t="s">
        <v>5269</v>
      </c>
      <c r="F90" s="35" t="s">
        <v>5384</v>
      </c>
      <c r="G90" s="35" t="s">
        <v>5385</v>
      </c>
    </row>
    <row r="91" spans="1:7">
      <c r="A91" s="35">
        <v>480</v>
      </c>
      <c r="B91" s="36" t="s">
        <v>1613</v>
      </c>
      <c r="C91" s="36" t="s">
        <v>4260</v>
      </c>
      <c r="D91" s="35">
        <v>7629</v>
      </c>
      <c r="E91" s="36" t="s">
        <v>5269</v>
      </c>
      <c r="F91" s="35" t="s">
        <v>5386</v>
      </c>
      <c r="G91" s="35" t="s">
        <v>5387</v>
      </c>
    </row>
    <row r="92" spans="1:7">
      <c r="A92" s="35">
        <v>482</v>
      </c>
      <c r="B92" s="36" t="s">
        <v>1615</v>
      </c>
      <c r="C92" s="36" t="s">
        <v>4261</v>
      </c>
      <c r="D92" s="35">
        <v>7629</v>
      </c>
      <c r="E92" s="36" t="s">
        <v>5269</v>
      </c>
      <c r="F92" s="35" t="s">
        <v>5388</v>
      </c>
      <c r="G92" s="35" t="s">
        <v>5389</v>
      </c>
    </row>
    <row r="93" spans="1:7">
      <c r="A93" s="35">
        <v>485</v>
      </c>
      <c r="B93" s="36" t="s">
        <v>1616</v>
      </c>
      <c r="C93" s="36" t="s">
        <v>4262</v>
      </c>
      <c r="D93" s="35">
        <v>7629</v>
      </c>
      <c r="E93" s="36" t="s">
        <v>5269</v>
      </c>
      <c r="F93" s="35" t="s">
        <v>5388</v>
      </c>
      <c r="G93" s="35" t="s">
        <v>5389</v>
      </c>
    </row>
    <row r="94" spans="1:7">
      <c r="A94" s="35">
        <v>486</v>
      </c>
      <c r="B94" s="36" t="s">
        <v>1617</v>
      </c>
      <c r="C94" s="36" t="s">
        <v>4263</v>
      </c>
      <c r="D94" s="35">
        <v>7629</v>
      </c>
      <c r="E94" s="36" t="s">
        <v>5269</v>
      </c>
      <c r="F94" s="35" t="s">
        <v>5390</v>
      </c>
      <c r="G94" s="35" t="s">
        <v>5391</v>
      </c>
    </row>
    <row r="95" spans="1:7">
      <c r="A95" s="35">
        <v>487</v>
      </c>
      <c r="B95" s="36" t="s">
        <v>1619</v>
      </c>
      <c r="C95" s="36" t="s">
        <v>4259</v>
      </c>
      <c r="D95" s="35">
        <v>7629</v>
      </c>
      <c r="E95" s="36" t="s">
        <v>5269</v>
      </c>
      <c r="F95" s="35" t="s">
        <v>5392</v>
      </c>
      <c r="G95" s="35" t="s">
        <v>5393</v>
      </c>
    </row>
    <row r="96" spans="1:7">
      <c r="A96" s="35">
        <v>491</v>
      </c>
      <c r="B96" s="36" t="s">
        <v>1620</v>
      </c>
      <c r="C96" s="36" t="s">
        <v>4259</v>
      </c>
      <c r="D96" s="35">
        <v>7629</v>
      </c>
      <c r="E96" s="36" t="s">
        <v>5269</v>
      </c>
      <c r="F96" s="35" t="s">
        <v>5394</v>
      </c>
      <c r="G96" s="35" t="s">
        <v>5395</v>
      </c>
    </row>
    <row r="97" spans="1:7">
      <c r="A97" s="35">
        <v>493</v>
      </c>
      <c r="B97" s="36" t="s">
        <v>1621</v>
      </c>
      <c r="C97" s="36" t="s">
        <v>4260</v>
      </c>
      <c r="D97" s="35">
        <v>7629</v>
      </c>
      <c r="E97" s="36" t="s">
        <v>5269</v>
      </c>
      <c r="F97" s="35" t="s">
        <v>5396</v>
      </c>
      <c r="G97" s="35" t="s">
        <v>5397</v>
      </c>
    </row>
    <row r="98" spans="1:7">
      <c r="A98" s="35">
        <v>513</v>
      </c>
      <c r="B98" s="36" t="s">
        <v>2267</v>
      </c>
      <c r="C98" s="36" t="s">
        <v>4264</v>
      </c>
      <c r="D98" s="35">
        <v>7629</v>
      </c>
      <c r="E98" s="36" t="s">
        <v>5269</v>
      </c>
      <c r="F98" s="35" t="s">
        <v>5390</v>
      </c>
      <c r="G98" s="35" t="s">
        <v>5391</v>
      </c>
    </row>
    <row r="99" spans="1:7">
      <c r="A99" s="35">
        <v>523</v>
      </c>
      <c r="B99" s="36" t="s">
        <v>2272</v>
      </c>
      <c r="C99" s="36" t="s">
        <v>4269</v>
      </c>
      <c r="D99" s="35">
        <v>7629</v>
      </c>
      <c r="E99" s="36" t="s">
        <v>5269</v>
      </c>
      <c r="F99" s="35" t="s">
        <v>5404</v>
      </c>
      <c r="G99" s="35" t="s">
        <v>5405</v>
      </c>
    </row>
    <row r="100" spans="1:7">
      <c r="A100" s="35">
        <v>524</v>
      </c>
      <c r="B100" s="36" t="s">
        <v>2319</v>
      </c>
      <c r="C100" s="36" t="s">
        <v>4270</v>
      </c>
      <c r="D100" s="35">
        <v>7629</v>
      </c>
      <c r="E100" s="36" t="s">
        <v>5269</v>
      </c>
      <c r="F100" s="35" t="s">
        <v>5398</v>
      </c>
      <c r="G100" s="35" t="s">
        <v>5399</v>
      </c>
    </row>
    <row r="101" spans="1:7">
      <c r="A101" s="35">
        <v>525</v>
      </c>
      <c r="B101" s="36" t="s">
        <v>2320</v>
      </c>
      <c r="C101" s="36" t="s">
        <v>4271</v>
      </c>
      <c r="D101" s="35">
        <v>7629</v>
      </c>
      <c r="E101" s="36" t="s">
        <v>5269</v>
      </c>
      <c r="F101" s="35" t="s">
        <v>5406</v>
      </c>
      <c r="G101" s="35" t="s">
        <v>5407</v>
      </c>
    </row>
    <row r="102" spans="1:7">
      <c r="A102" s="35">
        <v>718</v>
      </c>
      <c r="B102" s="36" t="s">
        <v>2071</v>
      </c>
      <c r="C102" s="36" t="s">
        <v>4276</v>
      </c>
      <c r="D102" s="35">
        <v>7629</v>
      </c>
      <c r="E102" s="36" t="s">
        <v>5269</v>
      </c>
      <c r="F102" s="35" t="s">
        <v>5410</v>
      </c>
      <c r="G102" s="35" t="s">
        <v>5411</v>
      </c>
    </row>
    <row r="103" spans="1:7">
      <c r="A103" s="35">
        <v>719</v>
      </c>
      <c r="B103" s="36" t="s">
        <v>2072</v>
      </c>
      <c r="C103" s="36" t="s">
        <v>4276</v>
      </c>
      <c r="D103" s="35">
        <v>7629</v>
      </c>
      <c r="E103" s="36" t="s">
        <v>5269</v>
      </c>
      <c r="F103" s="35" t="s">
        <v>5410</v>
      </c>
      <c r="G103" s="35" t="s">
        <v>5411</v>
      </c>
    </row>
    <row r="104" spans="1:7">
      <c r="A104" s="35">
        <v>729</v>
      </c>
      <c r="B104" s="36" t="s">
        <v>2075</v>
      </c>
      <c r="C104" s="36" t="s">
        <v>4278</v>
      </c>
      <c r="D104" s="35">
        <v>7629</v>
      </c>
      <c r="E104" s="36" t="s">
        <v>5269</v>
      </c>
      <c r="F104" s="35" t="s">
        <v>5414</v>
      </c>
      <c r="G104" s="35" t="s">
        <v>5415</v>
      </c>
    </row>
    <row r="105" spans="1:7">
      <c r="A105" s="35">
        <v>796</v>
      </c>
      <c r="B105" s="36" t="s">
        <v>1794</v>
      </c>
      <c r="C105" s="36" t="s">
        <v>4280</v>
      </c>
      <c r="D105" s="35">
        <v>7629</v>
      </c>
      <c r="E105" s="36" t="s">
        <v>5269</v>
      </c>
      <c r="F105" s="35" t="s">
        <v>5418</v>
      </c>
      <c r="G105" s="35" t="s">
        <v>5419</v>
      </c>
    </row>
    <row r="106" spans="1:7">
      <c r="A106" s="35">
        <v>797</v>
      </c>
      <c r="B106" s="36" t="s">
        <v>1795</v>
      </c>
      <c r="C106" s="36" t="s">
        <v>4276</v>
      </c>
      <c r="D106" s="35">
        <v>7629</v>
      </c>
      <c r="E106" s="36" t="s">
        <v>5269</v>
      </c>
      <c r="F106" s="35" t="s">
        <v>5418</v>
      </c>
      <c r="G106" s="35" t="s">
        <v>5419</v>
      </c>
    </row>
    <row r="107" spans="1:7">
      <c r="A107" s="35">
        <v>798</v>
      </c>
      <c r="B107" s="36" t="s">
        <v>1796</v>
      </c>
      <c r="C107" s="36" t="s">
        <v>4276</v>
      </c>
      <c r="D107" s="35">
        <v>7629</v>
      </c>
      <c r="E107" s="36" t="s">
        <v>5269</v>
      </c>
      <c r="F107" s="35" t="s">
        <v>5418</v>
      </c>
      <c r="G107" s="35" t="s">
        <v>5419</v>
      </c>
    </row>
    <row r="108" spans="1:7">
      <c r="A108" s="35">
        <v>799</v>
      </c>
      <c r="B108" s="36" t="s">
        <v>1797</v>
      </c>
      <c r="C108" s="36" t="s">
        <v>4281</v>
      </c>
      <c r="D108" s="35">
        <v>7629</v>
      </c>
      <c r="E108" s="36" t="s">
        <v>5269</v>
      </c>
      <c r="F108" s="35" t="s">
        <v>5420</v>
      </c>
      <c r="G108" s="35" t="s">
        <v>5421</v>
      </c>
    </row>
    <row r="109" spans="1:7">
      <c r="A109" s="35">
        <v>800</v>
      </c>
      <c r="B109" s="36" t="s">
        <v>1798</v>
      </c>
      <c r="C109" s="36" t="s">
        <v>4276</v>
      </c>
      <c r="D109" s="35">
        <v>7629</v>
      </c>
      <c r="E109" s="36" t="s">
        <v>5269</v>
      </c>
      <c r="F109" s="35" t="s">
        <v>5422</v>
      </c>
      <c r="G109" s="35" t="s">
        <v>5423</v>
      </c>
    </row>
    <row r="110" spans="1:7">
      <c r="A110" s="35">
        <v>802</v>
      </c>
      <c r="B110" s="36" t="s">
        <v>1799</v>
      </c>
      <c r="C110" s="36" t="s">
        <v>4276</v>
      </c>
      <c r="D110" s="35">
        <v>7629</v>
      </c>
      <c r="E110" s="36" t="s">
        <v>5269</v>
      </c>
      <c r="F110" s="35" t="s">
        <v>5422</v>
      </c>
      <c r="G110" s="35" t="s">
        <v>5423</v>
      </c>
    </row>
    <row r="111" spans="1:7">
      <c r="A111" s="35">
        <v>804</v>
      </c>
      <c r="B111" s="36" t="s">
        <v>1800</v>
      </c>
      <c r="C111" s="36" t="s">
        <v>4282</v>
      </c>
      <c r="D111" s="35">
        <v>7629</v>
      </c>
      <c r="E111" s="36" t="s">
        <v>5269</v>
      </c>
      <c r="F111" s="35" t="s">
        <v>5398</v>
      </c>
      <c r="G111" s="35" t="s">
        <v>5399</v>
      </c>
    </row>
    <row r="112" spans="1:7">
      <c r="A112" s="35">
        <v>805</v>
      </c>
      <c r="B112" s="36" t="s">
        <v>1801</v>
      </c>
      <c r="C112" s="36" t="s">
        <v>4283</v>
      </c>
      <c r="D112" s="35">
        <v>7629</v>
      </c>
      <c r="E112" s="36" t="s">
        <v>5269</v>
      </c>
      <c r="F112" s="35" t="s">
        <v>5424</v>
      </c>
      <c r="G112" s="35" t="s">
        <v>5425</v>
      </c>
    </row>
    <row r="113" spans="1:7">
      <c r="A113" s="35">
        <v>809</v>
      </c>
      <c r="B113" s="36" t="s">
        <v>1792</v>
      </c>
      <c r="C113" s="36" t="s">
        <v>4284</v>
      </c>
      <c r="D113" s="35">
        <v>7629</v>
      </c>
      <c r="E113" s="36" t="s">
        <v>5269</v>
      </c>
      <c r="F113" s="35" t="s">
        <v>5402</v>
      </c>
      <c r="G113" s="35" t="s">
        <v>5403</v>
      </c>
    </row>
    <row r="114" spans="1:7">
      <c r="A114" s="35">
        <v>810</v>
      </c>
      <c r="B114" s="36" t="s">
        <v>1784</v>
      </c>
      <c r="C114" s="36" t="s">
        <v>4285</v>
      </c>
      <c r="D114" s="35">
        <v>7629</v>
      </c>
      <c r="E114" s="36" t="s">
        <v>5269</v>
      </c>
      <c r="F114" s="35" t="s">
        <v>5426</v>
      </c>
      <c r="G114" s="35" t="s">
        <v>5427</v>
      </c>
    </row>
    <row r="115" spans="1:7">
      <c r="A115" s="35">
        <v>811</v>
      </c>
      <c r="B115" s="36" t="s">
        <v>1785</v>
      </c>
      <c r="C115" s="36" t="s">
        <v>4286</v>
      </c>
      <c r="D115" s="35">
        <v>7629</v>
      </c>
      <c r="E115" s="36" t="s">
        <v>5269</v>
      </c>
      <c r="F115" s="35" t="s">
        <v>5424</v>
      </c>
      <c r="G115" s="35" t="s">
        <v>5425</v>
      </c>
    </row>
    <row r="116" spans="1:7">
      <c r="A116" s="35">
        <v>812</v>
      </c>
      <c r="B116" s="36" t="s">
        <v>1786</v>
      </c>
      <c r="C116" s="36" t="s">
        <v>4287</v>
      </c>
      <c r="D116" s="35">
        <v>7629</v>
      </c>
      <c r="E116" s="36" t="s">
        <v>5269</v>
      </c>
      <c r="F116" s="35" t="s">
        <v>5402</v>
      </c>
      <c r="G116" s="35" t="s">
        <v>5403</v>
      </c>
    </row>
    <row r="117" spans="1:7">
      <c r="A117" s="35">
        <v>813</v>
      </c>
      <c r="B117" s="36" t="s">
        <v>1787</v>
      </c>
      <c r="C117" s="36" t="s">
        <v>4288</v>
      </c>
      <c r="D117" s="35">
        <v>7629</v>
      </c>
      <c r="E117" s="36" t="s">
        <v>5269</v>
      </c>
      <c r="F117" s="35" t="s">
        <v>5398</v>
      </c>
      <c r="G117" s="35" t="s">
        <v>5399</v>
      </c>
    </row>
    <row r="118" spans="1:7">
      <c r="A118" s="35">
        <v>815</v>
      </c>
      <c r="B118" s="36" t="s">
        <v>1788</v>
      </c>
      <c r="C118" s="36" t="s">
        <v>4289</v>
      </c>
      <c r="D118" s="35">
        <v>7629</v>
      </c>
      <c r="E118" s="36" t="s">
        <v>5269</v>
      </c>
      <c r="F118" s="35" t="s">
        <v>5428</v>
      </c>
      <c r="G118" s="35" t="s">
        <v>5429</v>
      </c>
    </row>
    <row r="119" spans="1:7">
      <c r="A119" s="35">
        <v>816</v>
      </c>
      <c r="B119" s="36" t="s">
        <v>1789</v>
      </c>
      <c r="C119" s="36" t="s">
        <v>4290</v>
      </c>
      <c r="D119" s="35">
        <v>7629</v>
      </c>
      <c r="E119" s="36" t="s">
        <v>5269</v>
      </c>
      <c r="F119" s="35" t="s">
        <v>5430</v>
      </c>
      <c r="G119" s="35" t="s">
        <v>5431</v>
      </c>
    </row>
    <row r="120" spans="1:7">
      <c r="A120" s="35">
        <v>817</v>
      </c>
      <c r="B120" s="36" t="s">
        <v>1790</v>
      </c>
      <c r="C120" s="36" t="s">
        <v>4291</v>
      </c>
      <c r="D120" s="35">
        <v>7629</v>
      </c>
      <c r="E120" s="36" t="s">
        <v>5269</v>
      </c>
      <c r="F120" s="35" t="s">
        <v>5430</v>
      </c>
      <c r="G120" s="35" t="s">
        <v>5431</v>
      </c>
    </row>
    <row r="121" spans="1:7">
      <c r="A121" s="35">
        <v>820</v>
      </c>
      <c r="B121" s="36" t="s">
        <v>2086</v>
      </c>
      <c r="C121" s="36" t="s">
        <v>4292</v>
      </c>
      <c r="D121" s="35">
        <v>7629</v>
      </c>
      <c r="E121" s="36" t="s">
        <v>5269</v>
      </c>
      <c r="F121" s="35" t="s">
        <v>5432</v>
      </c>
      <c r="G121" s="35" t="s">
        <v>5433</v>
      </c>
    </row>
    <row r="122" spans="1:7">
      <c r="A122" s="35">
        <v>821</v>
      </c>
      <c r="B122" s="36" t="s">
        <v>2087</v>
      </c>
      <c r="C122" s="36" t="s">
        <v>4291</v>
      </c>
      <c r="D122" s="35">
        <v>7629</v>
      </c>
      <c r="E122" s="36" t="s">
        <v>5269</v>
      </c>
      <c r="F122" s="35" t="s">
        <v>5432</v>
      </c>
      <c r="G122" s="35" t="s">
        <v>5433</v>
      </c>
    </row>
    <row r="123" spans="1:7">
      <c r="A123" s="35">
        <v>824</v>
      </c>
      <c r="B123" s="36" t="s">
        <v>2088</v>
      </c>
      <c r="C123" s="36" t="s">
        <v>4293</v>
      </c>
      <c r="D123" s="35">
        <v>7629</v>
      </c>
      <c r="E123" s="36" t="s">
        <v>5269</v>
      </c>
      <c r="F123" s="35" t="s">
        <v>5434</v>
      </c>
      <c r="G123" s="35" t="s">
        <v>5435</v>
      </c>
    </row>
    <row r="124" spans="1:7">
      <c r="A124" s="35">
        <v>828</v>
      </c>
      <c r="B124" s="36" t="s">
        <v>2089</v>
      </c>
      <c r="C124" s="36" t="s">
        <v>4294</v>
      </c>
      <c r="D124" s="35">
        <v>7629</v>
      </c>
      <c r="E124" s="36" t="s">
        <v>5269</v>
      </c>
      <c r="F124" s="35" t="s">
        <v>5436</v>
      </c>
      <c r="G124" s="35" t="s">
        <v>5437</v>
      </c>
    </row>
    <row r="125" spans="1:7">
      <c r="A125" s="35">
        <v>829</v>
      </c>
      <c r="B125" s="36" t="s">
        <v>2090</v>
      </c>
      <c r="C125" s="36" t="s">
        <v>4291</v>
      </c>
      <c r="D125" s="35">
        <v>7629</v>
      </c>
      <c r="E125" s="36" t="s">
        <v>5269</v>
      </c>
      <c r="F125" s="35" t="s">
        <v>5438</v>
      </c>
      <c r="G125" s="35" t="s">
        <v>5439</v>
      </c>
    </row>
    <row r="126" spans="1:7">
      <c r="A126" s="35">
        <v>831</v>
      </c>
      <c r="B126" s="36" t="s">
        <v>2091</v>
      </c>
      <c r="C126" s="36" t="s">
        <v>4295</v>
      </c>
      <c r="D126" s="35">
        <v>7629</v>
      </c>
      <c r="E126" s="36" t="s">
        <v>5269</v>
      </c>
      <c r="F126" s="35" t="s">
        <v>5440</v>
      </c>
      <c r="G126" s="35" t="s">
        <v>5441</v>
      </c>
    </row>
    <row r="127" spans="1:7">
      <c r="A127" s="35">
        <v>832</v>
      </c>
      <c r="B127" s="36" t="s">
        <v>2092</v>
      </c>
      <c r="C127" s="36" t="s">
        <v>4291</v>
      </c>
      <c r="D127" s="35">
        <v>7629</v>
      </c>
      <c r="E127" s="36" t="s">
        <v>5269</v>
      </c>
      <c r="F127" s="35" t="s">
        <v>5440</v>
      </c>
      <c r="G127" s="35" t="s">
        <v>5441</v>
      </c>
    </row>
    <row r="128" spans="1:7">
      <c r="A128" s="35">
        <v>833</v>
      </c>
      <c r="B128" s="36" t="s">
        <v>2093</v>
      </c>
      <c r="C128" s="36" t="s">
        <v>4296</v>
      </c>
      <c r="D128" s="35">
        <v>7629</v>
      </c>
      <c r="E128" s="36" t="s">
        <v>5269</v>
      </c>
      <c r="F128" s="35" t="s">
        <v>5440</v>
      </c>
      <c r="G128" s="35" t="s">
        <v>5441</v>
      </c>
    </row>
    <row r="129" spans="1:7">
      <c r="A129" s="35">
        <v>834</v>
      </c>
      <c r="B129" s="36" t="s">
        <v>2094</v>
      </c>
      <c r="C129" s="36" t="s">
        <v>4297</v>
      </c>
      <c r="D129" s="35">
        <v>7629</v>
      </c>
      <c r="E129" s="36" t="s">
        <v>5269</v>
      </c>
      <c r="F129" s="35" t="s">
        <v>5442</v>
      </c>
      <c r="G129" s="35" t="s">
        <v>5443</v>
      </c>
    </row>
    <row r="130" spans="1:7">
      <c r="A130" s="35">
        <v>836</v>
      </c>
      <c r="B130" s="36" t="s">
        <v>2095</v>
      </c>
      <c r="C130" s="36" t="s">
        <v>4298</v>
      </c>
      <c r="D130" s="35">
        <v>7629</v>
      </c>
      <c r="E130" s="36" t="s">
        <v>5269</v>
      </c>
      <c r="F130" s="35" t="s">
        <v>5444</v>
      </c>
      <c r="G130" s="35" t="s">
        <v>5445</v>
      </c>
    </row>
    <row r="131" spans="1:7">
      <c r="A131" s="35">
        <v>837</v>
      </c>
      <c r="B131" s="36" t="s">
        <v>1805</v>
      </c>
      <c r="C131" s="36" t="s">
        <v>4299</v>
      </c>
      <c r="D131" s="35">
        <v>7629</v>
      </c>
      <c r="E131" s="36" t="s">
        <v>5269</v>
      </c>
      <c r="F131" s="35" t="s">
        <v>5442</v>
      </c>
      <c r="G131" s="35" t="s">
        <v>5443</v>
      </c>
    </row>
    <row r="132" spans="1:7">
      <c r="A132" s="35">
        <v>838</v>
      </c>
      <c r="B132" s="36" t="s">
        <v>1806</v>
      </c>
      <c r="C132" s="36" t="s">
        <v>4300</v>
      </c>
      <c r="D132" s="35">
        <v>7629</v>
      </c>
      <c r="E132" s="36" t="s">
        <v>5269</v>
      </c>
      <c r="F132" s="35" t="s">
        <v>5444</v>
      </c>
      <c r="G132" s="35" t="s">
        <v>5445</v>
      </c>
    </row>
    <row r="133" spans="1:7">
      <c r="A133" s="35">
        <v>840</v>
      </c>
      <c r="B133" s="36" t="s">
        <v>1807</v>
      </c>
      <c r="C133" s="36" t="s">
        <v>4301</v>
      </c>
      <c r="D133" s="35">
        <v>7629</v>
      </c>
      <c r="E133" s="36" t="s">
        <v>5269</v>
      </c>
      <c r="F133" s="35" t="s">
        <v>5442</v>
      </c>
      <c r="G133" s="35" t="s">
        <v>5443</v>
      </c>
    </row>
    <row r="134" spans="1:7">
      <c r="A134" s="35">
        <v>841</v>
      </c>
      <c r="B134" s="36" t="s">
        <v>1808</v>
      </c>
      <c r="C134" s="36" t="s">
        <v>4302</v>
      </c>
      <c r="D134" s="35">
        <v>7629</v>
      </c>
      <c r="E134" s="36" t="s">
        <v>5269</v>
      </c>
      <c r="F134" s="35" t="s">
        <v>5442</v>
      </c>
      <c r="G134" s="35" t="s">
        <v>5443</v>
      </c>
    </row>
    <row r="135" spans="1:7">
      <c r="A135" s="35">
        <v>843</v>
      </c>
      <c r="B135" s="36" t="s">
        <v>1809</v>
      </c>
      <c r="C135" s="36" t="s">
        <v>4302</v>
      </c>
      <c r="D135" s="35">
        <v>7629</v>
      </c>
      <c r="E135" s="36" t="s">
        <v>5269</v>
      </c>
      <c r="F135" s="35" t="s">
        <v>5442</v>
      </c>
      <c r="G135" s="35" t="s">
        <v>5443</v>
      </c>
    </row>
    <row r="136" spans="1:7">
      <c r="A136" s="35">
        <v>844</v>
      </c>
      <c r="B136" s="36" t="s">
        <v>1810</v>
      </c>
      <c r="C136" s="36" t="s">
        <v>4302</v>
      </c>
      <c r="D136" s="35">
        <v>7629</v>
      </c>
      <c r="E136" s="36" t="s">
        <v>5269</v>
      </c>
      <c r="F136" s="35" t="s">
        <v>5442</v>
      </c>
      <c r="G136" s="35" t="s">
        <v>5443</v>
      </c>
    </row>
    <row r="137" spans="1:7">
      <c r="A137" s="35">
        <v>846</v>
      </c>
      <c r="B137" s="36" t="s">
        <v>1811</v>
      </c>
      <c r="C137" s="36" t="s">
        <v>4303</v>
      </c>
      <c r="D137" s="35">
        <v>7629</v>
      </c>
      <c r="E137" s="36" t="s">
        <v>5269</v>
      </c>
      <c r="F137" s="35" t="s">
        <v>5442</v>
      </c>
      <c r="G137" s="35" t="s">
        <v>5443</v>
      </c>
    </row>
    <row r="138" spans="1:7">
      <c r="A138" s="35">
        <v>847</v>
      </c>
      <c r="B138" s="36" t="s">
        <v>1812</v>
      </c>
      <c r="C138" s="36" t="s">
        <v>4302</v>
      </c>
      <c r="D138" s="35">
        <v>7629</v>
      </c>
      <c r="E138" s="36" t="s">
        <v>5269</v>
      </c>
      <c r="F138" s="35" t="s">
        <v>5442</v>
      </c>
      <c r="G138" s="35" t="s">
        <v>5443</v>
      </c>
    </row>
    <row r="139" spans="1:7">
      <c r="A139" s="35">
        <v>849</v>
      </c>
      <c r="B139" s="36" t="s">
        <v>1813</v>
      </c>
      <c r="C139" s="36" t="s">
        <v>4303</v>
      </c>
      <c r="D139" s="35">
        <v>7629</v>
      </c>
      <c r="E139" s="36" t="s">
        <v>5269</v>
      </c>
      <c r="F139" s="35" t="s">
        <v>5342</v>
      </c>
      <c r="G139" s="35" t="s">
        <v>5343</v>
      </c>
    </row>
    <row r="140" spans="1:7">
      <c r="A140" s="35">
        <v>851</v>
      </c>
      <c r="B140" s="36" t="s">
        <v>1814</v>
      </c>
      <c r="C140" s="36" t="s">
        <v>4304</v>
      </c>
      <c r="D140" s="35">
        <v>7629</v>
      </c>
      <c r="E140" s="36" t="s">
        <v>5269</v>
      </c>
      <c r="F140" s="35" t="s">
        <v>5342</v>
      </c>
      <c r="G140" s="35" t="s">
        <v>5343</v>
      </c>
    </row>
    <row r="141" spans="1:7">
      <c r="A141" s="35">
        <v>852</v>
      </c>
      <c r="B141" s="36" t="s">
        <v>1815</v>
      </c>
      <c r="C141" s="36" t="s">
        <v>4305</v>
      </c>
      <c r="D141" s="35">
        <v>7629</v>
      </c>
      <c r="E141" s="36" t="s">
        <v>5269</v>
      </c>
      <c r="F141" s="35" t="s">
        <v>5338</v>
      </c>
      <c r="G141" s="35" t="s">
        <v>5339</v>
      </c>
    </row>
    <row r="142" spans="1:7">
      <c r="A142" s="35">
        <v>854</v>
      </c>
      <c r="B142" s="36" t="s">
        <v>1816</v>
      </c>
      <c r="C142" s="36" t="s">
        <v>4306</v>
      </c>
      <c r="D142" s="35">
        <v>7629</v>
      </c>
      <c r="E142" s="36" t="s">
        <v>5269</v>
      </c>
      <c r="F142" s="35" t="s">
        <v>5342</v>
      </c>
      <c r="G142" s="35" t="s">
        <v>5343</v>
      </c>
    </row>
    <row r="143" spans="1:7">
      <c r="A143" s="35">
        <v>855</v>
      </c>
      <c r="B143" s="36" t="s">
        <v>1817</v>
      </c>
      <c r="C143" s="36" t="s">
        <v>4307</v>
      </c>
      <c r="D143" s="35">
        <v>7629</v>
      </c>
      <c r="E143" s="36" t="s">
        <v>5269</v>
      </c>
      <c r="F143" s="35" t="s">
        <v>5338</v>
      </c>
      <c r="G143" s="35" t="s">
        <v>5339</v>
      </c>
    </row>
    <row r="144" spans="1:7">
      <c r="A144" s="35">
        <v>856</v>
      </c>
      <c r="B144" s="36" t="s">
        <v>1818</v>
      </c>
      <c r="C144" s="36" t="s">
        <v>4308</v>
      </c>
      <c r="D144" s="35">
        <v>7629</v>
      </c>
      <c r="E144" s="36" t="s">
        <v>5269</v>
      </c>
      <c r="F144" s="35" t="s">
        <v>5342</v>
      </c>
      <c r="G144" s="35" t="s">
        <v>5343</v>
      </c>
    </row>
    <row r="145" spans="1:7">
      <c r="A145" s="35">
        <v>858</v>
      </c>
      <c r="B145" s="36" t="s">
        <v>1819</v>
      </c>
      <c r="C145" s="36" t="s">
        <v>4302</v>
      </c>
      <c r="D145" s="35">
        <v>7629</v>
      </c>
      <c r="E145" s="36" t="s">
        <v>5269</v>
      </c>
      <c r="F145" s="35" t="s">
        <v>5342</v>
      </c>
      <c r="G145" s="35" t="s">
        <v>5343</v>
      </c>
    </row>
    <row r="146" spans="1:7">
      <c r="A146" s="35">
        <v>859</v>
      </c>
      <c r="B146" s="36" t="s">
        <v>1820</v>
      </c>
      <c r="C146" s="36" t="s">
        <v>4302</v>
      </c>
      <c r="D146" s="35">
        <v>7629</v>
      </c>
      <c r="E146" s="36" t="s">
        <v>5269</v>
      </c>
      <c r="F146" s="35" t="s">
        <v>5342</v>
      </c>
      <c r="G146" s="35" t="s">
        <v>5343</v>
      </c>
    </row>
    <row r="147" spans="1:7">
      <c r="A147" s="35">
        <v>860</v>
      </c>
      <c r="B147" s="36" t="s">
        <v>1823</v>
      </c>
      <c r="C147" s="36" t="s">
        <v>4302</v>
      </c>
      <c r="D147" s="35">
        <v>7629</v>
      </c>
      <c r="E147" s="36" t="s">
        <v>5269</v>
      </c>
      <c r="F147" s="35" t="s">
        <v>5342</v>
      </c>
      <c r="G147" s="35" t="s">
        <v>5343</v>
      </c>
    </row>
    <row r="148" spans="1:7">
      <c r="A148" s="35">
        <v>861</v>
      </c>
      <c r="B148" s="36" t="s">
        <v>1824</v>
      </c>
      <c r="C148" s="36" t="s">
        <v>4303</v>
      </c>
      <c r="D148" s="35">
        <v>7629</v>
      </c>
      <c r="E148" s="36" t="s">
        <v>5269</v>
      </c>
      <c r="F148" s="35" t="s">
        <v>5342</v>
      </c>
      <c r="G148" s="35" t="s">
        <v>5343</v>
      </c>
    </row>
    <row r="149" spans="1:7">
      <c r="A149" s="35">
        <v>862</v>
      </c>
      <c r="B149" s="36" t="s">
        <v>1825</v>
      </c>
      <c r="C149" s="36" t="s">
        <v>4302</v>
      </c>
      <c r="D149" s="35">
        <v>7629</v>
      </c>
      <c r="E149" s="36" t="s">
        <v>5269</v>
      </c>
      <c r="F149" s="35" t="s">
        <v>5342</v>
      </c>
      <c r="G149" s="35" t="s">
        <v>5343</v>
      </c>
    </row>
    <row r="150" spans="1:7">
      <c r="A150" s="35">
        <v>863</v>
      </c>
      <c r="B150" s="36" t="s">
        <v>1826</v>
      </c>
      <c r="C150" s="36" t="s">
        <v>4309</v>
      </c>
      <c r="D150" s="35">
        <v>7629</v>
      </c>
      <c r="E150" s="36" t="s">
        <v>5269</v>
      </c>
      <c r="F150" s="35" t="s">
        <v>5446</v>
      </c>
      <c r="G150" s="35" t="s">
        <v>5447</v>
      </c>
    </row>
    <row r="151" spans="1:7">
      <c r="A151" s="35">
        <v>868</v>
      </c>
      <c r="B151" s="36" t="s">
        <v>1830</v>
      </c>
      <c r="C151" s="36" t="s">
        <v>4313</v>
      </c>
      <c r="D151" s="35">
        <v>7629</v>
      </c>
      <c r="E151" s="36" t="s">
        <v>5269</v>
      </c>
      <c r="F151" s="35" t="s">
        <v>5448</v>
      </c>
      <c r="G151" s="35" t="s">
        <v>5449</v>
      </c>
    </row>
    <row r="152" spans="1:7">
      <c r="A152" s="35">
        <v>870</v>
      </c>
      <c r="B152" s="36" t="s">
        <v>1831</v>
      </c>
      <c r="C152" s="36" t="s">
        <v>4314</v>
      </c>
      <c r="D152" s="35">
        <v>7629</v>
      </c>
      <c r="E152" s="36" t="s">
        <v>5269</v>
      </c>
      <c r="F152" s="35" t="s">
        <v>5446</v>
      </c>
      <c r="G152" s="35" t="s">
        <v>5447</v>
      </c>
    </row>
    <row r="153" spans="1:7">
      <c r="A153" s="35">
        <v>876</v>
      </c>
      <c r="B153" s="36" t="s">
        <v>1647</v>
      </c>
      <c r="C153" s="36" t="s">
        <v>4317</v>
      </c>
      <c r="D153" s="35">
        <v>7629</v>
      </c>
      <c r="E153" s="36" t="s">
        <v>5269</v>
      </c>
      <c r="F153" s="35" t="s">
        <v>5450</v>
      </c>
      <c r="G153" s="35" t="s">
        <v>5451</v>
      </c>
    </row>
    <row r="154" spans="1:7">
      <c r="A154" s="35">
        <v>877</v>
      </c>
      <c r="B154" s="36" t="s">
        <v>1644</v>
      </c>
      <c r="C154" s="36" t="s">
        <v>4318</v>
      </c>
      <c r="D154" s="35">
        <v>7629</v>
      </c>
      <c r="E154" s="36" t="s">
        <v>5269</v>
      </c>
      <c r="F154" s="35" t="s">
        <v>5450</v>
      </c>
      <c r="G154" s="35" t="s">
        <v>5451</v>
      </c>
    </row>
    <row r="155" spans="1:7">
      <c r="A155" s="35">
        <v>878</v>
      </c>
      <c r="B155" s="36" t="s">
        <v>1648</v>
      </c>
      <c r="C155" s="36" t="s">
        <v>4319</v>
      </c>
      <c r="D155" s="35">
        <v>7629</v>
      </c>
      <c r="E155" s="36" t="s">
        <v>5269</v>
      </c>
      <c r="F155" s="35" t="s">
        <v>5452</v>
      </c>
      <c r="G155" s="35" t="s">
        <v>5453</v>
      </c>
    </row>
    <row r="156" spans="1:7">
      <c r="A156" s="35">
        <v>880</v>
      </c>
      <c r="B156" s="36" t="s">
        <v>1649</v>
      </c>
      <c r="C156" s="36" t="s">
        <v>4321</v>
      </c>
      <c r="D156" s="35">
        <v>7629</v>
      </c>
      <c r="E156" s="36" t="s">
        <v>5269</v>
      </c>
      <c r="F156" s="35" t="s">
        <v>5450</v>
      </c>
      <c r="G156" s="35" t="s">
        <v>5451</v>
      </c>
    </row>
    <row r="157" spans="1:7">
      <c r="A157" s="35">
        <v>883</v>
      </c>
      <c r="B157" s="36" t="s">
        <v>1656</v>
      </c>
      <c r="C157" s="36" t="s">
        <v>4323</v>
      </c>
      <c r="D157" s="35">
        <v>7629</v>
      </c>
      <c r="E157" s="36" t="s">
        <v>5269</v>
      </c>
      <c r="F157" s="35" t="s">
        <v>5450</v>
      </c>
      <c r="G157" s="35" t="s">
        <v>5451</v>
      </c>
    </row>
    <row r="158" spans="1:7">
      <c r="A158" s="35">
        <v>884</v>
      </c>
      <c r="B158" s="36" t="s">
        <v>1653</v>
      </c>
      <c r="C158" s="36" t="s">
        <v>4324</v>
      </c>
      <c r="D158" s="35">
        <v>7629</v>
      </c>
      <c r="E158" s="36" t="s">
        <v>5269</v>
      </c>
      <c r="F158" s="35" t="s">
        <v>5452</v>
      </c>
      <c r="G158" s="35" t="s">
        <v>5453</v>
      </c>
    </row>
    <row r="159" spans="1:7">
      <c r="A159" s="35">
        <v>885</v>
      </c>
      <c r="B159" s="36" t="s">
        <v>1657</v>
      </c>
      <c r="C159" s="36" t="s">
        <v>4325</v>
      </c>
      <c r="D159" s="35">
        <v>7629</v>
      </c>
      <c r="E159" s="36" t="s">
        <v>5269</v>
      </c>
      <c r="F159" s="35" t="s">
        <v>5452</v>
      </c>
      <c r="G159" s="35" t="s">
        <v>5453</v>
      </c>
    </row>
    <row r="160" spans="1:7">
      <c r="A160" s="35">
        <v>889</v>
      </c>
      <c r="B160" s="36" t="s">
        <v>1654</v>
      </c>
      <c r="C160" s="36" t="s">
        <v>4326</v>
      </c>
      <c r="D160" s="35">
        <v>7629</v>
      </c>
      <c r="E160" s="36" t="s">
        <v>5269</v>
      </c>
      <c r="F160" s="35" t="s">
        <v>5452</v>
      </c>
      <c r="G160" s="35" t="s">
        <v>5453</v>
      </c>
    </row>
    <row r="161" spans="1:7">
      <c r="A161" s="35">
        <v>890</v>
      </c>
      <c r="B161" s="36" t="s">
        <v>1658</v>
      </c>
      <c r="C161" s="36" t="s">
        <v>4327</v>
      </c>
      <c r="D161" s="35">
        <v>7629</v>
      </c>
      <c r="E161" s="36" t="s">
        <v>5269</v>
      </c>
      <c r="F161" s="35" t="s">
        <v>5454</v>
      </c>
      <c r="G161" s="35" t="s">
        <v>5455</v>
      </c>
    </row>
    <row r="162" spans="1:7">
      <c r="A162" s="35">
        <v>892</v>
      </c>
      <c r="B162" s="36" t="s">
        <v>1660</v>
      </c>
      <c r="C162" s="36" t="s">
        <v>4329</v>
      </c>
      <c r="D162" s="35">
        <v>7629</v>
      </c>
      <c r="E162" s="36" t="s">
        <v>5269</v>
      </c>
      <c r="F162" s="35" t="s">
        <v>5454</v>
      </c>
      <c r="G162" s="35" t="s">
        <v>5455</v>
      </c>
    </row>
    <row r="163" spans="1:7">
      <c r="A163" s="35">
        <v>895</v>
      </c>
      <c r="B163" s="36" t="s">
        <v>1666</v>
      </c>
      <c r="C163" s="36" t="s">
        <v>4331</v>
      </c>
      <c r="D163" s="35">
        <v>7629</v>
      </c>
      <c r="E163" s="36" t="s">
        <v>5269</v>
      </c>
      <c r="F163" s="35" t="s">
        <v>5458</v>
      </c>
      <c r="G163" s="35" t="s">
        <v>5459</v>
      </c>
    </row>
    <row r="164" spans="1:7">
      <c r="A164" s="35">
        <v>896</v>
      </c>
      <c r="B164" s="36" t="s">
        <v>1667</v>
      </c>
      <c r="C164" s="36" t="s">
        <v>4332</v>
      </c>
      <c r="D164" s="35">
        <v>7629</v>
      </c>
      <c r="E164" s="36" t="s">
        <v>5269</v>
      </c>
      <c r="F164" s="35" t="s">
        <v>5460</v>
      </c>
      <c r="G164" s="35" t="s">
        <v>5461</v>
      </c>
    </row>
    <row r="165" spans="1:7">
      <c r="A165" s="35">
        <v>899</v>
      </c>
      <c r="B165" s="36" t="s">
        <v>1662</v>
      </c>
      <c r="C165" s="36" t="s">
        <v>4333</v>
      </c>
      <c r="D165" s="35">
        <v>7629</v>
      </c>
      <c r="E165" s="36" t="s">
        <v>5269</v>
      </c>
      <c r="F165" s="35" t="s">
        <v>5458</v>
      </c>
      <c r="G165" s="35" t="s">
        <v>5459</v>
      </c>
    </row>
    <row r="166" spans="1:7">
      <c r="A166" s="35">
        <v>900</v>
      </c>
      <c r="B166" s="36" t="s">
        <v>1668</v>
      </c>
      <c r="C166" s="36" t="s">
        <v>4334</v>
      </c>
      <c r="D166" s="35">
        <v>7629</v>
      </c>
      <c r="E166" s="36" t="s">
        <v>5269</v>
      </c>
      <c r="F166" s="35" t="s">
        <v>5456</v>
      </c>
      <c r="G166" s="35" t="s">
        <v>5457</v>
      </c>
    </row>
    <row r="167" spans="1:7">
      <c r="A167" s="35">
        <v>902</v>
      </c>
      <c r="B167" s="36" t="s">
        <v>1669</v>
      </c>
      <c r="C167" s="36" t="s">
        <v>4336</v>
      </c>
      <c r="D167" s="35">
        <v>7629</v>
      </c>
      <c r="E167" s="36" t="s">
        <v>5269</v>
      </c>
      <c r="F167" s="35" t="s">
        <v>5460</v>
      </c>
      <c r="G167" s="35" t="s">
        <v>5461</v>
      </c>
    </row>
    <row r="168" spans="1:7">
      <c r="A168" s="35">
        <v>903</v>
      </c>
      <c r="B168" s="36" t="s">
        <v>1833</v>
      </c>
      <c r="C168" s="36" t="s">
        <v>4337</v>
      </c>
      <c r="D168" s="35">
        <v>7629</v>
      </c>
      <c r="E168" s="36" t="s">
        <v>5269</v>
      </c>
      <c r="F168" s="35" t="s">
        <v>5462</v>
      </c>
      <c r="G168" s="35" t="s">
        <v>5463</v>
      </c>
    </row>
    <row r="169" spans="1:7">
      <c r="A169" s="35">
        <v>904</v>
      </c>
      <c r="B169" s="36" t="s">
        <v>1837</v>
      </c>
      <c r="C169" s="36" t="s">
        <v>4338</v>
      </c>
      <c r="D169" s="35">
        <v>7629</v>
      </c>
      <c r="E169" s="36" t="s">
        <v>5269</v>
      </c>
      <c r="F169" s="35" t="s">
        <v>5464</v>
      </c>
      <c r="G169" s="35" t="s">
        <v>5465</v>
      </c>
    </row>
    <row r="170" spans="1:7">
      <c r="A170" s="35">
        <v>905</v>
      </c>
      <c r="B170" s="36" t="s">
        <v>1834</v>
      </c>
      <c r="C170" s="36" t="s">
        <v>4339</v>
      </c>
      <c r="D170" s="35">
        <v>7629</v>
      </c>
      <c r="E170" s="36" t="s">
        <v>5269</v>
      </c>
      <c r="F170" s="35" t="s">
        <v>5464</v>
      </c>
      <c r="G170" s="35" t="s">
        <v>5465</v>
      </c>
    </row>
    <row r="171" spans="1:7">
      <c r="A171" s="35">
        <v>906</v>
      </c>
      <c r="B171" s="36" t="s">
        <v>1838</v>
      </c>
      <c r="C171" s="36" t="s">
        <v>4340</v>
      </c>
      <c r="D171" s="35">
        <v>7629</v>
      </c>
      <c r="E171" s="36" t="s">
        <v>5269</v>
      </c>
      <c r="F171" s="35" t="s">
        <v>5462</v>
      </c>
      <c r="G171" s="35" t="s">
        <v>5463</v>
      </c>
    </row>
    <row r="172" spans="1:7">
      <c r="A172" s="35">
        <v>907</v>
      </c>
      <c r="B172" s="36" t="s">
        <v>1839</v>
      </c>
      <c r="C172" s="36" t="s">
        <v>4341</v>
      </c>
      <c r="D172" s="35">
        <v>7629</v>
      </c>
      <c r="E172" s="36" t="s">
        <v>5269</v>
      </c>
      <c r="F172" s="35" t="s">
        <v>5462</v>
      </c>
      <c r="G172" s="35" t="s">
        <v>5463</v>
      </c>
    </row>
    <row r="173" spans="1:7">
      <c r="A173" s="35">
        <v>908</v>
      </c>
      <c r="B173" s="36" t="s">
        <v>1836</v>
      </c>
      <c r="C173" s="36" t="s">
        <v>4342</v>
      </c>
      <c r="D173" s="35">
        <v>7629</v>
      </c>
      <c r="E173" s="36" t="s">
        <v>5269</v>
      </c>
      <c r="F173" s="35" t="s">
        <v>5464</v>
      </c>
      <c r="G173" s="35" t="s">
        <v>5465</v>
      </c>
    </row>
    <row r="174" spans="1:7">
      <c r="A174" s="35">
        <v>909</v>
      </c>
      <c r="B174" s="36" t="s">
        <v>1840</v>
      </c>
      <c r="C174" s="36" t="s">
        <v>4343</v>
      </c>
      <c r="D174" s="35">
        <v>7629</v>
      </c>
      <c r="E174" s="36" t="s">
        <v>5269</v>
      </c>
      <c r="F174" s="35" t="s">
        <v>5464</v>
      </c>
      <c r="G174" s="35" t="s">
        <v>5465</v>
      </c>
    </row>
    <row r="175" spans="1:7">
      <c r="A175" s="35">
        <v>911</v>
      </c>
      <c r="B175" s="36" t="s">
        <v>1841</v>
      </c>
      <c r="C175" s="36" t="s">
        <v>4344</v>
      </c>
      <c r="D175" s="35">
        <v>7629</v>
      </c>
      <c r="E175" s="36" t="s">
        <v>5269</v>
      </c>
      <c r="F175" s="35" t="s">
        <v>5462</v>
      </c>
      <c r="G175" s="35" t="s">
        <v>5463</v>
      </c>
    </row>
    <row r="176" spans="1:7">
      <c r="A176" s="35">
        <v>912</v>
      </c>
      <c r="B176" s="36" t="s">
        <v>1845</v>
      </c>
      <c r="C176" s="36" t="s">
        <v>4345</v>
      </c>
      <c r="D176" s="35">
        <v>7629</v>
      </c>
      <c r="E176" s="36" t="s">
        <v>5269</v>
      </c>
      <c r="F176" s="35" t="s">
        <v>5466</v>
      </c>
      <c r="G176" s="35" t="s">
        <v>5467</v>
      </c>
    </row>
    <row r="177" spans="1:7">
      <c r="A177" s="35">
        <v>913</v>
      </c>
      <c r="B177" s="36" t="s">
        <v>1842</v>
      </c>
      <c r="C177" s="36" t="s">
        <v>4346</v>
      </c>
      <c r="D177" s="35">
        <v>7629</v>
      </c>
      <c r="E177" s="36" t="s">
        <v>5269</v>
      </c>
      <c r="F177" s="35" t="s">
        <v>5468</v>
      </c>
      <c r="G177" s="35" t="s">
        <v>5469</v>
      </c>
    </row>
    <row r="178" spans="1:7">
      <c r="A178" s="35">
        <v>914</v>
      </c>
      <c r="B178" s="36" t="s">
        <v>1846</v>
      </c>
      <c r="C178" s="36" t="s">
        <v>4347</v>
      </c>
      <c r="D178" s="35">
        <v>7629</v>
      </c>
      <c r="E178" s="36" t="s">
        <v>5269</v>
      </c>
      <c r="F178" s="35" t="s">
        <v>5468</v>
      </c>
      <c r="G178" s="35" t="s">
        <v>5469</v>
      </c>
    </row>
    <row r="179" spans="1:7">
      <c r="A179" s="35">
        <v>915</v>
      </c>
      <c r="B179" s="36" t="s">
        <v>1847</v>
      </c>
      <c r="C179" s="36" t="s">
        <v>4348</v>
      </c>
      <c r="D179" s="35">
        <v>7629</v>
      </c>
      <c r="E179" s="36" t="s">
        <v>5269</v>
      </c>
      <c r="F179" s="35" t="s">
        <v>5466</v>
      </c>
      <c r="G179" s="35" t="s">
        <v>5467</v>
      </c>
    </row>
    <row r="180" spans="1:7">
      <c r="A180" s="35">
        <v>916</v>
      </c>
      <c r="B180" s="36" t="s">
        <v>1844</v>
      </c>
      <c r="C180" s="36" t="s">
        <v>4349</v>
      </c>
      <c r="D180" s="35">
        <v>7629</v>
      </c>
      <c r="E180" s="36" t="s">
        <v>5269</v>
      </c>
      <c r="F180" s="35" t="s">
        <v>5466</v>
      </c>
      <c r="G180" s="35" t="s">
        <v>5467</v>
      </c>
    </row>
    <row r="181" spans="1:7">
      <c r="A181" s="35">
        <v>917</v>
      </c>
      <c r="B181" s="36" t="s">
        <v>1848</v>
      </c>
      <c r="C181" s="36" t="s">
        <v>4350</v>
      </c>
      <c r="D181" s="35">
        <v>7629</v>
      </c>
      <c r="E181" s="36" t="s">
        <v>5269</v>
      </c>
      <c r="F181" s="35" t="s">
        <v>5468</v>
      </c>
      <c r="G181" s="35" t="s">
        <v>5469</v>
      </c>
    </row>
    <row r="182" spans="1:7">
      <c r="A182" s="35">
        <v>928</v>
      </c>
      <c r="B182" s="36" t="s">
        <v>1849</v>
      </c>
      <c r="C182" s="36" t="s">
        <v>4351</v>
      </c>
      <c r="D182" s="35">
        <v>7629</v>
      </c>
      <c r="E182" s="36" t="s">
        <v>5269</v>
      </c>
      <c r="F182" s="35" t="s">
        <v>5468</v>
      </c>
      <c r="G182" s="35" t="s">
        <v>5469</v>
      </c>
    </row>
    <row r="183" spans="1:7">
      <c r="A183" s="35">
        <v>930</v>
      </c>
      <c r="B183" s="36" t="s">
        <v>1850</v>
      </c>
      <c r="C183" s="36" t="s">
        <v>4352</v>
      </c>
      <c r="D183" s="35">
        <v>7629</v>
      </c>
      <c r="E183" s="36" t="s">
        <v>5269</v>
      </c>
      <c r="F183" s="35" t="s">
        <v>5466</v>
      </c>
      <c r="G183" s="35" t="s">
        <v>5467</v>
      </c>
    </row>
    <row r="184" spans="1:7">
      <c r="A184" s="35">
        <v>932</v>
      </c>
      <c r="B184" s="36" t="s">
        <v>1851</v>
      </c>
      <c r="C184" s="36" t="s">
        <v>4353</v>
      </c>
      <c r="D184" s="35">
        <v>7629</v>
      </c>
      <c r="E184" s="36" t="s">
        <v>5269</v>
      </c>
      <c r="F184" s="35" t="s">
        <v>5372</v>
      </c>
      <c r="G184" s="35" t="s">
        <v>5373</v>
      </c>
    </row>
    <row r="185" spans="1:7">
      <c r="A185" s="35">
        <v>933</v>
      </c>
      <c r="B185" s="36" t="s">
        <v>1852</v>
      </c>
      <c r="C185" s="36" t="s">
        <v>4354</v>
      </c>
      <c r="D185" s="35">
        <v>7629</v>
      </c>
      <c r="E185" s="36" t="s">
        <v>5269</v>
      </c>
      <c r="F185" s="35" t="s">
        <v>5374</v>
      </c>
      <c r="G185" s="35" t="s">
        <v>5375</v>
      </c>
    </row>
    <row r="186" spans="1:7">
      <c r="A186" s="35">
        <v>934</v>
      </c>
      <c r="B186" s="36" t="s">
        <v>1853</v>
      </c>
      <c r="C186" s="36" t="s">
        <v>4355</v>
      </c>
      <c r="D186" s="35">
        <v>7629</v>
      </c>
      <c r="E186" s="36" t="s">
        <v>5269</v>
      </c>
      <c r="F186" s="35" t="s">
        <v>5372</v>
      </c>
      <c r="G186" s="35" t="s">
        <v>5373</v>
      </c>
    </row>
    <row r="187" spans="1:7">
      <c r="A187" s="35">
        <v>935</v>
      </c>
      <c r="B187" s="36" t="s">
        <v>1854</v>
      </c>
      <c r="C187" s="36" t="s">
        <v>4356</v>
      </c>
      <c r="D187" s="35">
        <v>7629</v>
      </c>
      <c r="E187" s="36" t="s">
        <v>5269</v>
      </c>
      <c r="F187" s="35" t="s">
        <v>5372</v>
      </c>
      <c r="G187" s="35" t="s">
        <v>5373</v>
      </c>
    </row>
    <row r="188" spans="1:7">
      <c r="A188" s="35">
        <v>936</v>
      </c>
      <c r="B188" s="36" t="s">
        <v>1855</v>
      </c>
      <c r="C188" s="36" t="s">
        <v>4357</v>
      </c>
      <c r="D188" s="35">
        <v>7629</v>
      </c>
      <c r="E188" s="36" t="s">
        <v>5269</v>
      </c>
      <c r="F188" s="35" t="s">
        <v>5374</v>
      </c>
      <c r="G188" s="35" t="s">
        <v>5375</v>
      </c>
    </row>
    <row r="189" spans="1:7">
      <c r="A189" s="35">
        <v>937</v>
      </c>
      <c r="B189" s="36" t="s">
        <v>1856</v>
      </c>
      <c r="C189" s="36" t="s">
        <v>4358</v>
      </c>
      <c r="D189" s="35">
        <v>7629</v>
      </c>
      <c r="E189" s="36" t="s">
        <v>5269</v>
      </c>
      <c r="F189" s="35" t="s">
        <v>5372</v>
      </c>
      <c r="G189" s="35" t="s">
        <v>5373</v>
      </c>
    </row>
    <row r="190" spans="1:7">
      <c r="A190" s="35">
        <v>966</v>
      </c>
      <c r="B190" s="36" t="s">
        <v>2101</v>
      </c>
      <c r="C190" s="36" t="s">
        <v>4360</v>
      </c>
      <c r="D190" s="35">
        <v>7629</v>
      </c>
      <c r="E190" s="36" t="s">
        <v>5269</v>
      </c>
      <c r="F190" s="35" t="s">
        <v>5374</v>
      </c>
      <c r="G190" s="35" t="s">
        <v>5375</v>
      </c>
    </row>
    <row r="191" spans="1:7">
      <c r="A191" s="35">
        <v>967</v>
      </c>
      <c r="B191" s="36" t="s">
        <v>2102</v>
      </c>
      <c r="C191" s="36" t="s">
        <v>4361</v>
      </c>
      <c r="D191" s="35">
        <v>7629</v>
      </c>
      <c r="E191" s="36" t="s">
        <v>5269</v>
      </c>
      <c r="F191" s="35" t="s">
        <v>5374</v>
      </c>
      <c r="G191" s="35" t="s">
        <v>5375</v>
      </c>
    </row>
    <row r="192" spans="1:7">
      <c r="A192" s="35">
        <v>974</v>
      </c>
      <c r="B192" s="36" t="s">
        <v>2107</v>
      </c>
      <c r="C192" s="36" t="s">
        <v>4365</v>
      </c>
      <c r="D192" s="35">
        <v>7629</v>
      </c>
      <c r="E192" s="36" t="s">
        <v>5269</v>
      </c>
      <c r="F192" s="35" t="s">
        <v>5470</v>
      </c>
      <c r="G192" s="35" t="s">
        <v>5471</v>
      </c>
    </row>
    <row r="193" spans="1:7">
      <c r="A193" s="35">
        <v>975</v>
      </c>
      <c r="B193" s="36" t="s">
        <v>2108</v>
      </c>
      <c r="C193" s="36" t="s">
        <v>4366</v>
      </c>
      <c r="D193" s="35">
        <v>7629</v>
      </c>
      <c r="E193" s="36" t="s">
        <v>5269</v>
      </c>
      <c r="F193" s="35" t="s">
        <v>5474</v>
      </c>
      <c r="G193" s="35" t="s">
        <v>5475</v>
      </c>
    </row>
    <row r="194" spans="1:7">
      <c r="A194" s="35">
        <v>977</v>
      </c>
      <c r="B194" s="36" t="s">
        <v>2109</v>
      </c>
      <c r="C194" s="36" t="s">
        <v>4367</v>
      </c>
      <c r="D194" s="35">
        <v>7629</v>
      </c>
      <c r="E194" s="36" t="s">
        <v>5269</v>
      </c>
      <c r="F194" s="35" t="s">
        <v>5470</v>
      </c>
      <c r="G194" s="35" t="s">
        <v>5471</v>
      </c>
    </row>
    <row r="195" spans="1:7">
      <c r="A195" s="35">
        <v>978</v>
      </c>
      <c r="B195" s="36" t="s">
        <v>2110</v>
      </c>
      <c r="C195" s="36" t="s">
        <v>4368</v>
      </c>
      <c r="D195" s="35">
        <v>7629</v>
      </c>
      <c r="E195" s="36" t="s">
        <v>5269</v>
      </c>
      <c r="F195" s="35" t="s">
        <v>5476</v>
      </c>
      <c r="G195" s="35" t="s">
        <v>5477</v>
      </c>
    </row>
    <row r="196" spans="1:7">
      <c r="A196" s="35">
        <v>980</v>
      </c>
      <c r="B196" s="36" t="s">
        <v>2111</v>
      </c>
      <c r="C196" s="36" t="s">
        <v>4369</v>
      </c>
      <c r="D196" s="35">
        <v>7629</v>
      </c>
      <c r="E196" s="36" t="s">
        <v>5269</v>
      </c>
      <c r="F196" s="35" t="s">
        <v>5388</v>
      </c>
      <c r="G196" s="35" t="s">
        <v>5389</v>
      </c>
    </row>
    <row r="197" spans="1:7">
      <c r="A197" s="35">
        <v>982</v>
      </c>
      <c r="B197" s="36" t="s">
        <v>2112</v>
      </c>
      <c r="C197" s="36" t="s">
        <v>4370</v>
      </c>
      <c r="D197" s="35">
        <v>7629</v>
      </c>
      <c r="E197" s="36" t="s">
        <v>5269</v>
      </c>
      <c r="F197" s="35" t="s">
        <v>5478</v>
      </c>
      <c r="G197" s="35" t="s">
        <v>5479</v>
      </c>
    </row>
    <row r="198" spans="1:7">
      <c r="A198" s="35">
        <v>983</v>
      </c>
      <c r="B198" s="36" t="s">
        <v>2273</v>
      </c>
      <c r="C198" s="36" t="s">
        <v>4371</v>
      </c>
      <c r="D198" s="35">
        <v>7629</v>
      </c>
      <c r="E198" s="36" t="s">
        <v>5269</v>
      </c>
      <c r="F198" s="35" t="s">
        <v>5480</v>
      </c>
      <c r="G198" s="35" t="s">
        <v>5481</v>
      </c>
    </row>
    <row r="199" spans="1:7">
      <c r="A199" s="35">
        <v>989</v>
      </c>
      <c r="B199" s="36" t="s">
        <v>2279</v>
      </c>
      <c r="C199" s="36" t="s">
        <v>4377</v>
      </c>
      <c r="D199" s="35">
        <v>7629</v>
      </c>
      <c r="E199" s="36" t="s">
        <v>5269</v>
      </c>
      <c r="F199" s="35" t="s">
        <v>5482</v>
      </c>
      <c r="G199" s="35" t="s">
        <v>5483</v>
      </c>
    </row>
    <row r="200" spans="1:7">
      <c r="A200" s="35">
        <v>999</v>
      </c>
      <c r="B200" s="36" t="s">
        <v>2115</v>
      </c>
      <c r="C200" s="36" t="s">
        <v>4379</v>
      </c>
      <c r="D200" s="35">
        <v>7629</v>
      </c>
      <c r="E200" s="36" t="s">
        <v>5269</v>
      </c>
      <c r="F200" s="35" t="s">
        <v>5484</v>
      </c>
      <c r="G200" s="35" t="s">
        <v>5485</v>
      </c>
    </row>
    <row r="201" spans="1:7">
      <c r="A201" s="35">
        <v>1000</v>
      </c>
      <c r="B201" s="36" t="s">
        <v>2116</v>
      </c>
      <c r="C201" s="36" t="s">
        <v>4380</v>
      </c>
      <c r="D201" s="35">
        <v>7629</v>
      </c>
      <c r="E201" s="36" t="s">
        <v>5269</v>
      </c>
      <c r="F201" s="35" t="s">
        <v>5484</v>
      </c>
      <c r="G201" s="35" t="s">
        <v>5485</v>
      </c>
    </row>
    <row r="202" spans="1:7">
      <c r="A202" s="35">
        <v>1003</v>
      </c>
      <c r="B202" s="36" t="s">
        <v>2119</v>
      </c>
      <c r="C202" s="36" t="s">
        <v>4383</v>
      </c>
      <c r="D202" s="35">
        <v>7629</v>
      </c>
      <c r="E202" s="36" t="s">
        <v>5269</v>
      </c>
      <c r="F202" s="35" t="s">
        <v>5464</v>
      </c>
      <c r="G202" s="35" t="s">
        <v>5465</v>
      </c>
    </row>
    <row r="203" spans="1:7">
      <c r="A203" s="35">
        <v>1010</v>
      </c>
      <c r="B203" s="36" t="s">
        <v>1859</v>
      </c>
      <c r="C203" s="36" t="s">
        <v>4386</v>
      </c>
      <c r="D203" s="35">
        <v>7629</v>
      </c>
      <c r="E203" s="36" t="s">
        <v>5269</v>
      </c>
      <c r="F203" s="35" t="s">
        <v>5462</v>
      </c>
      <c r="G203" s="35" t="s">
        <v>5463</v>
      </c>
    </row>
    <row r="204" spans="1:7">
      <c r="A204" s="35">
        <v>1020</v>
      </c>
      <c r="B204" s="36" t="s">
        <v>1864</v>
      </c>
      <c r="C204" s="36" t="s">
        <v>4391</v>
      </c>
      <c r="D204" s="35">
        <v>7629</v>
      </c>
      <c r="E204" s="36" t="s">
        <v>5269</v>
      </c>
      <c r="F204" s="35" t="s">
        <v>5316</v>
      </c>
      <c r="G204" s="35" t="s">
        <v>5317</v>
      </c>
    </row>
    <row r="205" spans="1:7">
      <c r="A205" s="35">
        <v>1041</v>
      </c>
      <c r="B205" s="36" t="s">
        <v>1865</v>
      </c>
      <c r="C205" s="36" t="s">
        <v>4394</v>
      </c>
      <c r="D205" s="35">
        <v>7629</v>
      </c>
      <c r="E205" s="36" t="s">
        <v>5269</v>
      </c>
      <c r="F205" s="35" t="s">
        <v>5314</v>
      </c>
      <c r="G205" s="35" t="s">
        <v>5315</v>
      </c>
    </row>
    <row r="206" spans="1:7">
      <c r="A206" s="35">
        <v>1055</v>
      </c>
      <c r="B206" s="36" t="s">
        <v>1872</v>
      </c>
      <c r="C206" s="36" t="s">
        <v>4399</v>
      </c>
      <c r="D206" s="35">
        <v>7629</v>
      </c>
      <c r="E206" s="36" t="s">
        <v>5269</v>
      </c>
      <c r="F206" s="35" t="s">
        <v>5316</v>
      </c>
      <c r="G206" s="35" t="s">
        <v>5317</v>
      </c>
    </row>
    <row r="207" spans="1:7">
      <c r="A207" s="35">
        <v>1056</v>
      </c>
      <c r="B207" s="36" t="s">
        <v>1873</v>
      </c>
      <c r="C207" s="36" t="s">
        <v>4400</v>
      </c>
      <c r="D207" s="35">
        <v>7629</v>
      </c>
      <c r="E207" s="36" t="s">
        <v>5269</v>
      </c>
      <c r="F207" s="35" t="s">
        <v>5486</v>
      </c>
      <c r="G207" s="35" t="s">
        <v>5487</v>
      </c>
    </row>
    <row r="208" spans="1:7">
      <c r="A208" s="35">
        <v>1057</v>
      </c>
      <c r="B208" s="36" t="s">
        <v>1874</v>
      </c>
      <c r="C208" s="36" t="s">
        <v>4401</v>
      </c>
      <c r="D208" s="35">
        <v>7629</v>
      </c>
      <c r="E208" s="36" t="s">
        <v>5269</v>
      </c>
      <c r="F208" s="35" t="s">
        <v>5488</v>
      </c>
      <c r="G208" s="35" t="s">
        <v>5489</v>
      </c>
    </row>
    <row r="209" spans="1:7">
      <c r="A209" s="35">
        <v>1058</v>
      </c>
      <c r="B209" s="36" t="s">
        <v>1875</v>
      </c>
      <c r="C209" s="36" t="s">
        <v>4402</v>
      </c>
      <c r="D209" s="35">
        <v>7629</v>
      </c>
      <c r="E209" s="36" t="s">
        <v>5269</v>
      </c>
      <c r="F209" s="35" t="s">
        <v>5488</v>
      </c>
      <c r="G209" s="35" t="s">
        <v>5489</v>
      </c>
    </row>
    <row r="210" spans="1:7">
      <c r="A210" s="35">
        <v>1059</v>
      </c>
      <c r="B210" s="36" t="s">
        <v>1879</v>
      </c>
      <c r="C210" s="36" t="s">
        <v>4403</v>
      </c>
      <c r="D210" s="35">
        <v>7629</v>
      </c>
      <c r="E210" s="36" t="s">
        <v>5269</v>
      </c>
      <c r="F210" s="35" t="s">
        <v>5490</v>
      </c>
      <c r="G210" s="35" t="s">
        <v>5491</v>
      </c>
    </row>
    <row r="211" spans="1:7">
      <c r="A211" s="35">
        <v>1060</v>
      </c>
      <c r="B211" s="36" t="s">
        <v>1880</v>
      </c>
      <c r="C211" s="36" t="s">
        <v>4404</v>
      </c>
      <c r="D211" s="35">
        <v>7629</v>
      </c>
      <c r="E211" s="36" t="s">
        <v>5269</v>
      </c>
      <c r="F211" s="35" t="s">
        <v>5492</v>
      </c>
      <c r="G211" s="35" t="s">
        <v>5493</v>
      </c>
    </row>
    <row r="212" spans="1:7">
      <c r="A212" s="35">
        <v>1061</v>
      </c>
      <c r="B212" s="36" t="s">
        <v>1881</v>
      </c>
      <c r="C212" s="36" t="s">
        <v>4405</v>
      </c>
      <c r="D212" s="35">
        <v>7629</v>
      </c>
      <c r="E212" s="36" t="s">
        <v>5269</v>
      </c>
      <c r="F212" s="35" t="s">
        <v>5490</v>
      </c>
      <c r="G212" s="35" t="s">
        <v>5491</v>
      </c>
    </row>
    <row r="213" spans="1:7">
      <c r="A213" s="35">
        <v>1062</v>
      </c>
      <c r="B213" s="36" t="s">
        <v>1882</v>
      </c>
      <c r="C213" s="36" t="s">
        <v>4406</v>
      </c>
      <c r="D213" s="35">
        <v>7629</v>
      </c>
      <c r="E213" s="36" t="s">
        <v>5269</v>
      </c>
      <c r="F213" s="35" t="s">
        <v>5488</v>
      </c>
      <c r="G213" s="35" t="s">
        <v>5489</v>
      </c>
    </row>
    <row r="214" spans="1:7">
      <c r="A214" s="35">
        <v>1064</v>
      </c>
      <c r="B214" s="36" t="s">
        <v>1886</v>
      </c>
      <c r="C214" s="36" t="s">
        <v>4407</v>
      </c>
      <c r="D214" s="35">
        <v>7629</v>
      </c>
      <c r="E214" s="36" t="s">
        <v>5269</v>
      </c>
      <c r="F214" s="35" t="s">
        <v>5486</v>
      </c>
      <c r="G214" s="35" t="s">
        <v>5487</v>
      </c>
    </row>
    <row r="215" spans="1:7">
      <c r="A215" s="35">
        <v>1065</v>
      </c>
      <c r="B215" s="36" t="s">
        <v>1887</v>
      </c>
      <c r="C215" s="36" t="s">
        <v>4408</v>
      </c>
      <c r="D215" s="35">
        <v>7629</v>
      </c>
      <c r="E215" s="36" t="s">
        <v>5269</v>
      </c>
      <c r="F215" s="35" t="s">
        <v>5488</v>
      </c>
      <c r="G215" s="35" t="s">
        <v>5489</v>
      </c>
    </row>
    <row r="216" spans="1:7">
      <c r="A216" s="35">
        <v>1069</v>
      </c>
      <c r="B216" s="36" t="s">
        <v>1891</v>
      </c>
      <c r="C216" s="36" t="s">
        <v>4411</v>
      </c>
      <c r="D216" s="35">
        <v>7629</v>
      </c>
      <c r="E216" s="36" t="s">
        <v>5269</v>
      </c>
      <c r="F216" s="35" t="s">
        <v>5492</v>
      </c>
      <c r="G216" s="35" t="s">
        <v>5493</v>
      </c>
    </row>
    <row r="217" spans="1:7">
      <c r="A217" s="35">
        <v>1073</v>
      </c>
      <c r="B217" s="36" t="s">
        <v>1908</v>
      </c>
      <c r="C217" s="36" t="s">
        <v>4413</v>
      </c>
      <c r="D217" s="35">
        <v>7629</v>
      </c>
      <c r="E217" s="36" t="s">
        <v>5269</v>
      </c>
      <c r="F217" s="35" t="s">
        <v>5486</v>
      </c>
      <c r="G217" s="35" t="s">
        <v>5487</v>
      </c>
    </row>
    <row r="218" spans="1:7">
      <c r="A218" s="35">
        <v>1075</v>
      </c>
      <c r="B218" s="36" t="s">
        <v>1909</v>
      </c>
      <c r="C218" s="36" t="s">
        <v>4414</v>
      </c>
      <c r="D218" s="35">
        <v>7629</v>
      </c>
      <c r="E218" s="36" t="s">
        <v>5269</v>
      </c>
      <c r="F218" s="35" t="s">
        <v>5488</v>
      </c>
      <c r="G218" s="35" t="s">
        <v>5489</v>
      </c>
    </row>
    <row r="219" spans="1:7">
      <c r="A219" s="35">
        <v>1077</v>
      </c>
      <c r="B219" s="36" t="s">
        <v>1901</v>
      </c>
      <c r="C219" s="36" t="s">
        <v>4416</v>
      </c>
      <c r="D219" s="35">
        <v>7629</v>
      </c>
      <c r="E219" s="36" t="s">
        <v>5269</v>
      </c>
      <c r="F219" s="35" t="s">
        <v>5486</v>
      </c>
      <c r="G219" s="35" t="s">
        <v>5487</v>
      </c>
    </row>
    <row r="220" spans="1:7">
      <c r="A220" s="35">
        <v>1091</v>
      </c>
      <c r="B220" s="36" t="s">
        <v>2122</v>
      </c>
      <c r="C220" s="36" t="s">
        <v>4424</v>
      </c>
      <c r="D220" s="35">
        <v>7629</v>
      </c>
      <c r="E220" s="36" t="s">
        <v>5269</v>
      </c>
      <c r="F220" s="35" t="s">
        <v>5496</v>
      </c>
      <c r="G220" s="35" t="s">
        <v>5497</v>
      </c>
    </row>
    <row r="221" spans="1:7">
      <c r="A221" s="35">
        <v>1098</v>
      </c>
      <c r="B221" s="36" t="s">
        <v>2131</v>
      </c>
      <c r="C221" s="36" t="s">
        <v>4429</v>
      </c>
      <c r="D221" s="35">
        <v>7629</v>
      </c>
      <c r="E221" s="36" t="s">
        <v>5269</v>
      </c>
      <c r="F221" s="35" t="s">
        <v>5496</v>
      </c>
      <c r="G221" s="35" t="s">
        <v>5497</v>
      </c>
    </row>
    <row r="222" spans="1:7">
      <c r="A222" s="35">
        <v>1099</v>
      </c>
      <c r="B222" s="36" t="s">
        <v>2132</v>
      </c>
      <c r="C222" s="36" t="s">
        <v>4430</v>
      </c>
      <c r="D222" s="35">
        <v>7629</v>
      </c>
      <c r="E222" s="36" t="s">
        <v>5269</v>
      </c>
      <c r="F222" s="35" t="s">
        <v>5496</v>
      </c>
      <c r="G222" s="35" t="s">
        <v>5497</v>
      </c>
    </row>
    <row r="223" spans="1:7">
      <c r="A223" s="35">
        <v>1111</v>
      </c>
      <c r="B223" s="36" t="s">
        <v>2984</v>
      </c>
      <c r="C223" s="36" t="s">
        <v>4435</v>
      </c>
      <c r="D223" s="35">
        <v>7629</v>
      </c>
      <c r="E223" s="36" t="s">
        <v>5269</v>
      </c>
      <c r="F223" s="35" t="s">
        <v>5500</v>
      </c>
      <c r="G223" s="35" t="s">
        <v>5501</v>
      </c>
    </row>
    <row r="224" spans="1:7">
      <c r="A224" s="35">
        <v>1115</v>
      </c>
      <c r="B224" s="36" t="s">
        <v>2141</v>
      </c>
      <c r="C224" s="36" t="s">
        <v>4436</v>
      </c>
      <c r="D224" s="35">
        <v>7629</v>
      </c>
      <c r="E224" s="36" t="s">
        <v>5269</v>
      </c>
      <c r="F224" s="35" t="s">
        <v>5496</v>
      </c>
      <c r="G224" s="35" t="s">
        <v>5497</v>
      </c>
    </row>
    <row r="225" spans="1:7">
      <c r="A225" s="35">
        <v>1116</v>
      </c>
      <c r="B225" s="36" t="s">
        <v>2142</v>
      </c>
      <c r="C225" s="36" t="s">
        <v>4437</v>
      </c>
      <c r="D225" s="35">
        <v>7629</v>
      </c>
      <c r="E225" s="36" t="s">
        <v>5269</v>
      </c>
      <c r="F225" s="35" t="s">
        <v>5500</v>
      </c>
      <c r="G225" s="35" t="s">
        <v>5501</v>
      </c>
    </row>
    <row r="226" spans="1:7">
      <c r="A226" s="35">
        <v>1117</v>
      </c>
      <c r="B226" s="36" t="s">
        <v>2147</v>
      </c>
      <c r="C226" s="36" t="s">
        <v>4438</v>
      </c>
      <c r="D226" s="35">
        <v>7629</v>
      </c>
      <c r="E226" s="36" t="s">
        <v>5269</v>
      </c>
      <c r="F226" s="35" t="s">
        <v>5496</v>
      </c>
      <c r="G226" s="35" t="s">
        <v>5497</v>
      </c>
    </row>
    <row r="227" spans="1:7">
      <c r="A227" s="35">
        <v>1118</v>
      </c>
      <c r="B227" s="36" t="s">
        <v>2143</v>
      </c>
      <c r="C227" s="36" t="s">
        <v>4439</v>
      </c>
      <c r="D227" s="35">
        <v>7629</v>
      </c>
      <c r="E227" s="36" t="s">
        <v>5269</v>
      </c>
      <c r="F227" s="35" t="s">
        <v>5318</v>
      </c>
      <c r="G227" s="35" t="s">
        <v>5319</v>
      </c>
    </row>
    <row r="228" spans="1:7">
      <c r="A228" s="35">
        <v>1119</v>
      </c>
      <c r="B228" s="36" t="s">
        <v>2148</v>
      </c>
      <c r="C228" s="36" t="s">
        <v>4440</v>
      </c>
      <c r="D228" s="35">
        <v>7629</v>
      </c>
      <c r="E228" s="36" t="s">
        <v>5269</v>
      </c>
      <c r="F228" s="35" t="s">
        <v>5316</v>
      </c>
      <c r="G228" s="35" t="s">
        <v>5317</v>
      </c>
    </row>
    <row r="229" spans="1:7">
      <c r="A229" s="35">
        <v>1120</v>
      </c>
      <c r="B229" s="36" t="s">
        <v>2153</v>
      </c>
      <c r="C229" s="36" t="s">
        <v>4441</v>
      </c>
      <c r="D229" s="35">
        <v>7629</v>
      </c>
      <c r="E229" s="36" t="s">
        <v>5269</v>
      </c>
      <c r="F229" s="35" t="s">
        <v>5318</v>
      </c>
      <c r="G229" s="35" t="s">
        <v>5319</v>
      </c>
    </row>
    <row r="230" spans="1:7">
      <c r="A230" s="35">
        <v>1122</v>
      </c>
      <c r="B230" s="36" t="s">
        <v>2144</v>
      </c>
      <c r="C230" s="36" t="s">
        <v>4442</v>
      </c>
      <c r="D230" s="35">
        <v>7629</v>
      </c>
      <c r="E230" s="36" t="s">
        <v>5269</v>
      </c>
      <c r="F230" s="35" t="s">
        <v>5316</v>
      </c>
      <c r="G230" s="35" t="s">
        <v>5317</v>
      </c>
    </row>
    <row r="231" spans="1:7">
      <c r="A231" s="35">
        <v>1123</v>
      </c>
      <c r="B231" s="36" t="s">
        <v>2149</v>
      </c>
      <c r="C231" s="36" t="s">
        <v>4443</v>
      </c>
      <c r="D231" s="35">
        <v>7629</v>
      </c>
      <c r="E231" s="36" t="s">
        <v>5269</v>
      </c>
      <c r="F231" s="35" t="s">
        <v>5314</v>
      </c>
      <c r="G231" s="35" t="s">
        <v>5315</v>
      </c>
    </row>
    <row r="232" spans="1:7">
      <c r="A232" s="35">
        <v>1124</v>
      </c>
      <c r="B232" s="36" t="s">
        <v>2145</v>
      </c>
      <c r="C232" s="36" t="s">
        <v>4444</v>
      </c>
      <c r="D232" s="35">
        <v>7629</v>
      </c>
      <c r="E232" s="36" t="s">
        <v>5269</v>
      </c>
      <c r="F232" s="35" t="s">
        <v>5312</v>
      </c>
      <c r="G232" s="35" t="s">
        <v>5313</v>
      </c>
    </row>
    <row r="233" spans="1:7">
      <c r="A233" s="35">
        <v>1127</v>
      </c>
      <c r="B233" s="36" t="s">
        <v>2146</v>
      </c>
      <c r="C233" s="36" t="s">
        <v>4445</v>
      </c>
      <c r="D233" s="35">
        <v>7629</v>
      </c>
      <c r="E233" s="36" t="s">
        <v>5269</v>
      </c>
      <c r="F233" s="35" t="s">
        <v>5314</v>
      </c>
      <c r="G233" s="35" t="s">
        <v>5315</v>
      </c>
    </row>
    <row r="234" spans="1:7">
      <c r="A234" s="35">
        <v>1128</v>
      </c>
      <c r="B234" s="36" t="s">
        <v>2154</v>
      </c>
      <c r="C234" s="36" t="s">
        <v>4446</v>
      </c>
      <c r="D234" s="35">
        <v>7629</v>
      </c>
      <c r="E234" s="36" t="s">
        <v>5269</v>
      </c>
      <c r="F234" s="35" t="s">
        <v>5316</v>
      </c>
      <c r="G234" s="35" t="s">
        <v>5317</v>
      </c>
    </row>
    <row r="235" spans="1:7">
      <c r="A235" s="35">
        <v>1131</v>
      </c>
      <c r="B235" s="36" t="s">
        <v>2159</v>
      </c>
      <c r="C235" s="36" t="s">
        <v>4448</v>
      </c>
      <c r="D235" s="35">
        <v>7629</v>
      </c>
      <c r="E235" s="36" t="s">
        <v>5269</v>
      </c>
      <c r="F235" s="35" t="s">
        <v>5316</v>
      </c>
      <c r="G235" s="35" t="s">
        <v>5317</v>
      </c>
    </row>
    <row r="236" spans="1:7">
      <c r="A236" s="35">
        <v>1132</v>
      </c>
      <c r="B236" s="36" t="s">
        <v>2160</v>
      </c>
      <c r="C236" s="36" t="s">
        <v>4449</v>
      </c>
      <c r="D236" s="35">
        <v>7629</v>
      </c>
      <c r="E236" s="36" t="s">
        <v>5269</v>
      </c>
      <c r="F236" s="35" t="s">
        <v>5504</v>
      </c>
      <c r="G236" s="35" t="s">
        <v>5505</v>
      </c>
    </row>
    <row r="237" spans="1:7">
      <c r="A237" s="35">
        <v>1136</v>
      </c>
      <c r="B237" s="36" t="s">
        <v>2164</v>
      </c>
      <c r="C237" s="36" t="s">
        <v>4453</v>
      </c>
      <c r="D237" s="35">
        <v>7629</v>
      </c>
      <c r="E237" s="36" t="s">
        <v>5269</v>
      </c>
      <c r="F237" s="35" t="s">
        <v>5508</v>
      </c>
      <c r="G237" s="35" t="s">
        <v>5509</v>
      </c>
    </row>
    <row r="238" spans="1:7">
      <c r="A238" s="35">
        <v>1150</v>
      </c>
      <c r="B238" s="36" t="s">
        <v>2168</v>
      </c>
      <c r="C238" s="36" t="s">
        <v>4455</v>
      </c>
      <c r="D238" s="35">
        <v>7629</v>
      </c>
      <c r="E238" s="36" t="s">
        <v>5269</v>
      </c>
      <c r="F238" s="35" t="s">
        <v>5504</v>
      </c>
      <c r="G238" s="35" t="s">
        <v>5505</v>
      </c>
    </row>
    <row r="239" spans="1:7">
      <c r="A239" s="35">
        <v>1151</v>
      </c>
      <c r="B239" s="36" t="s">
        <v>2169</v>
      </c>
      <c r="C239" s="36" t="s">
        <v>4453</v>
      </c>
      <c r="D239" s="35">
        <v>7629</v>
      </c>
      <c r="E239" s="36" t="s">
        <v>5269</v>
      </c>
      <c r="F239" s="35" t="s">
        <v>5508</v>
      </c>
      <c r="G239" s="35" t="s">
        <v>5509</v>
      </c>
    </row>
    <row r="240" spans="1:7">
      <c r="A240" s="35">
        <v>1152</v>
      </c>
      <c r="B240" s="36" t="s">
        <v>2170</v>
      </c>
      <c r="C240" s="36" t="s">
        <v>4456</v>
      </c>
      <c r="D240" s="35">
        <v>7629</v>
      </c>
      <c r="E240" s="36" t="s">
        <v>5269</v>
      </c>
      <c r="F240" s="35" t="s">
        <v>5504</v>
      </c>
      <c r="G240" s="35" t="s">
        <v>5505</v>
      </c>
    </row>
    <row r="241" spans="1:7">
      <c r="A241" s="35">
        <v>1157</v>
      </c>
      <c r="B241" s="36" t="s">
        <v>2175</v>
      </c>
      <c r="C241" s="36" t="s">
        <v>4458</v>
      </c>
      <c r="D241" s="35">
        <v>7629</v>
      </c>
      <c r="E241" s="36" t="s">
        <v>5269</v>
      </c>
      <c r="F241" s="35" t="s">
        <v>5512</v>
      </c>
      <c r="G241" s="35" t="s">
        <v>5513</v>
      </c>
    </row>
    <row r="242" spans="1:7">
      <c r="A242" s="35">
        <v>1158</v>
      </c>
      <c r="B242" s="36" t="s">
        <v>2176</v>
      </c>
      <c r="C242" s="36" t="s">
        <v>4459</v>
      </c>
      <c r="D242" s="35">
        <v>7629</v>
      </c>
      <c r="E242" s="36" t="s">
        <v>5269</v>
      </c>
      <c r="F242" s="35" t="s">
        <v>5514</v>
      </c>
      <c r="G242" s="35" t="s">
        <v>5515</v>
      </c>
    </row>
    <row r="243" spans="1:7">
      <c r="A243" s="35">
        <v>1159</v>
      </c>
      <c r="B243" s="36" t="s">
        <v>2177</v>
      </c>
      <c r="C243" s="36" t="s">
        <v>4460</v>
      </c>
      <c r="D243" s="35">
        <v>7629</v>
      </c>
      <c r="E243" s="36" t="s">
        <v>5269</v>
      </c>
      <c r="F243" s="35" t="s">
        <v>5516</v>
      </c>
      <c r="G243" s="35" t="s">
        <v>5517</v>
      </c>
    </row>
    <row r="244" spans="1:7">
      <c r="A244" s="35">
        <v>1160</v>
      </c>
      <c r="B244" s="36" t="s">
        <v>2178</v>
      </c>
      <c r="C244" s="36" t="s">
        <v>4461</v>
      </c>
      <c r="D244" s="35">
        <v>7629</v>
      </c>
      <c r="E244" s="36" t="s">
        <v>5269</v>
      </c>
      <c r="F244" s="35" t="s">
        <v>5516</v>
      </c>
      <c r="G244" s="35" t="s">
        <v>5517</v>
      </c>
    </row>
    <row r="245" spans="1:7">
      <c r="A245" s="35">
        <v>1162</v>
      </c>
      <c r="B245" s="36" t="s">
        <v>1914</v>
      </c>
      <c r="C245" s="36" t="s">
        <v>4462</v>
      </c>
      <c r="D245" s="35">
        <v>7629</v>
      </c>
      <c r="E245" s="36" t="s">
        <v>5269</v>
      </c>
      <c r="F245" s="35" t="s">
        <v>5514</v>
      </c>
      <c r="G245" s="35" t="s">
        <v>5515</v>
      </c>
    </row>
    <row r="246" spans="1:7">
      <c r="A246" s="35">
        <v>1163</v>
      </c>
      <c r="B246" s="36" t="s">
        <v>1915</v>
      </c>
      <c r="C246" s="36" t="s">
        <v>4463</v>
      </c>
      <c r="D246" s="35">
        <v>7629</v>
      </c>
      <c r="E246" s="36" t="s">
        <v>5269</v>
      </c>
      <c r="F246" s="35" t="s">
        <v>5514</v>
      </c>
      <c r="G246" s="35" t="s">
        <v>5515</v>
      </c>
    </row>
    <row r="247" spans="1:7">
      <c r="A247" s="35">
        <v>1166</v>
      </c>
      <c r="B247" s="36" t="s">
        <v>1916</v>
      </c>
      <c r="C247" s="36" t="s">
        <v>4464</v>
      </c>
      <c r="D247" s="35">
        <v>7629</v>
      </c>
      <c r="E247" s="36" t="s">
        <v>5269</v>
      </c>
      <c r="F247" s="35" t="s">
        <v>5512</v>
      </c>
      <c r="G247" s="35" t="s">
        <v>5513</v>
      </c>
    </row>
    <row r="248" spans="1:7">
      <c r="A248" s="35">
        <v>1170</v>
      </c>
      <c r="B248" s="36" t="s">
        <v>1917</v>
      </c>
      <c r="C248" s="36" t="s">
        <v>4465</v>
      </c>
      <c r="D248" s="35">
        <v>7629</v>
      </c>
      <c r="E248" s="36" t="s">
        <v>5269</v>
      </c>
      <c r="F248" s="35" t="s">
        <v>5514</v>
      </c>
      <c r="G248" s="35" t="s">
        <v>5515</v>
      </c>
    </row>
    <row r="249" spans="1:7">
      <c r="A249" s="35">
        <v>1184</v>
      </c>
      <c r="B249" s="36" t="s">
        <v>1927</v>
      </c>
      <c r="C249" s="36" t="s">
        <v>4466</v>
      </c>
      <c r="D249" s="35">
        <v>7629</v>
      </c>
      <c r="E249" s="36" t="s">
        <v>5269</v>
      </c>
      <c r="F249" s="35" t="s">
        <v>5518</v>
      </c>
      <c r="G249" s="35" t="s">
        <v>5519</v>
      </c>
    </row>
    <row r="250" spans="1:7">
      <c r="A250" s="35">
        <v>1185</v>
      </c>
      <c r="B250" s="36" t="s">
        <v>1918</v>
      </c>
      <c r="C250" s="36" t="s">
        <v>4467</v>
      </c>
      <c r="D250" s="35">
        <v>7629</v>
      </c>
      <c r="E250" s="36" t="s">
        <v>5269</v>
      </c>
      <c r="F250" s="35" t="s">
        <v>5520</v>
      </c>
      <c r="G250" s="35" t="s">
        <v>5521</v>
      </c>
    </row>
    <row r="251" spans="1:7">
      <c r="A251" s="35">
        <v>1187</v>
      </c>
      <c r="B251" s="36" t="s">
        <v>1919</v>
      </c>
      <c r="C251" s="36" t="s">
        <v>4469</v>
      </c>
      <c r="D251" s="35">
        <v>7629</v>
      </c>
      <c r="E251" s="36" t="s">
        <v>5269</v>
      </c>
      <c r="F251" s="35" t="s">
        <v>5524</v>
      </c>
      <c r="G251" s="35" t="s">
        <v>5525</v>
      </c>
    </row>
    <row r="252" spans="1:7">
      <c r="A252" s="35">
        <v>1191</v>
      </c>
      <c r="B252" s="36" t="s">
        <v>1921</v>
      </c>
      <c r="C252" s="36" t="s">
        <v>4473</v>
      </c>
      <c r="D252" s="35">
        <v>7629</v>
      </c>
      <c r="E252" s="36" t="s">
        <v>5269</v>
      </c>
      <c r="F252" s="35" t="s">
        <v>5520</v>
      </c>
      <c r="G252" s="35" t="s">
        <v>5521</v>
      </c>
    </row>
    <row r="253" spans="1:7">
      <c r="A253" s="35">
        <v>1193</v>
      </c>
      <c r="B253" s="36" t="s">
        <v>1922</v>
      </c>
      <c r="C253" s="36" t="s">
        <v>4475</v>
      </c>
      <c r="D253" s="35">
        <v>7629</v>
      </c>
      <c r="E253" s="36" t="s">
        <v>5269</v>
      </c>
      <c r="F253" s="35" t="s">
        <v>5526</v>
      </c>
      <c r="G253" s="35" t="s">
        <v>5527</v>
      </c>
    </row>
    <row r="254" spans="1:7">
      <c r="A254" s="35">
        <v>1194</v>
      </c>
      <c r="B254" s="36" t="s">
        <v>1936</v>
      </c>
      <c r="C254" s="36" t="s">
        <v>4476</v>
      </c>
      <c r="D254" s="35">
        <v>7629</v>
      </c>
      <c r="E254" s="36" t="s">
        <v>5269</v>
      </c>
      <c r="F254" s="35" t="s">
        <v>5528</v>
      </c>
      <c r="G254" s="35" t="s">
        <v>5529</v>
      </c>
    </row>
    <row r="255" spans="1:7">
      <c r="A255" s="35">
        <v>1195</v>
      </c>
      <c r="B255" s="36" t="s">
        <v>1937</v>
      </c>
      <c r="C255" s="36" t="s">
        <v>4477</v>
      </c>
      <c r="D255" s="35">
        <v>7629</v>
      </c>
      <c r="E255" s="36" t="s">
        <v>5269</v>
      </c>
      <c r="F255" s="35" t="s">
        <v>5528</v>
      </c>
      <c r="G255" s="35" t="s">
        <v>5529</v>
      </c>
    </row>
    <row r="256" spans="1:7">
      <c r="A256" s="35">
        <v>1196</v>
      </c>
      <c r="B256" s="36" t="s">
        <v>1938</v>
      </c>
      <c r="C256" s="36" t="s">
        <v>4478</v>
      </c>
      <c r="D256" s="35">
        <v>7629</v>
      </c>
      <c r="E256" s="36" t="s">
        <v>5269</v>
      </c>
      <c r="F256" s="35" t="s">
        <v>5530</v>
      </c>
      <c r="G256" s="35" t="s">
        <v>5531</v>
      </c>
    </row>
    <row r="257" spans="1:7">
      <c r="A257" s="35">
        <v>1197</v>
      </c>
      <c r="B257" s="36" t="s">
        <v>1939</v>
      </c>
      <c r="C257" s="36" t="s">
        <v>4479</v>
      </c>
      <c r="D257" s="35">
        <v>7629</v>
      </c>
      <c r="E257" s="36" t="s">
        <v>5269</v>
      </c>
      <c r="F257" s="35" t="s">
        <v>5532</v>
      </c>
      <c r="G257" s="35" t="s">
        <v>5533</v>
      </c>
    </row>
    <row r="258" spans="1:7">
      <c r="A258" s="35">
        <v>1202</v>
      </c>
      <c r="B258" s="36" t="s">
        <v>1943</v>
      </c>
      <c r="C258" s="36" t="s">
        <v>4483</v>
      </c>
      <c r="D258" s="35">
        <v>7629</v>
      </c>
      <c r="E258" s="36" t="s">
        <v>5269</v>
      </c>
      <c r="F258" s="35" t="s">
        <v>5538</v>
      </c>
      <c r="G258" s="35" t="s">
        <v>5539</v>
      </c>
    </row>
    <row r="259" spans="1:7">
      <c r="A259" s="35">
        <v>1226</v>
      </c>
      <c r="B259" s="36" t="s">
        <v>2186</v>
      </c>
      <c r="C259" s="36" t="s">
        <v>4486</v>
      </c>
      <c r="D259" s="35">
        <v>7629</v>
      </c>
      <c r="E259" s="36" t="s">
        <v>5269</v>
      </c>
      <c r="F259" s="35" t="s">
        <v>5538</v>
      </c>
      <c r="G259" s="35" t="s">
        <v>5539</v>
      </c>
    </row>
    <row r="260" spans="1:7">
      <c r="A260" s="35">
        <v>1227</v>
      </c>
      <c r="B260" s="36" t="s">
        <v>2187</v>
      </c>
      <c r="C260" s="36" t="s">
        <v>4487</v>
      </c>
      <c r="D260" s="35">
        <v>7629</v>
      </c>
      <c r="E260" s="36" t="s">
        <v>5269</v>
      </c>
      <c r="F260" s="35" t="s">
        <v>5538</v>
      </c>
      <c r="G260" s="35" t="s">
        <v>5539</v>
      </c>
    </row>
    <row r="261" spans="1:7">
      <c r="A261" s="35">
        <v>1232</v>
      </c>
      <c r="B261" s="36" t="s">
        <v>2191</v>
      </c>
      <c r="C261" s="36" t="s">
        <v>4491</v>
      </c>
      <c r="D261" s="35">
        <v>7629</v>
      </c>
      <c r="E261" s="36" t="s">
        <v>5269</v>
      </c>
      <c r="F261" s="35" t="s">
        <v>5542</v>
      </c>
      <c r="G261" s="35" t="s">
        <v>5543</v>
      </c>
    </row>
    <row r="262" spans="1:7">
      <c r="A262" s="35">
        <v>1250</v>
      </c>
      <c r="B262" s="36" t="s">
        <v>1946</v>
      </c>
      <c r="C262" s="36" t="s">
        <v>4493</v>
      </c>
      <c r="D262" s="35">
        <v>7629</v>
      </c>
      <c r="E262" s="36" t="s">
        <v>5269</v>
      </c>
      <c r="F262" s="35" t="s">
        <v>5542</v>
      </c>
      <c r="G262" s="35" t="s">
        <v>5543</v>
      </c>
    </row>
    <row r="263" spans="1:7">
      <c r="A263" s="35">
        <v>1251</v>
      </c>
      <c r="B263" s="36" t="s">
        <v>1953</v>
      </c>
      <c r="C263" s="36" t="s">
        <v>4494</v>
      </c>
      <c r="D263" s="35">
        <v>7629</v>
      </c>
      <c r="E263" s="36" t="s">
        <v>5269</v>
      </c>
      <c r="F263" s="35" t="s">
        <v>5542</v>
      </c>
      <c r="G263" s="35" t="s">
        <v>5543</v>
      </c>
    </row>
    <row r="264" spans="1:7">
      <c r="A264" s="35">
        <v>1252</v>
      </c>
      <c r="B264" s="36" t="s">
        <v>1948</v>
      </c>
      <c r="C264" s="36" t="s">
        <v>4495</v>
      </c>
      <c r="D264" s="35">
        <v>7629</v>
      </c>
      <c r="E264" s="36" t="s">
        <v>5269</v>
      </c>
      <c r="F264" s="35" t="s">
        <v>5542</v>
      </c>
      <c r="G264" s="35" t="s">
        <v>5543</v>
      </c>
    </row>
    <row r="265" spans="1:7">
      <c r="A265" s="35">
        <v>1262</v>
      </c>
      <c r="B265" s="36" t="s">
        <v>1951</v>
      </c>
      <c r="C265" s="36" t="s">
        <v>4500</v>
      </c>
      <c r="D265" s="35">
        <v>7629</v>
      </c>
      <c r="E265" s="36" t="s">
        <v>5269</v>
      </c>
      <c r="F265" s="35" t="s">
        <v>5544</v>
      </c>
      <c r="G265" s="35" t="s">
        <v>5545</v>
      </c>
    </row>
    <row r="266" spans="1:7">
      <c r="A266" s="35">
        <v>1275</v>
      </c>
      <c r="B266" s="36" t="s">
        <v>1961</v>
      </c>
      <c r="C266" s="36" t="s">
        <v>4501</v>
      </c>
      <c r="D266" s="35">
        <v>7629</v>
      </c>
      <c r="E266" s="36" t="s">
        <v>5269</v>
      </c>
      <c r="F266" s="35" t="s">
        <v>5544</v>
      </c>
      <c r="G266" s="35" t="s">
        <v>5545</v>
      </c>
    </row>
    <row r="267" spans="1:7">
      <c r="A267" s="35">
        <v>1278</v>
      </c>
      <c r="B267" s="36" t="s">
        <v>1964</v>
      </c>
      <c r="C267" s="36" t="s">
        <v>4500</v>
      </c>
      <c r="D267" s="35">
        <v>7629</v>
      </c>
      <c r="E267" s="36" t="s">
        <v>5269</v>
      </c>
      <c r="F267" s="35" t="s">
        <v>5544</v>
      </c>
      <c r="G267" s="35" t="s">
        <v>5545</v>
      </c>
    </row>
    <row r="268" spans="1:7">
      <c r="A268" s="35">
        <v>1279</v>
      </c>
      <c r="B268" s="36" t="s">
        <v>1965</v>
      </c>
      <c r="C268" s="36" t="s">
        <v>4502</v>
      </c>
      <c r="D268" s="35">
        <v>7629</v>
      </c>
      <c r="E268" s="36" t="s">
        <v>5269</v>
      </c>
      <c r="F268" s="35" t="s">
        <v>5544</v>
      </c>
      <c r="G268" s="35" t="s">
        <v>5545</v>
      </c>
    </row>
    <row r="269" spans="1:7">
      <c r="A269" s="35">
        <v>1281</v>
      </c>
      <c r="B269" s="36" t="s">
        <v>1967</v>
      </c>
      <c r="C269" s="36" t="s">
        <v>4500</v>
      </c>
      <c r="D269" s="35">
        <v>7629</v>
      </c>
      <c r="E269" s="36" t="s">
        <v>5269</v>
      </c>
      <c r="F269" s="35" t="s">
        <v>5544</v>
      </c>
      <c r="G269" s="35" t="s">
        <v>5545</v>
      </c>
    </row>
    <row r="270" spans="1:7">
      <c r="A270" s="35">
        <v>1285</v>
      </c>
      <c r="B270" s="36" t="s">
        <v>1977</v>
      </c>
      <c r="C270" s="36" t="s">
        <v>4501</v>
      </c>
      <c r="D270" s="35">
        <v>7629</v>
      </c>
      <c r="E270" s="36" t="s">
        <v>5269</v>
      </c>
      <c r="F270" s="35" t="s">
        <v>5546</v>
      </c>
      <c r="G270" s="35" t="s">
        <v>5547</v>
      </c>
    </row>
    <row r="271" spans="1:7">
      <c r="A271" s="35">
        <v>1286</v>
      </c>
      <c r="B271" s="36" t="s">
        <v>1970</v>
      </c>
      <c r="C271" s="36" t="s">
        <v>4501</v>
      </c>
      <c r="D271" s="35">
        <v>7629</v>
      </c>
      <c r="E271" s="36" t="s">
        <v>5269</v>
      </c>
      <c r="F271" s="35" t="s">
        <v>5544</v>
      </c>
      <c r="G271" s="35" t="s">
        <v>5545</v>
      </c>
    </row>
    <row r="272" spans="1:7">
      <c r="A272" s="35">
        <v>1297</v>
      </c>
      <c r="B272" s="36" t="s">
        <v>1976</v>
      </c>
      <c r="C272" s="36" t="s">
        <v>4505</v>
      </c>
      <c r="D272" s="35">
        <v>7629</v>
      </c>
      <c r="E272" s="36" t="s">
        <v>5269</v>
      </c>
      <c r="F272" s="35" t="s">
        <v>5538</v>
      </c>
      <c r="G272" s="35" t="s">
        <v>5539</v>
      </c>
    </row>
    <row r="273" spans="1:7">
      <c r="A273" s="35">
        <v>1305</v>
      </c>
      <c r="B273" s="36" t="s">
        <v>1980</v>
      </c>
      <c r="C273" s="36" t="s">
        <v>4508</v>
      </c>
      <c r="D273" s="35">
        <v>7629</v>
      </c>
      <c r="E273" s="36" t="s">
        <v>5269</v>
      </c>
      <c r="F273" s="35" t="s">
        <v>5538</v>
      </c>
      <c r="G273" s="35" t="s">
        <v>5539</v>
      </c>
    </row>
    <row r="274" spans="1:7">
      <c r="A274" s="35">
        <v>1335</v>
      </c>
      <c r="B274" s="36" t="s">
        <v>1992</v>
      </c>
      <c r="C274" s="36" t="s">
        <v>4513</v>
      </c>
      <c r="D274" s="35">
        <v>7629</v>
      </c>
      <c r="E274" s="36" t="s">
        <v>5269</v>
      </c>
      <c r="F274" s="35" t="s">
        <v>5548</v>
      </c>
      <c r="G274" s="35" t="s">
        <v>5549</v>
      </c>
    </row>
    <row r="275" spans="1:7">
      <c r="A275" s="35">
        <v>1336</v>
      </c>
      <c r="B275" s="36" t="s">
        <v>1997</v>
      </c>
      <c r="C275" s="36" t="s">
        <v>4514</v>
      </c>
      <c r="D275" s="35">
        <v>7629</v>
      </c>
      <c r="E275" s="36" t="s">
        <v>5269</v>
      </c>
      <c r="F275" s="35" t="s">
        <v>5548</v>
      </c>
      <c r="G275" s="35" t="s">
        <v>5549</v>
      </c>
    </row>
    <row r="276" spans="1:7">
      <c r="A276" s="35">
        <v>1338</v>
      </c>
      <c r="B276" s="36" t="s">
        <v>1993</v>
      </c>
      <c r="C276" s="36" t="s">
        <v>4515</v>
      </c>
      <c r="D276" s="35">
        <v>7629</v>
      </c>
      <c r="E276" s="36" t="s">
        <v>5269</v>
      </c>
      <c r="F276" s="35" t="s">
        <v>5548</v>
      </c>
      <c r="G276" s="35" t="s">
        <v>5549</v>
      </c>
    </row>
    <row r="277" spans="1:7">
      <c r="A277" s="35">
        <v>1339</v>
      </c>
      <c r="B277" s="36" t="s">
        <v>1996</v>
      </c>
      <c r="C277" s="36" t="s">
        <v>4516</v>
      </c>
      <c r="D277" s="35">
        <v>7629</v>
      </c>
      <c r="E277" s="36" t="s">
        <v>5269</v>
      </c>
      <c r="F277" s="35" t="s">
        <v>5548</v>
      </c>
      <c r="G277" s="35" t="s">
        <v>5549</v>
      </c>
    </row>
    <row r="278" spans="1:7">
      <c r="A278" s="35">
        <v>1342</v>
      </c>
      <c r="B278" s="36" t="s">
        <v>2009</v>
      </c>
      <c r="C278" s="36" t="s">
        <v>4519</v>
      </c>
      <c r="D278" s="35">
        <v>7629</v>
      </c>
      <c r="E278" s="36" t="s">
        <v>5269</v>
      </c>
      <c r="F278" s="35" t="s">
        <v>5550</v>
      </c>
      <c r="G278" s="35" t="s">
        <v>5551</v>
      </c>
    </row>
    <row r="279" spans="1:7">
      <c r="A279" s="35">
        <v>1346</v>
      </c>
      <c r="B279" s="36" t="s">
        <v>2012</v>
      </c>
      <c r="C279" s="36" t="s">
        <v>4523</v>
      </c>
      <c r="D279" s="35">
        <v>7629</v>
      </c>
      <c r="E279" s="36" t="s">
        <v>5269</v>
      </c>
      <c r="F279" s="35" t="s">
        <v>5552</v>
      </c>
      <c r="G279" s="35" t="s">
        <v>5553</v>
      </c>
    </row>
    <row r="280" spans="1:7">
      <c r="A280" s="35">
        <v>1404</v>
      </c>
      <c r="B280" s="36" t="s">
        <v>2216</v>
      </c>
      <c r="C280" s="36" t="s">
        <v>4535</v>
      </c>
      <c r="D280" s="35">
        <v>7629</v>
      </c>
      <c r="E280" s="36" t="s">
        <v>5269</v>
      </c>
      <c r="F280" s="35" t="s">
        <v>5554</v>
      </c>
      <c r="G280" s="35" t="s">
        <v>5555</v>
      </c>
    </row>
    <row r="281" spans="1:7">
      <c r="A281" s="35">
        <v>1409</v>
      </c>
      <c r="B281" s="36" t="s">
        <v>2224</v>
      </c>
      <c r="C281" s="36" t="s">
        <v>4537</v>
      </c>
      <c r="D281" s="35">
        <v>7629</v>
      </c>
      <c r="E281" s="36" t="s">
        <v>5269</v>
      </c>
      <c r="F281" s="35" t="s">
        <v>5554</v>
      </c>
      <c r="G281" s="35" t="s">
        <v>5555</v>
      </c>
    </row>
    <row r="282" spans="1:7">
      <c r="A282" s="35">
        <v>1410</v>
      </c>
      <c r="B282" s="36" t="s">
        <v>2219</v>
      </c>
      <c r="C282" s="36" t="s">
        <v>4531</v>
      </c>
      <c r="D282" s="35">
        <v>7629</v>
      </c>
      <c r="E282" s="36" t="s">
        <v>5269</v>
      </c>
      <c r="F282" s="35" t="s">
        <v>5556</v>
      </c>
      <c r="G282" s="35" t="s">
        <v>5557</v>
      </c>
    </row>
    <row r="283" spans="1:7">
      <c r="A283" s="35">
        <v>1417</v>
      </c>
      <c r="B283" s="36" t="s">
        <v>2231</v>
      </c>
      <c r="C283" s="36" t="s">
        <v>4538</v>
      </c>
      <c r="D283" s="35">
        <v>7629</v>
      </c>
      <c r="E283" s="36" t="s">
        <v>5269</v>
      </c>
      <c r="F283" s="35" t="s">
        <v>5558</v>
      </c>
      <c r="G283" s="35" t="s">
        <v>5559</v>
      </c>
    </row>
    <row r="284" spans="1:7">
      <c r="A284" s="35">
        <v>1419</v>
      </c>
      <c r="B284" s="36" t="s">
        <v>2232</v>
      </c>
      <c r="C284" s="36" t="s">
        <v>4539</v>
      </c>
      <c r="D284" s="35">
        <v>7629</v>
      </c>
      <c r="E284" s="36" t="s">
        <v>5269</v>
      </c>
      <c r="F284" s="35" t="s">
        <v>5558</v>
      </c>
      <c r="G284" s="35" t="s">
        <v>5559</v>
      </c>
    </row>
    <row r="285" spans="1:7">
      <c r="A285" s="35">
        <v>1429</v>
      </c>
      <c r="B285" s="36" t="s">
        <v>2239</v>
      </c>
      <c r="C285" s="36" t="s">
        <v>4540</v>
      </c>
      <c r="D285" s="35">
        <v>7629</v>
      </c>
      <c r="E285" s="36" t="s">
        <v>5269</v>
      </c>
      <c r="F285" s="35" t="s">
        <v>5560</v>
      </c>
      <c r="G285" s="35" t="s">
        <v>5561</v>
      </c>
    </row>
    <row r="286" spans="1:7">
      <c r="A286" s="35">
        <v>1432</v>
      </c>
      <c r="B286" s="36" t="s">
        <v>2243</v>
      </c>
      <c r="C286" s="36" t="s">
        <v>4543</v>
      </c>
      <c r="D286" s="35">
        <v>7629</v>
      </c>
      <c r="E286" s="36" t="s">
        <v>5269</v>
      </c>
      <c r="F286" s="35" t="s">
        <v>5558</v>
      </c>
      <c r="G286" s="35" t="s">
        <v>5559</v>
      </c>
    </row>
    <row r="287" spans="1:7">
      <c r="A287" s="35">
        <v>1459</v>
      </c>
      <c r="B287" s="36" t="s">
        <v>2025</v>
      </c>
      <c r="C287" s="36" t="s">
        <v>4548</v>
      </c>
      <c r="D287" s="35">
        <v>7629</v>
      </c>
      <c r="E287" s="36" t="s">
        <v>5269</v>
      </c>
      <c r="F287" s="35" t="s">
        <v>5568</v>
      </c>
      <c r="G287" s="35" t="s">
        <v>5569</v>
      </c>
    </row>
    <row r="288" spans="1:7">
      <c r="A288" s="35">
        <v>1460</v>
      </c>
      <c r="B288" s="36" t="s">
        <v>2026</v>
      </c>
      <c r="C288" s="36" t="s">
        <v>4553</v>
      </c>
      <c r="D288" s="35">
        <v>7629</v>
      </c>
      <c r="E288" s="36" t="s">
        <v>5269</v>
      </c>
      <c r="F288" s="35" t="s">
        <v>5570</v>
      </c>
      <c r="G288" s="35" t="s">
        <v>5571</v>
      </c>
    </row>
    <row r="289" spans="1:7">
      <c r="A289" s="35">
        <v>1461</v>
      </c>
      <c r="B289" s="36" t="s">
        <v>2027</v>
      </c>
      <c r="C289" s="36" t="s">
        <v>4554</v>
      </c>
      <c r="D289" s="35">
        <v>7629</v>
      </c>
      <c r="E289" s="36" t="s">
        <v>5269</v>
      </c>
      <c r="F289" s="35" t="s">
        <v>5570</v>
      </c>
      <c r="G289" s="35" t="s">
        <v>5571</v>
      </c>
    </row>
    <row r="290" spans="1:7">
      <c r="A290" s="35">
        <v>1466</v>
      </c>
      <c r="B290" s="36" t="s">
        <v>2043</v>
      </c>
      <c r="C290" s="36" t="s">
        <v>4558</v>
      </c>
      <c r="D290" s="35">
        <v>7629</v>
      </c>
      <c r="E290" s="36" t="s">
        <v>5269</v>
      </c>
      <c r="F290" s="35" t="s">
        <v>5570</v>
      </c>
      <c r="G290" s="35" t="s">
        <v>5571</v>
      </c>
    </row>
    <row r="291" spans="1:7">
      <c r="A291" s="35">
        <v>1467</v>
      </c>
      <c r="B291" s="36" t="s">
        <v>2044</v>
      </c>
      <c r="C291" s="36" t="s">
        <v>4558</v>
      </c>
      <c r="D291" s="35">
        <v>7629</v>
      </c>
      <c r="E291" s="36" t="s">
        <v>5269</v>
      </c>
      <c r="F291" s="35" t="s">
        <v>5570</v>
      </c>
      <c r="G291" s="35" t="s">
        <v>5571</v>
      </c>
    </row>
    <row r="292" spans="1:7">
      <c r="A292" s="35">
        <v>1468</v>
      </c>
      <c r="B292" s="36" t="s">
        <v>2045</v>
      </c>
      <c r="C292" s="36" t="s">
        <v>4558</v>
      </c>
      <c r="D292" s="35">
        <v>7629</v>
      </c>
      <c r="E292" s="36" t="s">
        <v>5269</v>
      </c>
      <c r="F292" s="35" t="s">
        <v>5570</v>
      </c>
      <c r="G292" s="35" t="s">
        <v>5571</v>
      </c>
    </row>
    <row r="293" spans="1:7">
      <c r="A293" s="35">
        <v>1473</v>
      </c>
      <c r="B293" s="36" t="s">
        <v>2338</v>
      </c>
      <c r="C293" s="36" t="s">
        <v>4558</v>
      </c>
      <c r="D293" s="35">
        <v>7629</v>
      </c>
      <c r="E293" s="36" t="s">
        <v>5269</v>
      </c>
      <c r="F293" s="35" t="s">
        <v>5570</v>
      </c>
      <c r="G293" s="35" t="s">
        <v>5571</v>
      </c>
    </row>
    <row r="294" spans="1:7">
      <c r="A294" s="35">
        <v>1474</v>
      </c>
      <c r="B294" s="36" t="s">
        <v>2339</v>
      </c>
      <c r="C294" s="36" t="s">
        <v>4559</v>
      </c>
      <c r="D294" s="35">
        <v>7629</v>
      </c>
      <c r="E294" s="36" t="s">
        <v>5269</v>
      </c>
      <c r="F294" s="35" t="s">
        <v>5572</v>
      </c>
      <c r="G294" s="35" t="s">
        <v>5573</v>
      </c>
    </row>
    <row r="295" spans="1:7">
      <c r="A295" s="35">
        <v>1478</v>
      </c>
      <c r="B295" s="36" t="s">
        <v>2063</v>
      </c>
      <c r="C295" s="36" t="s">
        <v>4558</v>
      </c>
      <c r="D295" s="35">
        <v>7629</v>
      </c>
      <c r="E295" s="36" t="s">
        <v>5269</v>
      </c>
      <c r="F295" s="35" t="s">
        <v>5570</v>
      </c>
      <c r="G295" s="35" t="s">
        <v>5571</v>
      </c>
    </row>
    <row r="296" spans="1:7">
      <c r="A296" s="35">
        <v>1498</v>
      </c>
      <c r="B296" s="36" t="s">
        <v>2249</v>
      </c>
      <c r="C296" s="36" t="s">
        <v>4566</v>
      </c>
      <c r="D296" s="35">
        <v>7629</v>
      </c>
      <c r="E296" s="36" t="s">
        <v>5269</v>
      </c>
      <c r="F296" s="35" t="s">
        <v>5580</v>
      </c>
      <c r="G296" s="35" t="s">
        <v>5581</v>
      </c>
    </row>
    <row r="297" spans="1:7">
      <c r="A297" s="35">
        <v>1499</v>
      </c>
      <c r="B297" s="36" t="s">
        <v>2250</v>
      </c>
      <c r="C297" s="36" t="s">
        <v>4567</v>
      </c>
      <c r="D297" s="35">
        <v>7629</v>
      </c>
      <c r="E297" s="36" t="s">
        <v>5269</v>
      </c>
      <c r="F297" s="35" t="s">
        <v>5578</v>
      </c>
      <c r="G297" s="35" t="s">
        <v>5579</v>
      </c>
    </row>
    <row r="298" spans="1:7">
      <c r="A298" s="35">
        <v>1500</v>
      </c>
      <c r="B298" s="36" t="s">
        <v>2251</v>
      </c>
      <c r="C298" s="36" t="s">
        <v>4568</v>
      </c>
      <c r="D298" s="35">
        <v>7629</v>
      </c>
      <c r="E298" s="36" t="s">
        <v>5269</v>
      </c>
      <c r="F298" s="35" t="s">
        <v>5582</v>
      </c>
      <c r="G298" s="35" t="s">
        <v>5583</v>
      </c>
    </row>
    <row r="299" spans="1:7">
      <c r="A299" s="35">
        <v>1505</v>
      </c>
      <c r="B299" s="36" t="s">
        <v>2284</v>
      </c>
      <c r="C299" s="36" t="s">
        <v>4573</v>
      </c>
      <c r="D299" s="35">
        <v>7629</v>
      </c>
      <c r="E299" s="36" t="s">
        <v>5269</v>
      </c>
      <c r="F299" s="35" t="s">
        <v>5582</v>
      </c>
      <c r="G299" s="35" t="s">
        <v>5583</v>
      </c>
    </row>
    <row r="300" spans="1:7">
      <c r="A300" s="35">
        <v>1507</v>
      </c>
      <c r="B300" s="36" t="s">
        <v>2280</v>
      </c>
      <c r="C300" s="36" t="s">
        <v>4574</v>
      </c>
      <c r="D300" s="35">
        <v>7629</v>
      </c>
      <c r="E300" s="36" t="s">
        <v>5269</v>
      </c>
      <c r="F300" s="35" t="s">
        <v>5582</v>
      </c>
      <c r="G300" s="35" t="s">
        <v>5583</v>
      </c>
    </row>
    <row r="301" spans="1:7">
      <c r="A301" s="35">
        <v>1508</v>
      </c>
      <c r="B301" s="36" t="s">
        <v>2293</v>
      </c>
      <c r="C301" s="36" t="s">
        <v>4575</v>
      </c>
      <c r="D301" s="35">
        <v>7629</v>
      </c>
      <c r="E301" s="36" t="s">
        <v>5269</v>
      </c>
      <c r="F301" s="35" t="s">
        <v>5584</v>
      </c>
      <c r="G301" s="35" t="s">
        <v>5585</v>
      </c>
    </row>
    <row r="302" spans="1:7">
      <c r="A302" s="35">
        <v>1509</v>
      </c>
      <c r="B302" s="36" t="s">
        <v>2282</v>
      </c>
      <c r="C302" s="36" t="s">
        <v>4576</v>
      </c>
      <c r="D302" s="35">
        <v>7629</v>
      </c>
      <c r="E302" s="36" t="s">
        <v>5269</v>
      </c>
      <c r="F302" s="35" t="s">
        <v>5586</v>
      </c>
      <c r="G302" s="35" t="s">
        <v>5587</v>
      </c>
    </row>
    <row r="303" spans="1:7">
      <c r="A303" s="35">
        <v>1510</v>
      </c>
      <c r="B303" s="36" t="s">
        <v>2286</v>
      </c>
      <c r="C303" s="36" t="s">
        <v>4577</v>
      </c>
      <c r="D303" s="35">
        <v>7629</v>
      </c>
      <c r="E303" s="36" t="s">
        <v>5269</v>
      </c>
      <c r="F303" s="35" t="s">
        <v>5588</v>
      </c>
      <c r="G303" s="35" t="s">
        <v>5589</v>
      </c>
    </row>
    <row r="304" spans="1:7">
      <c r="A304" s="35">
        <v>1511</v>
      </c>
      <c r="B304" s="36" t="s">
        <v>2283</v>
      </c>
      <c r="C304" s="36" t="s">
        <v>4578</v>
      </c>
      <c r="D304" s="35">
        <v>7629</v>
      </c>
      <c r="E304" s="36" t="s">
        <v>5269</v>
      </c>
      <c r="F304" s="35" t="s">
        <v>5584</v>
      </c>
      <c r="G304" s="35" t="s">
        <v>5585</v>
      </c>
    </row>
    <row r="305" spans="1:7">
      <c r="A305" s="35">
        <v>1512</v>
      </c>
      <c r="B305" s="36" t="s">
        <v>2288</v>
      </c>
      <c r="C305" s="36" t="s">
        <v>4579</v>
      </c>
      <c r="D305" s="35">
        <v>7629</v>
      </c>
      <c r="E305" s="36" t="s">
        <v>5269</v>
      </c>
      <c r="F305" s="35" t="s">
        <v>5590</v>
      </c>
      <c r="G305" s="35" t="s">
        <v>5591</v>
      </c>
    </row>
    <row r="306" spans="1:7">
      <c r="A306" s="35">
        <v>1523</v>
      </c>
      <c r="B306" s="36" t="s">
        <v>2326</v>
      </c>
      <c r="C306" s="36" t="s">
        <v>4581</v>
      </c>
      <c r="D306" s="35">
        <v>7629</v>
      </c>
      <c r="E306" s="36" t="s">
        <v>5269</v>
      </c>
      <c r="F306" s="35" t="s">
        <v>5584</v>
      </c>
      <c r="G306" s="35" t="s">
        <v>5585</v>
      </c>
    </row>
    <row r="307" spans="1:7">
      <c r="A307" s="35">
        <v>1527</v>
      </c>
      <c r="B307" s="36" t="s">
        <v>2328</v>
      </c>
      <c r="C307" s="36" t="s">
        <v>4583</v>
      </c>
      <c r="D307" s="35">
        <v>7629</v>
      </c>
      <c r="E307" s="36" t="s">
        <v>5269</v>
      </c>
      <c r="F307" s="35" t="s">
        <v>5594</v>
      </c>
      <c r="G307" s="35" t="s">
        <v>5595</v>
      </c>
    </row>
    <row r="308" spans="1:7">
      <c r="A308" s="35">
        <v>1656</v>
      </c>
      <c r="B308" s="36" t="s">
        <v>2077</v>
      </c>
      <c r="C308" s="36" t="s">
        <v>4585</v>
      </c>
      <c r="D308" s="35">
        <v>7629</v>
      </c>
      <c r="E308" s="36" t="s">
        <v>5269</v>
      </c>
      <c r="F308" s="35" t="s">
        <v>5596</v>
      </c>
      <c r="G308" s="35" t="s">
        <v>5597</v>
      </c>
    </row>
    <row r="309" spans="1:7">
      <c r="A309" s="35">
        <v>1657</v>
      </c>
      <c r="B309" s="36" t="s">
        <v>2078</v>
      </c>
      <c r="C309" s="36" t="s">
        <v>4586</v>
      </c>
      <c r="D309" s="35">
        <v>7629</v>
      </c>
      <c r="E309" s="36" t="s">
        <v>5269</v>
      </c>
      <c r="F309" s="35" t="s">
        <v>5592</v>
      </c>
      <c r="G309" s="35" t="s">
        <v>5593</v>
      </c>
    </row>
    <row r="310" spans="1:7">
      <c r="A310" s="35">
        <v>1861</v>
      </c>
      <c r="B310" s="36" t="s">
        <v>2046</v>
      </c>
      <c r="C310" s="36" t="s">
        <v>4589</v>
      </c>
      <c r="D310" s="35">
        <v>7629</v>
      </c>
      <c r="E310" s="36" t="s">
        <v>5269</v>
      </c>
      <c r="F310" s="35" t="s">
        <v>5594</v>
      </c>
      <c r="G310" s="35" t="s">
        <v>5595</v>
      </c>
    </row>
    <row r="311" spans="1:7">
      <c r="A311" s="35">
        <v>1863</v>
      </c>
      <c r="B311" s="36" t="s">
        <v>2079</v>
      </c>
      <c r="C311" s="36" t="s">
        <v>4591</v>
      </c>
      <c r="D311" s="35">
        <v>7629</v>
      </c>
      <c r="E311" s="36" t="s">
        <v>5269</v>
      </c>
      <c r="F311" s="35" t="s">
        <v>5598</v>
      </c>
      <c r="G311" s="35" t="s">
        <v>5599</v>
      </c>
    </row>
    <row r="312" spans="1:7">
      <c r="A312" s="35">
        <v>1868</v>
      </c>
      <c r="B312" s="36" t="s">
        <v>2233</v>
      </c>
      <c r="C312" s="36" t="s">
        <v>4592</v>
      </c>
      <c r="D312" s="35">
        <v>7629</v>
      </c>
      <c r="E312" s="36" t="s">
        <v>5269</v>
      </c>
      <c r="F312" s="35" t="s">
        <v>5318</v>
      </c>
      <c r="G312" s="35" t="s">
        <v>5319</v>
      </c>
    </row>
    <row r="313" spans="1:7">
      <c r="A313" s="35">
        <v>1871</v>
      </c>
      <c r="B313" s="36" t="s">
        <v>1781</v>
      </c>
      <c r="C313" s="36" t="s">
        <v>4594</v>
      </c>
      <c r="D313" s="35">
        <v>7629</v>
      </c>
      <c r="E313" s="36" t="s">
        <v>5269</v>
      </c>
      <c r="F313" s="35" t="s">
        <v>5314</v>
      </c>
      <c r="G313" s="35" t="s">
        <v>5315</v>
      </c>
    </row>
    <row r="314" spans="1:7">
      <c r="A314" s="35">
        <v>1887</v>
      </c>
      <c r="B314" s="36" t="s">
        <v>1857</v>
      </c>
      <c r="C314" s="36" t="s">
        <v>4597</v>
      </c>
      <c r="D314" s="35">
        <v>7629</v>
      </c>
      <c r="E314" s="36" t="s">
        <v>5269</v>
      </c>
      <c r="F314" s="35" t="s">
        <v>5312</v>
      </c>
      <c r="G314" s="35" t="s">
        <v>5313</v>
      </c>
    </row>
    <row r="315" spans="1:7">
      <c r="A315" s="35">
        <v>1888</v>
      </c>
      <c r="B315" s="36" t="s">
        <v>1905</v>
      </c>
      <c r="C315" s="36" t="s">
        <v>4598</v>
      </c>
      <c r="D315" s="35">
        <v>7629</v>
      </c>
      <c r="E315" s="36" t="s">
        <v>5269</v>
      </c>
      <c r="F315" s="35" t="s">
        <v>5318</v>
      </c>
      <c r="G315" s="35" t="s">
        <v>5319</v>
      </c>
    </row>
    <row r="316" spans="1:7">
      <c r="A316" s="35">
        <v>1893</v>
      </c>
      <c r="B316" s="36" t="s">
        <v>1679</v>
      </c>
      <c r="C316" s="36" t="s">
        <v>4600</v>
      </c>
      <c r="D316" s="35">
        <v>7629</v>
      </c>
      <c r="E316" s="36" t="s">
        <v>5269</v>
      </c>
      <c r="F316" s="35" t="s">
        <v>5316</v>
      </c>
      <c r="G316" s="35" t="s">
        <v>5317</v>
      </c>
    </row>
    <row r="317" spans="1:7">
      <c r="A317" s="35">
        <v>1902</v>
      </c>
      <c r="B317" s="36" t="s">
        <v>2218</v>
      </c>
      <c r="C317" s="36" t="s">
        <v>4603</v>
      </c>
      <c r="D317" s="35">
        <v>7629</v>
      </c>
      <c r="E317" s="36" t="s">
        <v>5269</v>
      </c>
      <c r="F317" s="35" t="s">
        <v>5600</v>
      </c>
      <c r="G317" s="35" t="s">
        <v>5601</v>
      </c>
    </row>
    <row r="318" spans="1:7">
      <c r="A318" s="35">
        <v>1903</v>
      </c>
      <c r="B318" s="36" t="s">
        <v>2179</v>
      </c>
      <c r="C318" s="36" t="s">
        <v>4604</v>
      </c>
      <c r="D318" s="35">
        <v>7629</v>
      </c>
      <c r="E318" s="36" t="s">
        <v>5269</v>
      </c>
      <c r="F318" s="35" t="s">
        <v>5602</v>
      </c>
      <c r="G318" s="35" t="s">
        <v>5603</v>
      </c>
    </row>
    <row r="319" spans="1:7">
      <c r="A319" s="35">
        <v>1909</v>
      </c>
      <c r="B319" s="36" t="s">
        <v>2193</v>
      </c>
      <c r="C319" s="36" t="s">
        <v>4605</v>
      </c>
      <c r="D319" s="35">
        <v>7629</v>
      </c>
      <c r="E319" s="36" t="s">
        <v>5269</v>
      </c>
      <c r="F319" s="35" t="s">
        <v>5600</v>
      </c>
      <c r="G319" s="35" t="s">
        <v>5601</v>
      </c>
    </row>
    <row r="320" spans="1:7">
      <c r="A320" s="35">
        <v>1913</v>
      </c>
      <c r="B320" s="36" t="s">
        <v>2028</v>
      </c>
      <c r="C320" s="36" t="s">
        <v>4606</v>
      </c>
      <c r="D320" s="35">
        <v>7629</v>
      </c>
      <c r="E320" s="36" t="s">
        <v>5269</v>
      </c>
      <c r="F320" s="35" t="s">
        <v>5602</v>
      </c>
      <c r="G320" s="35" t="s">
        <v>5603</v>
      </c>
    </row>
    <row r="321" spans="1:7">
      <c r="A321" s="35">
        <v>1924</v>
      </c>
      <c r="B321" s="36" t="s">
        <v>1893</v>
      </c>
      <c r="C321" s="36" t="s">
        <v>4607</v>
      </c>
      <c r="D321" s="35">
        <v>7629</v>
      </c>
      <c r="E321" s="36" t="s">
        <v>5269</v>
      </c>
      <c r="F321" s="35" t="s">
        <v>5600</v>
      </c>
      <c r="G321" s="35" t="s">
        <v>5601</v>
      </c>
    </row>
    <row r="322" spans="1:7">
      <c r="A322" s="35">
        <v>1925</v>
      </c>
      <c r="B322" s="36" t="s">
        <v>1876</v>
      </c>
      <c r="C322" s="36" t="s">
        <v>4608</v>
      </c>
      <c r="D322" s="35">
        <v>7629</v>
      </c>
      <c r="E322" s="36" t="s">
        <v>5269</v>
      </c>
      <c r="F322" s="35" t="s">
        <v>5600</v>
      </c>
      <c r="G322" s="35" t="s">
        <v>5601</v>
      </c>
    </row>
    <row r="323" spans="1:7">
      <c r="A323" s="35">
        <v>1926</v>
      </c>
      <c r="B323" s="36" t="s">
        <v>1968</v>
      </c>
      <c r="C323" s="36" t="s">
        <v>4609</v>
      </c>
      <c r="D323" s="35">
        <v>7629</v>
      </c>
      <c r="E323" s="36" t="s">
        <v>5269</v>
      </c>
      <c r="F323" s="35" t="s">
        <v>5602</v>
      </c>
      <c r="G323" s="35" t="s">
        <v>5603</v>
      </c>
    </row>
    <row r="324" spans="1:7">
      <c r="A324" s="35">
        <v>1936</v>
      </c>
      <c r="B324" s="36" t="s">
        <v>2137</v>
      </c>
      <c r="C324" s="36" t="s">
        <v>4610</v>
      </c>
      <c r="D324" s="35">
        <v>7629</v>
      </c>
      <c r="E324" s="36" t="s">
        <v>5269</v>
      </c>
      <c r="F324" s="35" t="s">
        <v>5600</v>
      </c>
      <c r="G324" s="35" t="s">
        <v>5601</v>
      </c>
    </row>
    <row r="325" spans="1:7">
      <c r="A325" s="35">
        <v>1944</v>
      </c>
      <c r="B325" s="36" t="s">
        <v>1982</v>
      </c>
      <c r="C325" s="36" t="s">
        <v>4613</v>
      </c>
      <c r="D325" s="35">
        <v>7629</v>
      </c>
      <c r="E325" s="36" t="s">
        <v>5269</v>
      </c>
      <c r="F325" s="35" t="s">
        <v>5600</v>
      </c>
      <c r="G325" s="35" t="s">
        <v>5601</v>
      </c>
    </row>
    <row r="326" spans="1:7">
      <c r="A326" s="35">
        <v>1948</v>
      </c>
      <c r="B326" s="36" t="s">
        <v>1877</v>
      </c>
      <c r="C326" s="36" t="s">
        <v>4615</v>
      </c>
      <c r="D326" s="35">
        <v>7629</v>
      </c>
      <c r="E326" s="36" t="s">
        <v>5269</v>
      </c>
      <c r="F326" s="35" t="s">
        <v>5600</v>
      </c>
      <c r="G326" s="35" t="s">
        <v>5601</v>
      </c>
    </row>
    <row r="327" spans="1:7">
      <c r="A327" s="35">
        <v>1949</v>
      </c>
      <c r="B327" s="36" t="s">
        <v>2235</v>
      </c>
      <c r="C327" s="36" t="s">
        <v>4616</v>
      </c>
      <c r="D327" s="35">
        <v>7629</v>
      </c>
      <c r="E327" s="36" t="s">
        <v>5269</v>
      </c>
      <c r="F327" s="35" t="s">
        <v>5600</v>
      </c>
      <c r="G327" s="35" t="s">
        <v>5601</v>
      </c>
    </row>
    <row r="328" spans="1:7">
      <c r="A328" s="35">
        <v>1969</v>
      </c>
      <c r="B328" s="36" t="s">
        <v>1883</v>
      </c>
      <c r="C328" s="36" t="s">
        <v>4618</v>
      </c>
      <c r="D328" s="35">
        <v>7629</v>
      </c>
      <c r="E328" s="36" t="s">
        <v>5269</v>
      </c>
      <c r="F328" s="35" t="s">
        <v>5600</v>
      </c>
      <c r="G328" s="35" t="s">
        <v>5601</v>
      </c>
    </row>
    <row r="329" spans="1:7">
      <c r="A329" s="35">
        <v>1993</v>
      </c>
      <c r="B329" s="36" t="s">
        <v>2341</v>
      </c>
      <c r="C329" s="36" t="s">
        <v>4619</v>
      </c>
      <c r="D329" s="35">
        <v>7629</v>
      </c>
      <c r="E329" s="36" t="s">
        <v>5269</v>
      </c>
      <c r="F329" s="35" t="s">
        <v>5604</v>
      </c>
      <c r="G329" s="35" t="s">
        <v>5605</v>
      </c>
    </row>
    <row r="330" spans="1:7">
      <c r="A330" s="35">
        <v>1994</v>
      </c>
      <c r="B330" s="36" t="s">
        <v>2080</v>
      </c>
      <c r="C330" s="36" t="s">
        <v>4620</v>
      </c>
      <c r="D330" s="35">
        <v>7629</v>
      </c>
      <c r="E330" s="36" t="s">
        <v>5269</v>
      </c>
      <c r="F330" s="35" t="s">
        <v>5472</v>
      </c>
      <c r="G330" s="35" t="s">
        <v>5473</v>
      </c>
    </row>
    <row r="331" spans="1:7">
      <c r="A331" s="35">
        <v>2003</v>
      </c>
      <c r="B331" s="36" t="s">
        <v>2127</v>
      </c>
      <c r="C331" s="36" t="s">
        <v>4621</v>
      </c>
      <c r="D331" s="35">
        <v>7629</v>
      </c>
      <c r="E331" s="36" t="s">
        <v>5269</v>
      </c>
      <c r="F331" s="35" t="s">
        <v>5606</v>
      </c>
      <c r="G331" s="35" t="s">
        <v>5607</v>
      </c>
    </row>
    <row r="332" spans="1:7">
      <c r="A332" s="35">
        <v>2053</v>
      </c>
      <c r="B332" s="36" t="s">
        <v>2138</v>
      </c>
      <c r="C332" s="36" t="s">
        <v>4632</v>
      </c>
      <c r="D332" s="35">
        <v>7629</v>
      </c>
      <c r="E332" s="36" t="s">
        <v>5269</v>
      </c>
      <c r="F332" s="35" t="s">
        <v>5612</v>
      </c>
      <c r="G332" s="35" t="s">
        <v>5613</v>
      </c>
    </row>
    <row r="333" spans="1:7">
      <c r="A333" s="35">
        <v>2058</v>
      </c>
      <c r="B333" s="36" t="s">
        <v>2901</v>
      </c>
      <c r="C333" s="36" t="s">
        <v>4633</v>
      </c>
      <c r="D333" s="35">
        <v>7629</v>
      </c>
      <c r="E333" s="36" t="s">
        <v>5269</v>
      </c>
      <c r="F333" s="35" t="s">
        <v>5614</v>
      </c>
      <c r="G333" s="35" t="s">
        <v>5615</v>
      </c>
    </row>
    <row r="334" spans="1:7">
      <c r="A334" s="35">
        <v>2062</v>
      </c>
      <c r="B334" s="36" t="s">
        <v>2245</v>
      </c>
      <c r="C334" s="36" t="s">
        <v>4634</v>
      </c>
      <c r="D334" s="35">
        <v>7629</v>
      </c>
      <c r="E334" s="36" t="s">
        <v>5269</v>
      </c>
      <c r="F334" s="35" t="s">
        <v>5612</v>
      </c>
      <c r="G334" s="35" t="s">
        <v>5613</v>
      </c>
    </row>
    <row r="335" spans="1:7">
      <c r="A335" s="35">
        <v>2063</v>
      </c>
      <c r="B335" s="36" t="s">
        <v>2256</v>
      </c>
      <c r="C335" s="36" t="s">
        <v>4635</v>
      </c>
      <c r="D335" s="35">
        <v>7629</v>
      </c>
      <c r="E335" s="36" t="s">
        <v>5269</v>
      </c>
      <c r="F335" s="35" t="s">
        <v>5614</v>
      </c>
      <c r="G335" s="35" t="s">
        <v>5615</v>
      </c>
    </row>
    <row r="336" spans="1:7">
      <c r="A336" s="35">
        <v>2072</v>
      </c>
      <c r="B336" s="36" t="s">
        <v>2139</v>
      </c>
      <c r="C336" s="36" t="s">
        <v>4639</v>
      </c>
      <c r="D336" s="35">
        <v>7629</v>
      </c>
      <c r="E336" s="36" t="s">
        <v>5269</v>
      </c>
      <c r="F336" s="35" t="s">
        <v>5618</v>
      </c>
      <c r="G336" s="35" t="s">
        <v>5619</v>
      </c>
    </row>
    <row r="337" spans="1:7">
      <c r="A337" s="35">
        <v>2072</v>
      </c>
      <c r="B337" s="36" t="s">
        <v>2895</v>
      </c>
      <c r="C337" s="36" t="s">
        <v>4640</v>
      </c>
      <c r="D337" s="35">
        <v>7629</v>
      </c>
      <c r="E337" s="36" t="s">
        <v>5269</v>
      </c>
      <c r="F337" s="35" t="s">
        <v>5616</v>
      </c>
      <c r="G337" s="35" t="s">
        <v>5617</v>
      </c>
    </row>
    <row r="338" spans="1:7">
      <c r="A338" s="35">
        <v>2073</v>
      </c>
      <c r="B338" s="36" t="s">
        <v>2329</v>
      </c>
      <c r="C338" s="36" t="s">
        <v>4641</v>
      </c>
      <c r="D338" s="35">
        <v>7629</v>
      </c>
      <c r="E338" s="36" t="s">
        <v>5269</v>
      </c>
      <c r="F338" s="35" t="s">
        <v>5618</v>
      </c>
      <c r="G338" s="35" t="s">
        <v>5619</v>
      </c>
    </row>
    <row r="339" spans="1:7">
      <c r="A339" s="35">
        <v>2075</v>
      </c>
      <c r="B339" s="36" t="s">
        <v>2897</v>
      </c>
      <c r="C339" s="36" t="s">
        <v>4642</v>
      </c>
      <c r="D339" s="35">
        <v>7629</v>
      </c>
      <c r="E339" s="36" t="s">
        <v>5269</v>
      </c>
      <c r="F339" s="35" t="s">
        <v>5616</v>
      </c>
      <c r="G339" s="35" t="s">
        <v>5617</v>
      </c>
    </row>
    <row r="340" spans="1:7">
      <c r="A340" s="35">
        <v>2076</v>
      </c>
      <c r="B340" s="36" t="s">
        <v>2128</v>
      </c>
      <c r="C340" s="36" t="s">
        <v>4643</v>
      </c>
      <c r="D340" s="35">
        <v>7629</v>
      </c>
      <c r="E340" s="36" t="s">
        <v>5269</v>
      </c>
      <c r="F340" s="35" t="s">
        <v>5618</v>
      </c>
      <c r="G340" s="35" t="s">
        <v>5619</v>
      </c>
    </row>
    <row r="341" spans="1:7">
      <c r="A341" s="35">
        <v>2076</v>
      </c>
      <c r="B341" s="36" t="s">
        <v>2899</v>
      </c>
      <c r="C341" s="36" t="s">
        <v>4644</v>
      </c>
      <c r="D341" s="35">
        <v>7629</v>
      </c>
      <c r="E341" s="36" t="s">
        <v>5269</v>
      </c>
      <c r="F341" s="35" t="s">
        <v>5618</v>
      </c>
      <c r="G341" s="35" t="s">
        <v>5619</v>
      </c>
    </row>
    <row r="342" spans="1:7">
      <c r="A342" s="35">
        <v>2082</v>
      </c>
      <c r="B342" s="36" t="s">
        <v>1756</v>
      </c>
      <c r="C342" s="36" t="s">
        <v>4646</v>
      </c>
      <c r="D342" s="35">
        <v>7629</v>
      </c>
      <c r="E342" s="36" t="s">
        <v>5269</v>
      </c>
      <c r="F342" s="35" t="s">
        <v>5620</v>
      </c>
      <c r="G342" s="35" t="s">
        <v>5621</v>
      </c>
    </row>
    <row r="343" spans="1:7">
      <c r="A343" s="35">
        <v>2088</v>
      </c>
      <c r="B343" s="36" t="s">
        <v>2113</v>
      </c>
      <c r="C343" s="36" t="s">
        <v>4647</v>
      </c>
      <c r="D343" s="35">
        <v>7629</v>
      </c>
      <c r="E343" s="36" t="s">
        <v>5269</v>
      </c>
      <c r="F343" s="35" t="s">
        <v>5622</v>
      </c>
      <c r="G343" s="35" t="s">
        <v>5623</v>
      </c>
    </row>
    <row r="344" spans="1:7">
      <c r="A344" s="35">
        <v>2091</v>
      </c>
      <c r="B344" s="36" t="s">
        <v>2258</v>
      </c>
      <c r="C344" s="36" t="s">
        <v>4648</v>
      </c>
      <c r="D344" s="35">
        <v>7629</v>
      </c>
      <c r="E344" s="36" t="s">
        <v>5269</v>
      </c>
      <c r="F344" s="35" t="s">
        <v>5624</v>
      </c>
      <c r="G344" s="35" t="s">
        <v>5625</v>
      </c>
    </row>
    <row r="345" spans="1:7">
      <c r="A345" s="35">
        <v>2109</v>
      </c>
      <c r="B345" s="36" t="s">
        <v>2259</v>
      </c>
      <c r="C345" s="36" t="s">
        <v>4649</v>
      </c>
      <c r="D345" s="35">
        <v>7629</v>
      </c>
      <c r="E345" s="36" t="s">
        <v>5269</v>
      </c>
      <c r="F345" s="35" t="s">
        <v>5620</v>
      </c>
      <c r="G345" s="35" t="s">
        <v>5621</v>
      </c>
    </row>
    <row r="346" spans="1:7">
      <c r="A346" s="35">
        <v>2115</v>
      </c>
      <c r="B346" s="36" t="s">
        <v>2180</v>
      </c>
      <c r="C346" s="36" t="s">
        <v>4651</v>
      </c>
      <c r="D346" s="35">
        <v>7629</v>
      </c>
      <c r="E346" s="36" t="s">
        <v>5269</v>
      </c>
      <c r="F346" s="35" t="s">
        <v>5620</v>
      </c>
      <c r="G346" s="35" t="s">
        <v>5621</v>
      </c>
    </row>
    <row r="347" spans="1:7">
      <c r="A347" s="35">
        <v>2120</v>
      </c>
      <c r="B347" s="36" t="s">
        <v>2151</v>
      </c>
      <c r="C347" s="36" t="s">
        <v>4652</v>
      </c>
      <c r="D347" s="35">
        <v>7629</v>
      </c>
      <c r="E347" s="36" t="s">
        <v>5269</v>
      </c>
      <c r="F347" s="35" t="s">
        <v>5622</v>
      </c>
      <c r="G347" s="35" t="s">
        <v>5623</v>
      </c>
    </row>
    <row r="348" spans="1:7">
      <c r="A348" s="35">
        <v>2121</v>
      </c>
      <c r="B348" s="36" t="s">
        <v>2152</v>
      </c>
      <c r="C348" s="36" t="s">
        <v>4652</v>
      </c>
      <c r="D348" s="35">
        <v>7629</v>
      </c>
      <c r="E348" s="36" t="s">
        <v>5269</v>
      </c>
      <c r="F348" s="35" t="s">
        <v>5620</v>
      </c>
      <c r="G348" s="35" t="s">
        <v>5621</v>
      </c>
    </row>
    <row r="349" spans="1:7">
      <c r="A349" s="35">
        <v>2145</v>
      </c>
      <c r="B349" s="36" t="s">
        <v>2290</v>
      </c>
      <c r="C349" s="36" t="s">
        <v>4655</v>
      </c>
      <c r="D349" s="35">
        <v>7629</v>
      </c>
      <c r="E349" s="36" t="s">
        <v>5269</v>
      </c>
      <c r="F349" s="35" t="s">
        <v>5620</v>
      </c>
      <c r="G349" s="35" t="s">
        <v>5621</v>
      </c>
    </row>
    <row r="350" spans="1:7">
      <c r="A350" s="35">
        <v>2150</v>
      </c>
      <c r="B350" s="36" t="s">
        <v>2181</v>
      </c>
      <c r="C350" s="36" t="s">
        <v>4656</v>
      </c>
      <c r="D350" s="35">
        <v>7629</v>
      </c>
      <c r="E350" s="36" t="s">
        <v>5269</v>
      </c>
      <c r="F350" s="35" t="s">
        <v>5628</v>
      </c>
      <c r="G350" s="35" t="s">
        <v>5629</v>
      </c>
    </row>
    <row r="351" spans="1:7">
      <c r="A351" s="35">
        <v>2159</v>
      </c>
      <c r="B351" s="36" t="s">
        <v>1900</v>
      </c>
      <c r="C351" s="36" t="s">
        <v>4659</v>
      </c>
      <c r="D351" s="35">
        <v>7629</v>
      </c>
      <c r="E351" s="36" t="s">
        <v>5269</v>
      </c>
      <c r="F351" s="35" t="s">
        <v>5630</v>
      </c>
      <c r="G351" s="35" t="s">
        <v>5631</v>
      </c>
    </row>
    <row r="352" spans="1:7">
      <c r="A352" s="35">
        <v>2165</v>
      </c>
      <c r="B352" s="36" t="s">
        <v>2195</v>
      </c>
      <c r="C352" s="36" t="s">
        <v>4659</v>
      </c>
      <c r="D352" s="35">
        <v>7629</v>
      </c>
      <c r="E352" s="36" t="s">
        <v>5269</v>
      </c>
      <c r="F352" s="35" t="s">
        <v>5630</v>
      </c>
      <c r="G352" s="35" t="s">
        <v>5631</v>
      </c>
    </row>
    <row r="353" spans="1:7">
      <c r="A353" s="35">
        <v>2174</v>
      </c>
      <c r="B353" s="36" t="s">
        <v>2260</v>
      </c>
      <c r="C353" s="36" t="s">
        <v>4660</v>
      </c>
      <c r="D353" s="35">
        <v>7629</v>
      </c>
      <c r="E353" s="36" t="s">
        <v>5269</v>
      </c>
      <c r="F353" s="35" t="s">
        <v>5630</v>
      </c>
      <c r="G353" s="35" t="s">
        <v>5631</v>
      </c>
    </row>
    <row r="354" spans="1:7">
      <c r="A354" s="35">
        <v>2186</v>
      </c>
      <c r="B354" s="36" t="s">
        <v>2196</v>
      </c>
      <c r="C354" s="36" t="s">
        <v>4659</v>
      </c>
      <c r="D354" s="35">
        <v>7629</v>
      </c>
      <c r="E354" s="36" t="s">
        <v>5269</v>
      </c>
      <c r="F354" s="35" t="s">
        <v>5632</v>
      </c>
      <c r="G354" s="35" t="s">
        <v>5633</v>
      </c>
    </row>
    <row r="355" spans="1:7">
      <c r="A355" s="35">
        <v>2195</v>
      </c>
      <c r="B355" s="36" t="s">
        <v>2287</v>
      </c>
      <c r="C355" s="36" t="s">
        <v>4663</v>
      </c>
      <c r="D355" s="35">
        <v>7629</v>
      </c>
      <c r="E355" s="36" t="s">
        <v>5269</v>
      </c>
      <c r="F355" s="35" t="s">
        <v>5578</v>
      </c>
      <c r="G355" s="35" t="s">
        <v>5579</v>
      </c>
    </row>
    <row r="356" spans="1:7">
      <c r="A356" s="35">
        <v>2196</v>
      </c>
      <c r="B356" s="36" t="s">
        <v>1884</v>
      </c>
      <c r="C356" s="36" t="s">
        <v>4659</v>
      </c>
      <c r="D356" s="35">
        <v>7629</v>
      </c>
      <c r="E356" s="36" t="s">
        <v>5269</v>
      </c>
      <c r="F356" s="35" t="s">
        <v>5632</v>
      </c>
      <c r="G356" s="35" t="s">
        <v>5633</v>
      </c>
    </row>
    <row r="357" spans="1:7">
      <c r="A357" s="35">
        <v>2200</v>
      </c>
      <c r="B357" s="36" t="s">
        <v>2096</v>
      </c>
      <c r="C357" s="36" t="s">
        <v>4664</v>
      </c>
      <c r="D357" s="35">
        <v>7629</v>
      </c>
      <c r="E357" s="36" t="s">
        <v>5269</v>
      </c>
      <c r="F357" s="35" t="s">
        <v>5634</v>
      </c>
      <c r="G357" s="35" t="s">
        <v>5635</v>
      </c>
    </row>
    <row r="358" spans="1:7">
      <c r="A358" s="35">
        <v>2204</v>
      </c>
      <c r="B358" s="36" t="s">
        <v>2054</v>
      </c>
      <c r="C358" s="36" t="s">
        <v>4667</v>
      </c>
      <c r="D358" s="35">
        <v>7629</v>
      </c>
      <c r="E358" s="36" t="s">
        <v>5269</v>
      </c>
      <c r="F358" s="35" t="s">
        <v>5634</v>
      </c>
      <c r="G358" s="35" t="s">
        <v>5635</v>
      </c>
    </row>
    <row r="359" spans="1:7">
      <c r="A359" s="35">
        <v>2205</v>
      </c>
      <c r="B359" s="36" t="s">
        <v>1639</v>
      </c>
      <c r="C359" s="36" t="s">
        <v>4668</v>
      </c>
      <c r="D359" s="35">
        <v>7629</v>
      </c>
      <c r="E359" s="36" t="s">
        <v>5269</v>
      </c>
      <c r="F359" s="35" t="s">
        <v>5636</v>
      </c>
      <c r="G359" s="35" t="s">
        <v>5637</v>
      </c>
    </row>
    <row r="360" spans="1:7">
      <c r="A360" s="35">
        <v>2213</v>
      </c>
      <c r="B360" s="36" t="s">
        <v>2236</v>
      </c>
      <c r="C360" s="36" t="s">
        <v>4672</v>
      </c>
      <c r="D360" s="35">
        <v>7629</v>
      </c>
      <c r="E360" s="36" t="s">
        <v>5269</v>
      </c>
      <c r="F360" s="35" t="s">
        <v>5618</v>
      </c>
      <c r="G360" s="35" t="s">
        <v>5619</v>
      </c>
    </row>
    <row r="361" spans="1:7">
      <c r="A361" s="35">
        <v>2218</v>
      </c>
      <c r="B361" s="36" t="s">
        <v>2340</v>
      </c>
      <c r="C361" s="36" t="s">
        <v>4673</v>
      </c>
      <c r="D361" s="35">
        <v>7629</v>
      </c>
      <c r="E361" s="36" t="s">
        <v>5269</v>
      </c>
      <c r="F361" s="35" t="s">
        <v>5640</v>
      </c>
      <c r="G361" s="35" t="s">
        <v>5641</v>
      </c>
    </row>
    <row r="362" spans="1:7">
      <c r="A362" s="35">
        <v>2233</v>
      </c>
      <c r="B362" s="36" t="s">
        <v>1923</v>
      </c>
      <c r="C362" s="36" t="s">
        <v>4674</v>
      </c>
      <c r="D362" s="35">
        <v>7629</v>
      </c>
      <c r="E362" s="36" t="s">
        <v>5269</v>
      </c>
      <c r="F362" s="35" t="s">
        <v>5640</v>
      </c>
      <c r="G362" s="35" t="s">
        <v>5641</v>
      </c>
    </row>
    <row r="363" spans="1:7">
      <c r="A363" s="35">
        <v>2234</v>
      </c>
      <c r="B363" s="36" t="s">
        <v>2261</v>
      </c>
      <c r="C363" s="36" t="s">
        <v>4674</v>
      </c>
      <c r="D363" s="35">
        <v>7629</v>
      </c>
      <c r="E363" s="36" t="s">
        <v>5269</v>
      </c>
      <c r="F363" s="35" t="s">
        <v>5640</v>
      </c>
      <c r="G363" s="35" t="s">
        <v>5641</v>
      </c>
    </row>
    <row r="364" spans="1:7">
      <c r="A364" s="35">
        <v>2238</v>
      </c>
      <c r="B364" s="36" t="s">
        <v>1757</v>
      </c>
      <c r="C364" s="36" t="s">
        <v>4675</v>
      </c>
      <c r="D364" s="35">
        <v>7629</v>
      </c>
      <c r="E364" s="36" t="s">
        <v>5269</v>
      </c>
      <c r="F364" s="35" t="s">
        <v>5640</v>
      </c>
      <c r="G364" s="35" t="s">
        <v>5641</v>
      </c>
    </row>
    <row r="365" spans="1:7">
      <c r="A365" s="35">
        <v>2240</v>
      </c>
      <c r="B365" s="36" t="s">
        <v>1741</v>
      </c>
      <c r="C365" s="36" t="s">
        <v>4676</v>
      </c>
      <c r="D365" s="35">
        <v>7629</v>
      </c>
      <c r="E365" s="36" t="s">
        <v>5269</v>
      </c>
      <c r="F365" s="35" t="s">
        <v>5616</v>
      </c>
      <c r="G365" s="35" t="s">
        <v>5617</v>
      </c>
    </row>
    <row r="366" spans="1:7">
      <c r="A366" s="35">
        <v>2253</v>
      </c>
      <c r="B366" s="36" t="s">
        <v>2021</v>
      </c>
      <c r="C366" s="36" t="s">
        <v>4677</v>
      </c>
      <c r="D366" s="35">
        <v>7629</v>
      </c>
      <c r="E366" s="36" t="s">
        <v>5269</v>
      </c>
      <c r="F366" s="35" t="s">
        <v>5616</v>
      </c>
      <c r="G366" s="35" t="s">
        <v>5617</v>
      </c>
    </row>
    <row r="367" spans="1:7">
      <c r="A367" s="35">
        <v>2254</v>
      </c>
      <c r="B367" s="36" t="s">
        <v>2262</v>
      </c>
      <c r="C367" s="36" t="s">
        <v>4678</v>
      </c>
      <c r="D367" s="35">
        <v>7629</v>
      </c>
      <c r="E367" s="36" t="s">
        <v>5269</v>
      </c>
      <c r="F367" s="35" t="s">
        <v>5642</v>
      </c>
      <c r="G367" s="35" t="s">
        <v>5643</v>
      </c>
    </row>
    <row r="368" spans="1:7">
      <c r="A368" s="35">
        <v>2256</v>
      </c>
      <c r="B368" s="36" t="s">
        <v>2140</v>
      </c>
      <c r="C368" s="36" t="s">
        <v>4679</v>
      </c>
      <c r="D368" s="35">
        <v>7629</v>
      </c>
      <c r="E368" s="36" t="s">
        <v>5269</v>
      </c>
      <c r="F368" s="35" t="s">
        <v>5616</v>
      </c>
      <c r="G368" s="35" t="s">
        <v>5617</v>
      </c>
    </row>
    <row r="369" spans="1:7">
      <c r="A369" s="35">
        <v>2261</v>
      </c>
      <c r="B369" s="36" t="s">
        <v>1776</v>
      </c>
      <c r="C369" s="36" t="s">
        <v>4679</v>
      </c>
      <c r="D369" s="35">
        <v>7629</v>
      </c>
      <c r="E369" s="36" t="s">
        <v>5269</v>
      </c>
      <c r="F369" s="35" t="s">
        <v>5616</v>
      </c>
      <c r="G369" s="35" t="s">
        <v>5617</v>
      </c>
    </row>
    <row r="370" spans="1:7">
      <c r="A370" s="35">
        <v>2264</v>
      </c>
      <c r="B370" s="36" t="s">
        <v>2005</v>
      </c>
      <c r="C370" s="36" t="s">
        <v>4680</v>
      </c>
      <c r="D370" s="35">
        <v>7629</v>
      </c>
      <c r="E370" s="36" t="s">
        <v>5269</v>
      </c>
      <c r="F370" s="35" t="s">
        <v>5484</v>
      </c>
      <c r="G370" s="35" t="s">
        <v>5485</v>
      </c>
    </row>
    <row r="371" spans="1:7">
      <c r="A371" s="35">
        <v>2265</v>
      </c>
      <c r="B371" s="36" t="s">
        <v>2006</v>
      </c>
      <c r="C371" s="36" t="s">
        <v>4681</v>
      </c>
      <c r="D371" s="35">
        <v>7629</v>
      </c>
      <c r="E371" s="36" t="s">
        <v>5269</v>
      </c>
      <c r="F371" s="35" t="s">
        <v>5484</v>
      </c>
      <c r="G371" s="35" t="s">
        <v>5485</v>
      </c>
    </row>
    <row r="372" spans="1:7">
      <c r="A372" s="35">
        <v>2316</v>
      </c>
      <c r="B372" s="36" t="s">
        <v>2129</v>
      </c>
      <c r="C372" s="36" t="s">
        <v>4682</v>
      </c>
      <c r="D372" s="35">
        <v>7629</v>
      </c>
      <c r="E372" s="36" t="s">
        <v>5269</v>
      </c>
      <c r="F372" s="35" t="s">
        <v>5484</v>
      </c>
      <c r="G372" s="35" t="s">
        <v>5485</v>
      </c>
    </row>
    <row r="373" spans="1:7">
      <c r="A373" s="35">
        <v>2317</v>
      </c>
      <c r="B373" s="36" t="s">
        <v>1895</v>
      </c>
      <c r="C373" s="36" t="s">
        <v>4683</v>
      </c>
      <c r="D373" s="35">
        <v>7629</v>
      </c>
      <c r="E373" s="36" t="s">
        <v>5269</v>
      </c>
      <c r="F373" s="35" t="s">
        <v>5484</v>
      </c>
      <c r="G373" s="35" t="s">
        <v>5485</v>
      </c>
    </row>
    <row r="374" spans="1:7">
      <c r="A374" s="35">
        <v>2324</v>
      </c>
      <c r="B374" s="36" t="s">
        <v>1974</v>
      </c>
      <c r="C374" s="36" t="s">
        <v>4684</v>
      </c>
      <c r="D374" s="35">
        <v>7629</v>
      </c>
      <c r="E374" s="36" t="s">
        <v>5269</v>
      </c>
      <c r="F374" s="35" t="s">
        <v>5484</v>
      </c>
      <c r="G374" s="35" t="s">
        <v>5485</v>
      </c>
    </row>
    <row r="375" spans="1:7">
      <c r="A375" s="35">
        <v>2328</v>
      </c>
      <c r="B375" s="36" t="s">
        <v>1906</v>
      </c>
      <c r="C375" s="36" t="s">
        <v>4685</v>
      </c>
      <c r="D375" s="35">
        <v>7629</v>
      </c>
      <c r="E375" s="36" t="s">
        <v>5269</v>
      </c>
      <c r="F375" s="35" t="s">
        <v>5484</v>
      </c>
      <c r="G375" s="35" t="s">
        <v>5485</v>
      </c>
    </row>
    <row r="376" spans="1:7">
      <c r="A376" s="35">
        <v>2343</v>
      </c>
      <c r="B376" s="36" t="s">
        <v>1924</v>
      </c>
      <c r="C376" s="36" t="s">
        <v>4686</v>
      </c>
      <c r="D376" s="35">
        <v>7629</v>
      </c>
      <c r="E376" s="36" t="s">
        <v>5269</v>
      </c>
      <c r="F376" s="35" t="s">
        <v>5484</v>
      </c>
      <c r="G376" s="35" t="s">
        <v>5485</v>
      </c>
    </row>
    <row r="377" spans="1:7">
      <c r="A377" s="35">
        <v>2346</v>
      </c>
      <c r="B377" s="36" t="s">
        <v>1603</v>
      </c>
      <c r="C377" s="36" t="s">
        <v>4687</v>
      </c>
      <c r="D377" s="35">
        <v>7629</v>
      </c>
      <c r="E377" s="36" t="s">
        <v>5269</v>
      </c>
      <c r="F377" s="35" t="s">
        <v>5484</v>
      </c>
      <c r="G377" s="35" t="s">
        <v>5485</v>
      </c>
    </row>
    <row r="378" spans="1:7">
      <c r="A378" s="35">
        <v>2353</v>
      </c>
      <c r="B378" s="36" t="s">
        <v>1821</v>
      </c>
      <c r="C378" s="36" t="s">
        <v>4688</v>
      </c>
      <c r="D378" s="35">
        <v>7629</v>
      </c>
      <c r="E378" s="36" t="s">
        <v>5269</v>
      </c>
      <c r="F378" s="35" t="s">
        <v>5644</v>
      </c>
      <c r="G378" s="35" t="s">
        <v>5645</v>
      </c>
    </row>
    <row r="379" spans="1:7">
      <c r="A379" s="35">
        <v>2376</v>
      </c>
      <c r="B379" s="36" t="s">
        <v>1646</v>
      </c>
      <c r="C379" s="36" t="s">
        <v>4692</v>
      </c>
      <c r="D379" s="35">
        <v>7629</v>
      </c>
      <c r="E379" s="36" t="s">
        <v>5269</v>
      </c>
      <c r="F379" s="35" t="s">
        <v>5644</v>
      </c>
      <c r="G379" s="35" t="s">
        <v>5645</v>
      </c>
    </row>
    <row r="380" spans="1:7">
      <c r="A380" s="35">
        <v>2454</v>
      </c>
      <c r="B380" s="36" t="s">
        <v>2263</v>
      </c>
      <c r="C380" s="36" t="s">
        <v>4694</v>
      </c>
      <c r="D380" s="35">
        <v>7629</v>
      </c>
      <c r="E380" s="36" t="s">
        <v>5269</v>
      </c>
      <c r="F380" s="35" t="s">
        <v>5644</v>
      </c>
      <c r="G380" s="35" t="s">
        <v>5645</v>
      </c>
    </row>
    <row r="381" spans="1:7">
      <c r="A381" s="35">
        <v>2468</v>
      </c>
      <c r="B381" s="36" t="s">
        <v>1742</v>
      </c>
      <c r="C381" s="36" t="s">
        <v>4695</v>
      </c>
      <c r="D381" s="35">
        <v>7629</v>
      </c>
      <c r="E381" s="36" t="s">
        <v>5269</v>
      </c>
      <c r="F381" s="35" t="s">
        <v>5644</v>
      </c>
      <c r="G381" s="35" t="s">
        <v>5645</v>
      </c>
    </row>
    <row r="382" spans="1:7">
      <c r="A382" s="35">
        <v>2481</v>
      </c>
      <c r="B382" s="36" t="s">
        <v>1791</v>
      </c>
      <c r="C382" s="36" t="s">
        <v>4696</v>
      </c>
      <c r="D382" s="35">
        <v>7629</v>
      </c>
      <c r="E382" s="36" t="s">
        <v>5269</v>
      </c>
      <c r="F382" s="35" t="s">
        <v>5648</v>
      </c>
      <c r="G382" s="35" t="s">
        <v>5649</v>
      </c>
    </row>
    <row r="383" spans="1:7">
      <c r="A383" s="35">
        <v>2482</v>
      </c>
      <c r="B383" s="36" t="s">
        <v>1802</v>
      </c>
      <c r="C383" s="36" t="s">
        <v>4697</v>
      </c>
      <c r="D383" s="35">
        <v>7629</v>
      </c>
      <c r="E383" s="36" t="s">
        <v>5269</v>
      </c>
      <c r="F383" s="35" t="s">
        <v>5648</v>
      </c>
      <c r="G383" s="35" t="s">
        <v>5649</v>
      </c>
    </row>
    <row r="384" spans="1:7">
      <c r="A384" s="35">
        <v>2491</v>
      </c>
      <c r="B384" s="36" t="s">
        <v>2097</v>
      </c>
      <c r="C384" s="36" t="s">
        <v>4698</v>
      </c>
      <c r="D384" s="35">
        <v>7629</v>
      </c>
      <c r="E384" s="36" t="s">
        <v>5269</v>
      </c>
      <c r="F384" s="35" t="s">
        <v>5270</v>
      </c>
      <c r="G384" s="35" t="s">
        <v>5271</v>
      </c>
    </row>
    <row r="385" spans="1:7">
      <c r="A385" s="35">
        <v>2496</v>
      </c>
      <c r="B385" s="36" t="s">
        <v>2156</v>
      </c>
      <c r="C385" s="36" t="s">
        <v>4699</v>
      </c>
      <c r="D385" s="35">
        <v>7629</v>
      </c>
      <c r="E385" s="36" t="s">
        <v>5269</v>
      </c>
      <c r="F385" s="35" t="s">
        <v>5270</v>
      </c>
      <c r="G385" s="35" t="s">
        <v>5271</v>
      </c>
    </row>
    <row r="386" spans="1:7">
      <c r="A386" s="35">
        <v>2519</v>
      </c>
      <c r="B386" s="36" t="s">
        <v>1731</v>
      </c>
      <c r="C386" s="36" t="s">
        <v>4700</v>
      </c>
      <c r="D386" s="35">
        <v>7629</v>
      </c>
      <c r="E386" s="36" t="s">
        <v>5269</v>
      </c>
      <c r="F386" s="35" t="s">
        <v>5650</v>
      </c>
      <c r="G386" s="35" t="s">
        <v>5651</v>
      </c>
    </row>
    <row r="387" spans="1:7">
      <c r="A387" s="35">
        <v>2563</v>
      </c>
      <c r="B387" s="36" t="s">
        <v>1803</v>
      </c>
      <c r="C387" s="36" t="s">
        <v>4702</v>
      </c>
      <c r="D387" s="35">
        <v>7629</v>
      </c>
      <c r="E387" s="36" t="s">
        <v>5269</v>
      </c>
      <c r="F387" s="35" t="s">
        <v>5652</v>
      </c>
      <c r="G387" s="35" t="s">
        <v>5653</v>
      </c>
    </row>
    <row r="388" spans="1:7">
      <c r="A388" s="35">
        <v>2566</v>
      </c>
      <c r="B388" s="36" t="s">
        <v>2081</v>
      </c>
      <c r="C388" s="36" t="s">
        <v>4703</v>
      </c>
      <c r="D388" s="35">
        <v>7629</v>
      </c>
      <c r="E388" s="36" t="s">
        <v>5269</v>
      </c>
      <c r="F388" s="35" t="s">
        <v>5650</v>
      </c>
      <c r="G388" s="35" t="s">
        <v>5651</v>
      </c>
    </row>
    <row r="389" spans="1:7">
      <c r="A389" s="35">
        <v>2574</v>
      </c>
      <c r="B389" s="36" t="s">
        <v>2208</v>
      </c>
      <c r="C389" s="36" t="s">
        <v>4696</v>
      </c>
      <c r="D389" s="35">
        <v>7629</v>
      </c>
      <c r="E389" s="36" t="s">
        <v>5269</v>
      </c>
      <c r="F389" s="35" t="s">
        <v>5270</v>
      </c>
      <c r="G389" s="35" t="s">
        <v>5271</v>
      </c>
    </row>
    <row r="390" spans="1:7">
      <c r="A390" s="35">
        <v>2575</v>
      </c>
      <c r="B390" s="36" t="s">
        <v>2098</v>
      </c>
      <c r="C390" s="36" t="s">
        <v>4705</v>
      </c>
      <c r="D390" s="35">
        <v>7629</v>
      </c>
      <c r="E390" s="36" t="s">
        <v>5269</v>
      </c>
      <c r="F390" s="35" t="s">
        <v>5652</v>
      </c>
      <c r="G390" s="35" t="s">
        <v>5653</v>
      </c>
    </row>
    <row r="391" spans="1:7">
      <c r="A391" s="35">
        <v>2616</v>
      </c>
      <c r="B391" s="36" t="s">
        <v>2209</v>
      </c>
      <c r="C391" s="36" t="s">
        <v>4696</v>
      </c>
      <c r="D391" s="35">
        <v>7629</v>
      </c>
      <c r="E391" s="36" t="s">
        <v>5269</v>
      </c>
      <c r="F391" s="35" t="s">
        <v>5270</v>
      </c>
      <c r="G391" s="35" t="s">
        <v>5271</v>
      </c>
    </row>
    <row r="392" spans="1:7">
      <c r="A392" s="35">
        <v>2621</v>
      </c>
      <c r="B392" s="36" t="s">
        <v>2157</v>
      </c>
      <c r="C392" s="36" t="s">
        <v>4696</v>
      </c>
      <c r="D392" s="35">
        <v>7629</v>
      </c>
      <c r="E392" s="36" t="s">
        <v>5269</v>
      </c>
      <c r="F392" s="35" t="s">
        <v>5270</v>
      </c>
      <c r="G392" s="35" t="s">
        <v>5271</v>
      </c>
    </row>
    <row r="393" spans="1:7">
      <c r="A393" s="35">
        <v>2627</v>
      </c>
      <c r="B393" s="36" t="s">
        <v>2197</v>
      </c>
      <c r="C393" s="36" t="s">
        <v>4708</v>
      </c>
      <c r="D393" s="35">
        <v>7629</v>
      </c>
      <c r="E393" s="36" t="s">
        <v>5269</v>
      </c>
      <c r="F393" s="35" t="s">
        <v>5652</v>
      </c>
      <c r="G393" s="35" t="s">
        <v>5653</v>
      </c>
    </row>
    <row r="394" spans="1:7">
      <c r="A394" s="35">
        <v>2632</v>
      </c>
      <c r="B394" s="36" t="s">
        <v>2238</v>
      </c>
      <c r="C394" s="36" t="s">
        <v>4709</v>
      </c>
      <c r="D394" s="35">
        <v>7629</v>
      </c>
      <c r="E394" s="36" t="s">
        <v>5269</v>
      </c>
      <c r="F394" s="35" t="s">
        <v>5654</v>
      </c>
      <c r="G394" s="35" t="s">
        <v>5655</v>
      </c>
    </row>
    <row r="395" spans="1:7">
      <c r="A395" s="35">
        <v>2666</v>
      </c>
      <c r="B395" s="36" t="s">
        <v>1782</v>
      </c>
      <c r="C395" s="36" t="s">
        <v>4712</v>
      </c>
      <c r="D395" s="35">
        <v>7629</v>
      </c>
      <c r="E395" s="36" t="s">
        <v>5269</v>
      </c>
      <c r="F395" s="35" t="s">
        <v>5658</v>
      </c>
      <c r="G395" s="35" t="s">
        <v>5659</v>
      </c>
    </row>
    <row r="396" spans="1:7">
      <c r="A396" s="35">
        <v>2672</v>
      </c>
      <c r="B396" s="36" t="s">
        <v>2130</v>
      </c>
      <c r="C396" s="36" t="s">
        <v>4713</v>
      </c>
      <c r="D396" s="35">
        <v>7629</v>
      </c>
      <c r="E396" s="36" t="s">
        <v>5269</v>
      </c>
      <c r="F396" s="35" t="s">
        <v>5658</v>
      </c>
      <c r="G396" s="35" t="s">
        <v>5659</v>
      </c>
    </row>
    <row r="397" spans="1:7">
      <c r="A397" s="35">
        <v>2701</v>
      </c>
      <c r="B397" s="36" t="s">
        <v>1612</v>
      </c>
      <c r="C397" s="36" t="s">
        <v>4713</v>
      </c>
      <c r="D397" s="35">
        <v>7629</v>
      </c>
      <c r="E397" s="36" t="s">
        <v>5269</v>
      </c>
      <c r="F397" s="35" t="s">
        <v>5588</v>
      </c>
      <c r="G397" s="35" t="s">
        <v>5589</v>
      </c>
    </row>
    <row r="398" spans="1:7">
      <c r="A398" s="35">
        <v>2724</v>
      </c>
      <c r="B398" s="36" t="s">
        <v>1762</v>
      </c>
      <c r="C398" s="36" t="s">
        <v>4715</v>
      </c>
      <c r="D398" s="35">
        <v>7629</v>
      </c>
      <c r="E398" s="36" t="s">
        <v>5269</v>
      </c>
      <c r="F398" s="35" t="s">
        <v>5662</v>
      </c>
      <c r="G398" s="35" t="s">
        <v>5663</v>
      </c>
    </row>
    <row r="399" spans="1:7">
      <c r="A399" s="35">
        <v>2725</v>
      </c>
      <c r="B399" s="36" t="s">
        <v>1755</v>
      </c>
      <c r="C399" s="36" t="s">
        <v>4716</v>
      </c>
      <c r="D399" s="35">
        <v>7629</v>
      </c>
      <c r="E399" s="36" t="s">
        <v>5269</v>
      </c>
      <c r="F399" s="35" t="s">
        <v>5664</v>
      </c>
      <c r="G399" s="35" t="s">
        <v>5665</v>
      </c>
    </row>
    <row r="400" spans="1:7">
      <c r="A400" s="35">
        <v>2742</v>
      </c>
      <c r="B400" s="36" t="s">
        <v>1614</v>
      </c>
      <c r="C400" s="36" t="s">
        <v>4717</v>
      </c>
      <c r="D400" s="35">
        <v>7629</v>
      </c>
      <c r="E400" s="36" t="s">
        <v>5269</v>
      </c>
      <c r="F400" s="35" t="s">
        <v>5662</v>
      </c>
      <c r="G400" s="35" t="s">
        <v>5663</v>
      </c>
    </row>
    <row r="401" spans="1:7">
      <c r="A401" s="35">
        <v>2744</v>
      </c>
      <c r="B401" s="36" t="s">
        <v>1618</v>
      </c>
      <c r="C401" s="36" t="s">
        <v>4718</v>
      </c>
      <c r="D401" s="35">
        <v>7629</v>
      </c>
      <c r="E401" s="36" t="s">
        <v>5269</v>
      </c>
      <c r="F401" s="35" t="s">
        <v>5664</v>
      </c>
      <c r="G401" s="35" t="s">
        <v>5665</v>
      </c>
    </row>
    <row r="402" spans="1:7">
      <c r="A402" s="35">
        <v>2775</v>
      </c>
      <c r="B402" s="36" t="s">
        <v>2234</v>
      </c>
      <c r="C402" s="36" t="s">
        <v>4719</v>
      </c>
      <c r="D402" s="35">
        <v>7629</v>
      </c>
      <c r="E402" s="36" t="s">
        <v>5269</v>
      </c>
      <c r="F402" s="35" t="s">
        <v>5662</v>
      </c>
      <c r="G402" s="35" t="s">
        <v>5663</v>
      </c>
    </row>
    <row r="403" spans="1:7">
      <c r="A403" s="35">
        <v>2807</v>
      </c>
      <c r="B403" s="36" t="s">
        <v>1885</v>
      </c>
      <c r="C403" s="36" t="s">
        <v>4720</v>
      </c>
      <c r="D403" s="35">
        <v>7629</v>
      </c>
      <c r="E403" s="36" t="s">
        <v>5269</v>
      </c>
      <c r="F403" s="35" t="s">
        <v>5660</v>
      </c>
      <c r="G403" s="35" t="s">
        <v>5661</v>
      </c>
    </row>
    <row r="404" spans="1:7">
      <c r="A404" s="35">
        <v>2822</v>
      </c>
      <c r="B404" s="36" t="s">
        <v>2099</v>
      </c>
      <c r="C404" s="36" t="s">
        <v>4721</v>
      </c>
      <c r="D404" s="35">
        <v>7629</v>
      </c>
      <c r="E404" s="36" t="s">
        <v>5269</v>
      </c>
      <c r="F404" s="35" t="s">
        <v>5494</v>
      </c>
      <c r="G404" s="35" t="s">
        <v>5495</v>
      </c>
    </row>
    <row r="405" spans="1:7">
      <c r="A405" s="35">
        <v>2825</v>
      </c>
      <c r="B405" s="36" t="s">
        <v>2068</v>
      </c>
      <c r="C405" s="36" t="s">
        <v>4722</v>
      </c>
      <c r="D405" s="35">
        <v>7629</v>
      </c>
      <c r="E405" s="36" t="s">
        <v>5269</v>
      </c>
      <c r="F405" s="35" t="s">
        <v>5616</v>
      </c>
      <c r="G405" s="35" t="s">
        <v>5617</v>
      </c>
    </row>
    <row r="406" spans="1:7">
      <c r="A406" s="35">
        <v>2836</v>
      </c>
      <c r="B406" s="36" t="s">
        <v>1783</v>
      </c>
      <c r="C406" s="36" t="s">
        <v>4723</v>
      </c>
      <c r="D406" s="35">
        <v>7629</v>
      </c>
      <c r="E406" s="36" t="s">
        <v>5269</v>
      </c>
      <c r="F406" s="35" t="s">
        <v>5666</v>
      </c>
      <c r="G406" s="35" t="s">
        <v>5667</v>
      </c>
    </row>
    <row r="407" spans="1:7">
      <c r="A407" s="35">
        <v>2845</v>
      </c>
      <c r="B407" s="36" t="s">
        <v>2449</v>
      </c>
      <c r="C407" s="36" t="s">
        <v>4724</v>
      </c>
      <c r="D407" s="35">
        <v>7629</v>
      </c>
      <c r="E407" s="36" t="s">
        <v>5269</v>
      </c>
      <c r="F407" s="35" t="s">
        <v>5494</v>
      </c>
      <c r="G407" s="35" t="s">
        <v>5495</v>
      </c>
    </row>
    <row r="408" spans="1:7">
      <c r="A408" s="35">
        <v>2846</v>
      </c>
      <c r="B408" s="36" t="s">
        <v>2450</v>
      </c>
      <c r="C408" s="36" t="s">
        <v>4725</v>
      </c>
      <c r="D408" s="35">
        <v>7629</v>
      </c>
      <c r="E408" s="36" t="s">
        <v>5269</v>
      </c>
      <c r="F408" s="35" t="s">
        <v>5494</v>
      </c>
      <c r="G408" s="35" t="s">
        <v>5495</v>
      </c>
    </row>
    <row r="409" spans="1:7">
      <c r="A409" s="35">
        <v>2847</v>
      </c>
      <c r="B409" s="36" t="s">
        <v>2451</v>
      </c>
      <c r="C409" s="36" t="s">
        <v>4726</v>
      </c>
      <c r="D409" s="35">
        <v>7629</v>
      </c>
      <c r="E409" s="36" t="s">
        <v>5269</v>
      </c>
      <c r="F409" s="35" t="s">
        <v>5494</v>
      </c>
      <c r="G409" s="35" t="s">
        <v>5495</v>
      </c>
    </row>
    <row r="410" spans="1:7">
      <c r="A410" s="35">
        <v>2848</v>
      </c>
      <c r="B410" s="36" t="s">
        <v>2452</v>
      </c>
      <c r="C410" s="36" t="s">
        <v>4727</v>
      </c>
      <c r="D410" s="35">
        <v>7629</v>
      </c>
      <c r="E410" s="36" t="s">
        <v>5269</v>
      </c>
      <c r="F410" s="35" t="s">
        <v>5494</v>
      </c>
      <c r="G410" s="35" t="s">
        <v>5495</v>
      </c>
    </row>
    <row r="411" spans="1:7">
      <c r="A411" s="35">
        <v>2850</v>
      </c>
      <c r="B411" s="36" t="s">
        <v>2672</v>
      </c>
      <c r="C411" s="36" t="s">
        <v>4726</v>
      </c>
      <c r="D411" s="35">
        <v>7629</v>
      </c>
      <c r="E411" s="36" t="s">
        <v>5269</v>
      </c>
      <c r="F411" s="35" t="s">
        <v>5494</v>
      </c>
      <c r="G411" s="35" t="s">
        <v>5495</v>
      </c>
    </row>
    <row r="412" spans="1:7">
      <c r="A412" s="35">
        <v>2854</v>
      </c>
      <c r="B412" s="36" t="s">
        <v>2454</v>
      </c>
      <c r="C412" s="36" t="s">
        <v>4729</v>
      </c>
      <c r="D412" s="35">
        <v>7629</v>
      </c>
      <c r="E412" s="36" t="s">
        <v>5269</v>
      </c>
      <c r="F412" s="35" t="s">
        <v>5494</v>
      </c>
      <c r="G412" s="35" t="s">
        <v>5495</v>
      </c>
    </row>
    <row r="413" spans="1:7">
      <c r="A413" s="35">
        <v>2856</v>
      </c>
      <c r="B413" s="36" t="s">
        <v>2456</v>
      </c>
      <c r="C413" s="36" t="s">
        <v>4731</v>
      </c>
      <c r="D413" s="35">
        <v>7629</v>
      </c>
      <c r="E413" s="36" t="s">
        <v>5269</v>
      </c>
      <c r="F413" s="35" t="s">
        <v>5668</v>
      </c>
      <c r="G413" s="35" t="s">
        <v>5669</v>
      </c>
    </row>
    <row r="414" spans="1:7">
      <c r="A414" s="35">
        <v>2860</v>
      </c>
      <c r="B414" s="36" t="s">
        <v>2682</v>
      </c>
      <c r="C414" s="36" t="s">
        <v>4734</v>
      </c>
      <c r="D414" s="35">
        <v>7629</v>
      </c>
      <c r="E414" s="36" t="s">
        <v>5269</v>
      </c>
      <c r="F414" s="35" t="s">
        <v>5670</v>
      </c>
      <c r="G414" s="35" t="s">
        <v>5671</v>
      </c>
    </row>
    <row r="415" spans="1:7">
      <c r="A415" s="35">
        <v>2861</v>
      </c>
      <c r="B415" s="36" t="s">
        <v>2458</v>
      </c>
      <c r="C415" s="36" t="s">
        <v>4735</v>
      </c>
      <c r="D415" s="35">
        <v>7629</v>
      </c>
      <c r="E415" s="36" t="s">
        <v>5269</v>
      </c>
      <c r="F415" s="35" t="s">
        <v>5670</v>
      </c>
      <c r="G415" s="35" t="s">
        <v>5671</v>
      </c>
    </row>
    <row r="416" spans="1:7">
      <c r="A416" s="35">
        <v>2862</v>
      </c>
      <c r="B416" s="36" t="s">
        <v>2459</v>
      </c>
      <c r="C416" s="36" t="s">
        <v>4736</v>
      </c>
      <c r="D416" s="35">
        <v>7629</v>
      </c>
      <c r="E416" s="36" t="s">
        <v>5269</v>
      </c>
      <c r="F416" s="35" t="s">
        <v>5672</v>
      </c>
      <c r="G416" s="35" t="s">
        <v>5673</v>
      </c>
    </row>
    <row r="417" spans="1:7">
      <c r="A417" s="35">
        <v>2863</v>
      </c>
      <c r="B417" s="36" t="s">
        <v>2460</v>
      </c>
      <c r="C417" s="36" t="s">
        <v>4737</v>
      </c>
      <c r="D417" s="35">
        <v>7629</v>
      </c>
      <c r="E417" s="36" t="s">
        <v>5269</v>
      </c>
      <c r="F417" s="35" t="s">
        <v>5674</v>
      </c>
      <c r="G417" s="35" t="s">
        <v>5675</v>
      </c>
    </row>
    <row r="418" spans="1:7">
      <c r="A418" s="35">
        <v>2864</v>
      </c>
      <c r="B418" s="36" t="s">
        <v>2461</v>
      </c>
      <c r="C418" s="36" t="s">
        <v>4738</v>
      </c>
      <c r="D418" s="35">
        <v>7629</v>
      </c>
      <c r="E418" s="36" t="s">
        <v>5269</v>
      </c>
      <c r="F418" s="35" t="s">
        <v>5672</v>
      </c>
      <c r="G418" s="35" t="s">
        <v>5673</v>
      </c>
    </row>
    <row r="419" spans="1:7">
      <c r="A419" s="35">
        <v>2865</v>
      </c>
      <c r="B419" s="36" t="s">
        <v>2462</v>
      </c>
      <c r="C419" s="36" t="s">
        <v>4739</v>
      </c>
      <c r="D419" s="35">
        <v>7629</v>
      </c>
      <c r="E419" s="36" t="s">
        <v>5269</v>
      </c>
      <c r="F419" s="35" t="s">
        <v>5674</v>
      </c>
      <c r="G419" s="35" t="s">
        <v>5675</v>
      </c>
    </row>
    <row r="420" spans="1:7">
      <c r="A420" s="35">
        <v>2866</v>
      </c>
      <c r="B420" s="36" t="s">
        <v>2463</v>
      </c>
      <c r="C420" s="36" t="s">
        <v>4740</v>
      </c>
      <c r="D420" s="35">
        <v>7629</v>
      </c>
      <c r="E420" s="36" t="s">
        <v>5269</v>
      </c>
      <c r="F420" s="35" t="s">
        <v>5672</v>
      </c>
      <c r="G420" s="35" t="s">
        <v>5673</v>
      </c>
    </row>
    <row r="421" spans="1:7">
      <c r="A421" s="35">
        <v>2867</v>
      </c>
      <c r="B421" s="36" t="s">
        <v>2464</v>
      </c>
      <c r="C421" s="36" t="s">
        <v>4741</v>
      </c>
      <c r="D421" s="35">
        <v>7629</v>
      </c>
      <c r="E421" s="36" t="s">
        <v>5269</v>
      </c>
      <c r="F421" s="35" t="s">
        <v>5672</v>
      </c>
      <c r="G421" s="35" t="s">
        <v>5673</v>
      </c>
    </row>
    <row r="422" spans="1:7">
      <c r="A422" s="35">
        <v>2869</v>
      </c>
      <c r="B422" s="36" t="s">
        <v>2345</v>
      </c>
      <c r="C422" s="36" t="s">
        <v>4740</v>
      </c>
      <c r="D422" s="35">
        <v>7629</v>
      </c>
      <c r="E422" s="36" t="s">
        <v>5269</v>
      </c>
      <c r="F422" s="35" t="s">
        <v>5672</v>
      </c>
      <c r="G422" s="35" t="s">
        <v>5673</v>
      </c>
    </row>
    <row r="423" spans="1:7">
      <c r="A423" s="35">
        <v>2871</v>
      </c>
      <c r="B423" s="36" t="s">
        <v>2347</v>
      </c>
      <c r="C423" s="36" t="s">
        <v>4744</v>
      </c>
      <c r="D423" s="35">
        <v>7629</v>
      </c>
      <c r="E423" s="36" t="s">
        <v>5269</v>
      </c>
      <c r="F423" s="35" t="s">
        <v>5664</v>
      </c>
      <c r="G423" s="35" t="s">
        <v>5665</v>
      </c>
    </row>
    <row r="424" spans="1:7">
      <c r="A424" s="35">
        <v>2873</v>
      </c>
      <c r="B424" s="36" t="s">
        <v>2349</v>
      </c>
      <c r="C424" s="36" t="s">
        <v>4746</v>
      </c>
      <c r="D424" s="35">
        <v>7629</v>
      </c>
      <c r="E424" s="36" t="s">
        <v>5269</v>
      </c>
      <c r="F424" s="35" t="s">
        <v>5676</v>
      </c>
      <c r="G424" s="35" t="s">
        <v>5677</v>
      </c>
    </row>
    <row r="425" spans="1:7">
      <c r="A425" s="35">
        <v>2877</v>
      </c>
      <c r="B425" s="36" t="s">
        <v>2663</v>
      </c>
      <c r="C425" s="36" t="s">
        <v>4749</v>
      </c>
      <c r="D425" s="35">
        <v>7629</v>
      </c>
      <c r="E425" s="36" t="s">
        <v>5269</v>
      </c>
      <c r="F425" s="35" t="s">
        <v>5664</v>
      </c>
      <c r="G425" s="35" t="s">
        <v>5665</v>
      </c>
    </row>
    <row r="426" spans="1:7">
      <c r="A426" s="35">
        <v>2879</v>
      </c>
      <c r="B426" s="36" t="s">
        <v>2665</v>
      </c>
      <c r="C426" s="36" t="s">
        <v>4751</v>
      </c>
      <c r="D426" s="35">
        <v>7629</v>
      </c>
      <c r="E426" s="36" t="s">
        <v>5269</v>
      </c>
      <c r="F426" s="35" t="s">
        <v>5670</v>
      </c>
      <c r="G426" s="35" t="s">
        <v>5671</v>
      </c>
    </row>
    <row r="427" spans="1:7">
      <c r="A427" s="35">
        <v>2885</v>
      </c>
      <c r="B427" s="36" t="s">
        <v>2591</v>
      </c>
      <c r="C427" s="36" t="s">
        <v>4753</v>
      </c>
      <c r="D427" s="35">
        <v>7629</v>
      </c>
      <c r="E427" s="36" t="s">
        <v>5269</v>
      </c>
      <c r="F427" s="35" t="s">
        <v>5670</v>
      </c>
      <c r="G427" s="35" t="s">
        <v>5671</v>
      </c>
    </row>
    <row r="428" spans="1:7">
      <c r="A428" s="35">
        <v>2888</v>
      </c>
      <c r="B428" s="36" t="s">
        <v>2689</v>
      </c>
      <c r="C428" s="36" t="s">
        <v>4755</v>
      </c>
      <c r="D428" s="35">
        <v>7629</v>
      </c>
      <c r="E428" s="36" t="s">
        <v>5269</v>
      </c>
      <c r="F428" s="35" t="s">
        <v>5682</v>
      </c>
      <c r="G428" s="35" t="s">
        <v>5683</v>
      </c>
    </row>
    <row r="429" spans="1:7">
      <c r="A429" s="35">
        <v>2890</v>
      </c>
      <c r="B429" s="36" t="s">
        <v>2691</v>
      </c>
      <c r="C429" s="36" t="s">
        <v>4756</v>
      </c>
      <c r="D429" s="35">
        <v>7629</v>
      </c>
      <c r="E429" s="36" t="s">
        <v>5269</v>
      </c>
      <c r="F429" s="35" t="s">
        <v>5682</v>
      </c>
      <c r="G429" s="35" t="s">
        <v>5683</v>
      </c>
    </row>
    <row r="430" spans="1:7">
      <c r="A430" s="35">
        <v>2893</v>
      </c>
      <c r="B430" s="36" t="s">
        <v>2692</v>
      </c>
      <c r="C430" s="36" t="s">
        <v>4756</v>
      </c>
      <c r="D430" s="35">
        <v>7629</v>
      </c>
      <c r="E430" s="36" t="s">
        <v>5269</v>
      </c>
      <c r="F430" s="35" t="s">
        <v>5682</v>
      </c>
      <c r="G430" s="35" t="s">
        <v>5683</v>
      </c>
    </row>
    <row r="431" spans="1:7">
      <c r="A431" s="35">
        <v>2895</v>
      </c>
      <c r="B431" s="36" t="s">
        <v>2352</v>
      </c>
      <c r="C431" s="36" t="s">
        <v>4758</v>
      </c>
      <c r="D431" s="35">
        <v>7629</v>
      </c>
      <c r="E431" s="36" t="s">
        <v>5269</v>
      </c>
      <c r="F431" s="35" t="s">
        <v>5686</v>
      </c>
      <c r="G431" s="35" t="s">
        <v>5687</v>
      </c>
    </row>
    <row r="432" spans="1:7">
      <c r="A432" s="35">
        <v>2897</v>
      </c>
      <c r="B432" s="36" t="s">
        <v>2693</v>
      </c>
      <c r="C432" s="36" t="s">
        <v>4759</v>
      </c>
      <c r="D432" s="35">
        <v>7629</v>
      </c>
      <c r="E432" s="36" t="s">
        <v>5269</v>
      </c>
      <c r="F432" s="35" t="s">
        <v>5686</v>
      </c>
      <c r="G432" s="35" t="s">
        <v>5687</v>
      </c>
    </row>
    <row r="433" spans="1:7">
      <c r="A433" s="35">
        <v>2899</v>
      </c>
      <c r="B433" s="36" t="s">
        <v>2694</v>
      </c>
      <c r="C433" s="36" t="s">
        <v>4761</v>
      </c>
      <c r="D433" s="35">
        <v>7629</v>
      </c>
      <c r="E433" s="36" t="s">
        <v>5269</v>
      </c>
      <c r="F433" s="35" t="s">
        <v>5688</v>
      </c>
      <c r="G433" s="35" t="s">
        <v>5689</v>
      </c>
    </row>
    <row r="434" spans="1:7">
      <c r="A434" s="35">
        <v>2900</v>
      </c>
      <c r="B434" s="36" t="s">
        <v>2596</v>
      </c>
      <c r="C434" s="36" t="s">
        <v>4761</v>
      </c>
      <c r="D434" s="35">
        <v>7629</v>
      </c>
      <c r="E434" s="36" t="s">
        <v>5269</v>
      </c>
      <c r="F434" s="35" t="s">
        <v>5688</v>
      </c>
      <c r="G434" s="35" t="s">
        <v>5689</v>
      </c>
    </row>
    <row r="435" spans="1:7">
      <c r="A435" s="35">
        <v>2901</v>
      </c>
      <c r="B435" s="36" t="s">
        <v>2696</v>
      </c>
      <c r="C435" s="36" t="s">
        <v>4762</v>
      </c>
      <c r="D435" s="35">
        <v>7629</v>
      </c>
      <c r="E435" s="36" t="s">
        <v>5269</v>
      </c>
      <c r="F435" s="35" t="s">
        <v>5684</v>
      </c>
      <c r="G435" s="35" t="s">
        <v>5685</v>
      </c>
    </row>
    <row r="436" spans="1:7">
      <c r="A436" s="35">
        <v>2902</v>
      </c>
      <c r="B436" s="36" t="s">
        <v>2597</v>
      </c>
      <c r="C436" s="36" t="s">
        <v>4763</v>
      </c>
      <c r="D436" s="35">
        <v>7629</v>
      </c>
      <c r="E436" s="36" t="s">
        <v>5269</v>
      </c>
      <c r="F436" s="35" t="s">
        <v>5688</v>
      </c>
      <c r="G436" s="35" t="s">
        <v>5689</v>
      </c>
    </row>
    <row r="437" spans="1:7">
      <c r="A437" s="35">
        <v>2903</v>
      </c>
      <c r="B437" s="36" t="s">
        <v>2697</v>
      </c>
      <c r="C437" s="36" t="s">
        <v>4761</v>
      </c>
      <c r="D437" s="35">
        <v>7629</v>
      </c>
      <c r="E437" s="36" t="s">
        <v>5269</v>
      </c>
      <c r="F437" s="35" t="s">
        <v>5684</v>
      </c>
      <c r="G437" s="35" t="s">
        <v>5685</v>
      </c>
    </row>
    <row r="438" spans="1:7">
      <c r="A438" s="35">
        <v>2904</v>
      </c>
      <c r="B438" s="36" t="s">
        <v>2698</v>
      </c>
      <c r="C438" s="36" t="s">
        <v>4764</v>
      </c>
      <c r="D438" s="35">
        <v>7629</v>
      </c>
      <c r="E438" s="36" t="s">
        <v>5269</v>
      </c>
      <c r="F438" s="35" t="s">
        <v>5688</v>
      </c>
      <c r="G438" s="35" t="s">
        <v>5689</v>
      </c>
    </row>
    <row r="439" spans="1:7">
      <c r="A439" s="35">
        <v>2905</v>
      </c>
      <c r="B439" s="36" t="s">
        <v>2699</v>
      </c>
      <c r="C439" s="36" t="s">
        <v>4765</v>
      </c>
      <c r="D439" s="35">
        <v>7629</v>
      </c>
      <c r="E439" s="36" t="s">
        <v>5269</v>
      </c>
      <c r="F439" s="35" t="s">
        <v>5690</v>
      </c>
      <c r="G439" s="35" t="s">
        <v>5691</v>
      </c>
    </row>
    <row r="440" spans="1:7">
      <c r="A440" s="35">
        <v>2906</v>
      </c>
      <c r="B440" s="36" t="s">
        <v>2471</v>
      </c>
      <c r="C440" s="36" t="s">
        <v>4764</v>
      </c>
      <c r="D440" s="35">
        <v>7629</v>
      </c>
      <c r="E440" s="36" t="s">
        <v>5269</v>
      </c>
      <c r="F440" s="35" t="s">
        <v>5688</v>
      </c>
      <c r="G440" s="35" t="s">
        <v>5689</v>
      </c>
    </row>
    <row r="441" spans="1:7">
      <c r="A441" s="35">
        <v>2907</v>
      </c>
      <c r="B441" s="36" t="s">
        <v>2472</v>
      </c>
      <c r="C441" s="36" t="s">
        <v>4764</v>
      </c>
      <c r="D441" s="35">
        <v>7629</v>
      </c>
      <c r="E441" s="36" t="s">
        <v>5269</v>
      </c>
      <c r="F441" s="35" t="s">
        <v>5688</v>
      </c>
      <c r="G441" s="35" t="s">
        <v>5689</v>
      </c>
    </row>
    <row r="442" spans="1:7">
      <c r="A442" s="35">
        <v>2908</v>
      </c>
      <c r="B442" s="36" t="s">
        <v>2465</v>
      </c>
      <c r="C442" s="36" t="s">
        <v>4764</v>
      </c>
      <c r="D442" s="35">
        <v>7629</v>
      </c>
      <c r="E442" s="36" t="s">
        <v>5269</v>
      </c>
      <c r="F442" s="35" t="s">
        <v>5688</v>
      </c>
      <c r="G442" s="35" t="s">
        <v>5689</v>
      </c>
    </row>
    <row r="443" spans="1:7">
      <c r="A443" s="35">
        <v>2909</v>
      </c>
      <c r="B443" s="36" t="s">
        <v>2466</v>
      </c>
      <c r="C443" s="36" t="s">
        <v>4766</v>
      </c>
      <c r="D443" s="35">
        <v>7629</v>
      </c>
      <c r="E443" s="36" t="s">
        <v>5269</v>
      </c>
      <c r="F443" s="35" t="s">
        <v>5692</v>
      </c>
      <c r="G443" s="35" t="s">
        <v>5693</v>
      </c>
    </row>
    <row r="444" spans="1:7">
      <c r="A444" s="35">
        <v>2910</v>
      </c>
      <c r="B444" s="36" t="s">
        <v>2467</v>
      </c>
      <c r="C444" s="36" t="s">
        <v>4767</v>
      </c>
      <c r="D444" s="35">
        <v>7629</v>
      </c>
      <c r="E444" s="36" t="s">
        <v>5269</v>
      </c>
      <c r="F444" s="35" t="s">
        <v>5692</v>
      </c>
      <c r="G444" s="35" t="s">
        <v>5693</v>
      </c>
    </row>
    <row r="445" spans="1:7">
      <c r="A445" s="35">
        <v>2911</v>
      </c>
      <c r="B445" s="36" t="s">
        <v>2468</v>
      </c>
      <c r="C445" s="36" t="s">
        <v>4768</v>
      </c>
      <c r="D445" s="35">
        <v>7629</v>
      </c>
      <c r="E445" s="36" t="s">
        <v>5269</v>
      </c>
      <c r="F445" s="35" t="s">
        <v>5692</v>
      </c>
      <c r="G445" s="35" t="s">
        <v>5693</v>
      </c>
    </row>
    <row r="446" spans="1:7">
      <c r="A446" s="35">
        <v>2912</v>
      </c>
      <c r="B446" s="36" t="s">
        <v>2469</v>
      </c>
      <c r="C446" s="36" t="s">
        <v>4769</v>
      </c>
      <c r="D446" s="35">
        <v>7629</v>
      </c>
      <c r="E446" s="36" t="s">
        <v>5269</v>
      </c>
      <c r="F446" s="35" t="s">
        <v>5692</v>
      </c>
      <c r="G446" s="35" t="s">
        <v>5693</v>
      </c>
    </row>
    <row r="447" spans="1:7">
      <c r="A447" s="35">
        <v>2913</v>
      </c>
      <c r="B447" s="36" t="s">
        <v>2475</v>
      </c>
      <c r="C447" s="36" t="s">
        <v>4770</v>
      </c>
      <c r="D447" s="35">
        <v>7629</v>
      </c>
      <c r="E447" s="36" t="s">
        <v>5269</v>
      </c>
      <c r="F447" s="35" t="s">
        <v>5692</v>
      </c>
      <c r="G447" s="35" t="s">
        <v>5693</v>
      </c>
    </row>
    <row r="448" spans="1:7">
      <c r="A448" s="35">
        <v>2914</v>
      </c>
      <c r="B448" s="36" t="s">
        <v>2476</v>
      </c>
      <c r="C448" s="36" t="s">
        <v>4771</v>
      </c>
      <c r="D448" s="35">
        <v>7629</v>
      </c>
      <c r="E448" s="36" t="s">
        <v>5269</v>
      </c>
      <c r="F448" s="35" t="s">
        <v>5692</v>
      </c>
      <c r="G448" s="35" t="s">
        <v>5693</v>
      </c>
    </row>
    <row r="449" spans="1:7">
      <c r="A449" s="35">
        <v>2915</v>
      </c>
      <c r="B449" s="36" t="s">
        <v>2477</v>
      </c>
      <c r="C449" s="36" t="s">
        <v>4772</v>
      </c>
      <c r="D449" s="35">
        <v>7629</v>
      </c>
      <c r="E449" s="36" t="s">
        <v>5269</v>
      </c>
      <c r="F449" s="35" t="s">
        <v>5328</v>
      </c>
      <c r="G449" s="35" t="s">
        <v>5329</v>
      </c>
    </row>
    <row r="450" spans="1:7">
      <c r="A450" s="35">
        <v>2917</v>
      </c>
      <c r="B450" s="36" t="s">
        <v>2677</v>
      </c>
      <c r="C450" s="36" t="s">
        <v>4774</v>
      </c>
      <c r="D450" s="35">
        <v>7629</v>
      </c>
      <c r="E450" s="36" t="s">
        <v>5269</v>
      </c>
      <c r="F450" s="35" t="s">
        <v>5694</v>
      </c>
      <c r="G450" s="35" t="s">
        <v>5695</v>
      </c>
    </row>
    <row r="451" spans="1:7">
      <c r="A451" s="35">
        <v>2920</v>
      </c>
      <c r="B451" s="36" t="s">
        <v>2586</v>
      </c>
      <c r="C451" s="36" t="s">
        <v>4777</v>
      </c>
      <c r="D451" s="35">
        <v>7629</v>
      </c>
      <c r="E451" s="36" t="s">
        <v>5269</v>
      </c>
      <c r="F451" s="35" t="s">
        <v>5696</v>
      </c>
      <c r="G451" s="35" t="s">
        <v>5697</v>
      </c>
    </row>
    <row r="452" spans="1:7">
      <c r="A452" s="35">
        <v>2923</v>
      </c>
      <c r="B452" s="36" t="s">
        <v>2593</v>
      </c>
      <c r="C452" s="36" t="s">
        <v>4780</v>
      </c>
      <c r="D452" s="35">
        <v>7629</v>
      </c>
      <c r="E452" s="36" t="s">
        <v>5269</v>
      </c>
      <c r="F452" s="35" t="s">
        <v>5700</v>
      </c>
      <c r="G452" s="35" t="s">
        <v>5701</v>
      </c>
    </row>
    <row r="453" spans="1:7">
      <c r="A453" s="35">
        <v>2924</v>
      </c>
      <c r="B453" s="36" t="s">
        <v>2594</v>
      </c>
      <c r="C453" s="36" t="s">
        <v>4780</v>
      </c>
      <c r="D453" s="35">
        <v>7629</v>
      </c>
      <c r="E453" s="36" t="s">
        <v>5269</v>
      </c>
      <c r="F453" s="35" t="s">
        <v>5698</v>
      </c>
      <c r="G453" s="35" t="s">
        <v>5699</v>
      </c>
    </row>
    <row r="454" spans="1:7">
      <c r="A454" s="35">
        <v>2925</v>
      </c>
      <c r="B454" s="36" t="s">
        <v>2595</v>
      </c>
      <c r="C454" s="36" t="s">
        <v>4781</v>
      </c>
      <c r="D454" s="35">
        <v>7629</v>
      </c>
      <c r="E454" s="36" t="s">
        <v>5269</v>
      </c>
      <c r="F454" s="35" t="s">
        <v>5702</v>
      </c>
      <c r="G454" s="35" t="s">
        <v>5703</v>
      </c>
    </row>
    <row r="455" spans="1:7">
      <c r="A455" s="35">
        <v>2930</v>
      </c>
      <c r="B455" s="36" t="s">
        <v>2333</v>
      </c>
      <c r="C455" s="36" t="s">
        <v>4782</v>
      </c>
      <c r="D455" s="35">
        <v>7629</v>
      </c>
      <c r="E455" s="36" t="s">
        <v>5269</v>
      </c>
      <c r="F455" s="35" t="s">
        <v>5702</v>
      </c>
      <c r="G455" s="35" t="s">
        <v>5703</v>
      </c>
    </row>
    <row r="456" spans="1:7">
      <c r="A456" s="35">
        <v>2934</v>
      </c>
      <c r="B456" s="36" t="s">
        <v>2575</v>
      </c>
      <c r="C456" s="36" t="s">
        <v>4785</v>
      </c>
      <c r="D456" s="35">
        <v>7629</v>
      </c>
      <c r="E456" s="36" t="s">
        <v>5269</v>
      </c>
      <c r="F456" s="35" t="s">
        <v>5702</v>
      </c>
      <c r="G456" s="35" t="s">
        <v>5703</v>
      </c>
    </row>
    <row r="457" spans="1:7">
      <c r="A457" s="35">
        <v>2935</v>
      </c>
      <c r="B457" s="36" t="s">
        <v>2576</v>
      </c>
      <c r="C457" s="36" t="s">
        <v>4786</v>
      </c>
      <c r="D457" s="35">
        <v>7629</v>
      </c>
      <c r="E457" s="36" t="s">
        <v>5269</v>
      </c>
      <c r="F457" s="35" t="s">
        <v>5702</v>
      </c>
      <c r="G457" s="35" t="s">
        <v>5703</v>
      </c>
    </row>
    <row r="458" spans="1:7">
      <c r="A458" s="35">
        <v>2936</v>
      </c>
      <c r="B458" s="36" t="s">
        <v>2577</v>
      </c>
      <c r="C458" s="36" t="s">
        <v>4787</v>
      </c>
      <c r="D458" s="35">
        <v>7629</v>
      </c>
      <c r="E458" s="36" t="s">
        <v>5269</v>
      </c>
      <c r="F458" s="35" t="s">
        <v>5706</v>
      </c>
      <c r="G458" s="35" t="s">
        <v>5707</v>
      </c>
    </row>
    <row r="459" spans="1:7">
      <c r="A459" s="35">
        <v>2937</v>
      </c>
      <c r="B459" s="36" t="s">
        <v>2578</v>
      </c>
      <c r="C459" s="36" t="s">
        <v>4788</v>
      </c>
      <c r="D459" s="35">
        <v>7629</v>
      </c>
      <c r="E459" s="36" t="s">
        <v>5269</v>
      </c>
      <c r="F459" s="35" t="s">
        <v>5706</v>
      </c>
      <c r="G459" s="35" t="s">
        <v>5707</v>
      </c>
    </row>
    <row r="460" spans="1:7">
      <c r="A460" s="35">
        <v>2938</v>
      </c>
      <c r="B460" s="36" t="s">
        <v>2579</v>
      </c>
      <c r="C460" s="36" t="s">
        <v>4789</v>
      </c>
      <c r="D460" s="35">
        <v>7629</v>
      </c>
      <c r="E460" s="36" t="s">
        <v>5269</v>
      </c>
      <c r="F460" s="35" t="s">
        <v>5706</v>
      </c>
      <c r="G460" s="35" t="s">
        <v>5707</v>
      </c>
    </row>
    <row r="461" spans="1:7">
      <c r="A461" s="35">
        <v>2939</v>
      </c>
      <c r="B461" s="36" t="s">
        <v>2580</v>
      </c>
      <c r="C461" s="36" t="s">
        <v>4790</v>
      </c>
      <c r="D461" s="35">
        <v>7629</v>
      </c>
      <c r="E461" s="36" t="s">
        <v>5269</v>
      </c>
      <c r="F461" s="35" t="s">
        <v>5708</v>
      </c>
      <c r="G461" s="35" t="s">
        <v>5709</v>
      </c>
    </row>
    <row r="462" spans="1:7">
      <c r="A462" s="35">
        <v>2940</v>
      </c>
      <c r="B462" s="36" t="s">
        <v>2581</v>
      </c>
      <c r="C462" s="36" t="s">
        <v>4791</v>
      </c>
      <c r="D462" s="35">
        <v>7629</v>
      </c>
      <c r="E462" s="36" t="s">
        <v>5269</v>
      </c>
      <c r="F462" s="35" t="s">
        <v>5708</v>
      </c>
      <c r="G462" s="35" t="s">
        <v>5709</v>
      </c>
    </row>
    <row r="463" spans="1:7">
      <c r="A463" s="35">
        <v>2941</v>
      </c>
      <c r="B463" s="36" t="s">
        <v>2582</v>
      </c>
      <c r="C463" s="36" t="s">
        <v>4792</v>
      </c>
      <c r="D463" s="35">
        <v>7629</v>
      </c>
      <c r="E463" s="36" t="s">
        <v>5269</v>
      </c>
      <c r="F463" s="35" t="s">
        <v>5708</v>
      </c>
      <c r="G463" s="35" t="s">
        <v>5709</v>
      </c>
    </row>
    <row r="464" spans="1:7">
      <c r="A464" s="35">
        <v>2942</v>
      </c>
      <c r="B464" s="36" t="s">
        <v>2583</v>
      </c>
      <c r="C464" s="36" t="s">
        <v>4793</v>
      </c>
      <c r="D464" s="35">
        <v>7629</v>
      </c>
      <c r="E464" s="36" t="s">
        <v>5269</v>
      </c>
      <c r="F464" s="35" t="s">
        <v>5708</v>
      </c>
      <c r="G464" s="35" t="s">
        <v>5709</v>
      </c>
    </row>
    <row r="465" spans="1:7">
      <c r="A465" s="35">
        <v>2943</v>
      </c>
      <c r="B465" s="36" t="s">
        <v>2584</v>
      </c>
      <c r="C465" s="36" t="s">
        <v>4790</v>
      </c>
      <c r="D465" s="35">
        <v>7629</v>
      </c>
      <c r="E465" s="36" t="s">
        <v>5269</v>
      </c>
      <c r="F465" s="35" t="s">
        <v>5710</v>
      </c>
      <c r="G465" s="35" t="s">
        <v>5711</v>
      </c>
    </row>
    <row r="466" spans="1:7">
      <c r="A466" s="35">
        <v>2944</v>
      </c>
      <c r="B466" s="36" t="s">
        <v>2598</v>
      </c>
      <c r="C466" s="36" t="s">
        <v>4794</v>
      </c>
      <c r="D466" s="35">
        <v>7629</v>
      </c>
      <c r="E466" s="36" t="s">
        <v>5269</v>
      </c>
      <c r="F466" s="35" t="s">
        <v>5710</v>
      </c>
      <c r="G466" s="35" t="s">
        <v>5711</v>
      </c>
    </row>
    <row r="467" spans="1:7">
      <c r="A467" s="35">
        <v>2945</v>
      </c>
      <c r="B467" s="36" t="s">
        <v>2599</v>
      </c>
      <c r="C467" s="36" t="s">
        <v>4795</v>
      </c>
      <c r="D467" s="35">
        <v>7629</v>
      </c>
      <c r="E467" s="36" t="s">
        <v>5269</v>
      </c>
      <c r="F467" s="35" t="s">
        <v>5710</v>
      </c>
      <c r="G467" s="35" t="s">
        <v>5711</v>
      </c>
    </row>
    <row r="468" spans="1:7">
      <c r="A468" s="35">
        <v>2946</v>
      </c>
      <c r="B468" s="36" t="s">
        <v>2666</v>
      </c>
      <c r="C468" s="36" t="s">
        <v>4796</v>
      </c>
      <c r="D468" s="35">
        <v>7629</v>
      </c>
      <c r="E468" s="36" t="s">
        <v>5269</v>
      </c>
      <c r="F468" s="35" t="s">
        <v>5710</v>
      </c>
      <c r="G468" s="35" t="s">
        <v>5711</v>
      </c>
    </row>
    <row r="469" spans="1:7">
      <c r="A469" s="35">
        <v>2947</v>
      </c>
      <c r="B469" s="36" t="s">
        <v>2667</v>
      </c>
      <c r="C469" s="36" t="s">
        <v>4797</v>
      </c>
      <c r="D469" s="35">
        <v>7629</v>
      </c>
      <c r="E469" s="36" t="s">
        <v>5269</v>
      </c>
      <c r="F469" s="35" t="s">
        <v>5712</v>
      </c>
      <c r="G469" s="35" t="s">
        <v>5713</v>
      </c>
    </row>
    <row r="470" spans="1:7">
      <c r="A470" s="35">
        <v>2948</v>
      </c>
      <c r="B470" s="36" t="s">
        <v>2668</v>
      </c>
      <c r="C470" s="36" t="s">
        <v>4798</v>
      </c>
      <c r="D470" s="35">
        <v>7629</v>
      </c>
      <c r="E470" s="36" t="s">
        <v>5269</v>
      </c>
      <c r="F470" s="35" t="s">
        <v>5712</v>
      </c>
      <c r="G470" s="35" t="s">
        <v>5713</v>
      </c>
    </row>
    <row r="471" spans="1:7">
      <c r="A471" s="35">
        <v>2949</v>
      </c>
      <c r="B471" s="36" t="s">
        <v>2669</v>
      </c>
      <c r="C471" s="36" t="s">
        <v>4799</v>
      </c>
      <c r="D471" s="35">
        <v>7629</v>
      </c>
      <c r="E471" s="36" t="s">
        <v>5269</v>
      </c>
      <c r="F471" s="35" t="s">
        <v>5712</v>
      </c>
      <c r="G471" s="35" t="s">
        <v>5713</v>
      </c>
    </row>
    <row r="472" spans="1:7">
      <c r="A472" s="35">
        <v>2950</v>
      </c>
      <c r="B472" s="36" t="s">
        <v>2670</v>
      </c>
      <c r="C472" s="36" t="s">
        <v>4800</v>
      </c>
      <c r="D472" s="35">
        <v>7629</v>
      </c>
      <c r="E472" s="36" t="s">
        <v>5269</v>
      </c>
      <c r="F472" s="35" t="s">
        <v>5712</v>
      </c>
      <c r="G472" s="35" t="s">
        <v>5713</v>
      </c>
    </row>
    <row r="473" spans="1:7">
      <c r="A473" s="35">
        <v>2951</v>
      </c>
      <c r="B473" s="36" t="s">
        <v>2473</v>
      </c>
      <c r="C473" s="36" t="s">
        <v>4801</v>
      </c>
      <c r="D473" s="35">
        <v>7629</v>
      </c>
      <c r="E473" s="36" t="s">
        <v>5269</v>
      </c>
      <c r="F473" s="35" t="s">
        <v>5714</v>
      </c>
      <c r="G473" s="35" t="s">
        <v>5715</v>
      </c>
    </row>
    <row r="474" spans="1:7">
      <c r="A474" s="35">
        <v>2952</v>
      </c>
      <c r="B474" s="36" t="s">
        <v>2474</v>
      </c>
      <c r="C474" s="36" t="s">
        <v>4802</v>
      </c>
      <c r="D474" s="35">
        <v>7629</v>
      </c>
      <c r="E474" s="36" t="s">
        <v>5269</v>
      </c>
      <c r="F474" s="35" t="s">
        <v>5614</v>
      </c>
      <c r="G474" s="35" t="s">
        <v>5615</v>
      </c>
    </row>
    <row r="475" spans="1:7">
      <c r="A475" s="35">
        <v>2954</v>
      </c>
      <c r="B475" s="36" t="s">
        <v>1734</v>
      </c>
      <c r="C475" s="36" t="s">
        <v>4803</v>
      </c>
      <c r="D475" s="35">
        <v>7629</v>
      </c>
      <c r="E475" s="36" t="s">
        <v>5269</v>
      </c>
      <c r="F475" s="35" t="s">
        <v>5614</v>
      </c>
      <c r="G475" s="35" t="s">
        <v>5615</v>
      </c>
    </row>
    <row r="476" spans="1:7">
      <c r="A476" s="35">
        <v>2959</v>
      </c>
      <c r="B476" s="36" t="s">
        <v>2601</v>
      </c>
      <c r="C476" s="36" t="s">
        <v>4805</v>
      </c>
      <c r="D476" s="35">
        <v>7629</v>
      </c>
      <c r="E476" s="36" t="s">
        <v>5269</v>
      </c>
      <c r="F476" s="35" t="s">
        <v>5614</v>
      </c>
      <c r="G476" s="35" t="s">
        <v>5615</v>
      </c>
    </row>
    <row r="477" spans="1:7">
      <c r="A477" s="35">
        <v>2995</v>
      </c>
      <c r="B477" s="36" t="s">
        <v>2210</v>
      </c>
      <c r="C477" s="36" t="s">
        <v>4807</v>
      </c>
      <c r="D477" s="35">
        <v>7629</v>
      </c>
      <c r="E477" s="36" t="s">
        <v>5269</v>
      </c>
      <c r="F477" s="35" t="s">
        <v>5614</v>
      </c>
      <c r="G477" s="35" t="s">
        <v>5615</v>
      </c>
    </row>
    <row r="478" spans="1:7">
      <c r="A478" s="35">
        <v>2998</v>
      </c>
      <c r="B478" s="36" t="s">
        <v>1822</v>
      </c>
      <c r="C478" s="36" t="s">
        <v>4808</v>
      </c>
      <c r="D478" s="35">
        <v>7629</v>
      </c>
      <c r="E478" s="36" t="s">
        <v>5269</v>
      </c>
      <c r="F478" s="35" t="s">
        <v>5612</v>
      </c>
      <c r="G478" s="35" t="s">
        <v>5613</v>
      </c>
    </row>
    <row r="479" spans="1:7">
      <c r="A479" s="35">
        <v>3034</v>
      </c>
      <c r="B479" s="36" t="s">
        <v>2084</v>
      </c>
      <c r="C479" s="36" t="s">
        <v>4810</v>
      </c>
      <c r="D479" s="35">
        <v>7629</v>
      </c>
      <c r="E479" s="36" t="s">
        <v>5269</v>
      </c>
      <c r="F479" s="35" t="s">
        <v>5328</v>
      </c>
      <c r="G479" s="35" t="s">
        <v>5329</v>
      </c>
    </row>
    <row r="480" spans="1:7">
      <c r="A480" s="35">
        <v>3053</v>
      </c>
      <c r="B480" s="36" t="s">
        <v>1604</v>
      </c>
      <c r="C480" s="36" t="s">
        <v>4811</v>
      </c>
      <c r="D480" s="35">
        <v>7629</v>
      </c>
      <c r="E480" s="36" t="s">
        <v>5269</v>
      </c>
      <c r="F480" s="35" t="s">
        <v>5646</v>
      </c>
      <c r="G480" s="35" t="s">
        <v>5647</v>
      </c>
    </row>
    <row r="481" spans="1:7">
      <c r="A481" s="35">
        <v>3054</v>
      </c>
      <c r="B481" s="36" t="s">
        <v>1605</v>
      </c>
      <c r="C481" s="36" t="s">
        <v>4812</v>
      </c>
      <c r="D481" s="35">
        <v>7629</v>
      </c>
      <c r="E481" s="36" t="s">
        <v>5269</v>
      </c>
      <c r="F481" s="35" t="s">
        <v>5646</v>
      </c>
      <c r="G481" s="35" t="s">
        <v>5647</v>
      </c>
    </row>
    <row r="482" spans="1:7">
      <c r="A482" s="35">
        <v>3057</v>
      </c>
      <c r="B482" s="36" t="s">
        <v>2478</v>
      </c>
      <c r="C482" s="36" t="s">
        <v>4813</v>
      </c>
      <c r="D482" s="35">
        <v>7629</v>
      </c>
      <c r="E482" s="36" t="s">
        <v>5269</v>
      </c>
      <c r="F482" s="35" t="s">
        <v>5328</v>
      </c>
      <c r="G482" s="35" t="s">
        <v>5329</v>
      </c>
    </row>
    <row r="483" spans="1:7">
      <c r="A483" s="35">
        <v>3058</v>
      </c>
      <c r="B483" s="36" t="s">
        <v>2479</v>
      </c>
      <c r="C483" s="36" t="s">
        <v>4814</v>
      </c>
      <c r="D483" s="35">
        <v>7629</v>
      </c>
      <c r="E483" s="36" t="s">
        <v>5269</v>
      </c>
      <c r="F483" s="35" t="s">
        <v>5576</v>
      </c>
      <c r="G483" s="35" t="s">
        <v>5577</v>
      </c>
    </row>
    <row r="484" spans="1:7">
      <c r="A484" s="35">
        <v>3059</v>
      </c>
      <c r="B484" s="36" t="s">
        <v>2480</v>
      </c>
      <c r="C484" s="36" t="s">
        <v>4815</v>
      </c>
      <c r="D484" s="35">
        <v>7629</v>
      </c>
      <c r="E484" s="36" t="s">
        <v>5269</v>
      </c>
      <c r="F484" s="35" t="s">
        <v>5574</v>
      </c>
      <c r="G484" s="35" t="s">
        <v>5575</v>
      </c>
    </row>
    <row r="485" spans="1:7">
      <c r="A485" s="35">
        <v>3060</v>
      </c>
      <c r="B485" s="36" t="s">
        <v>2264</v>
      </c>
      <c r="C485" s="36" t="s">
        <v>4816</v>
      </c>
      <c r="D485" s="35">
        <v>7629</v>
      </c>
      <c r="E485" s="36" t="s">
        <v>5269</v>
      </c>
      <c r="F485" s="35" t="s">
        <v>5574</v>
      </c>
      <c r="G485" s="35" t="s">
        <v>5575</v>
      </c>
    </row>
    <row r="486" spans="1:7">
      <c r="A486" s="35">
        <v>3072</v>
      </c>
      <c r="B486" s="36" t="s">
        <v>1955</v>
      </c>
      <c r="C486" s="36" t="s">
        <v>4818</v>
      </c>
      <c r="D486" s="35">
        <v>7629</v>
      </c>
      <c r="E486" s="36" t="s">
        <v>5269</v>
      </c>
      <c r="F486" s="35" t="s">
        <v>5716</v>
      </c>
      <c r="G486" s="35" t="s">
        <v>5717</v>
      </c>
    </row>
    <row r="487" spans="1:7">
      <c r="A487" s="35">
        <v>3073</v>
      </c>
      <c r="B487" s="36" t="s">
        <v>1878</v>
      </c>
      <c r="C487" s="36" t="s">
        <v>4819</v>
      </c>
      <c r="D487" s="35">
        <v>7629</v>
      </c>
      <c r="E487" s="36" t="s">
        <v>5269</v>
      </c>
      <c r="F487" s="35" t="s">
        <v>5716</v>
      </c>
      <c r="G487" s="35" t="s">
        <v>5717</v>
      </c>
    </row>
    <row r="488" spans="1:7">
      <c r="A488" s="35">
        <v>3178</v>
      </c>
      <c r="B488" s="36" t="s">
        <v>2022</v>
      </c>
      <c r="C488" s="36" t="s">
        <v>4821</v>
      </c>
      <c r="D488" s="35">
        <v>7629</v>
      </c>
      <c r="E488" s="36" t="s">
        <v>5269</v>
      </c>
      <c r="F488" s="35" t="s">
        <v>5716</v>
      </c>
      <c r="G488" s="35" t="s">
        <v>5717</v>
      </c>
    </row>
    <row r="489" spans="1:7">
      <c r="A489" s="35">
        <v>3193</v>
      </c>
      <c r="B489" s="36" t="s">
        <v>2106</v>
      </c>
      <c r="C489" s="36" t="s">
        <v>4822</v>
      </c>
      <c r="D489" s="35">
        <v>7629</v>
      </c>
      <c r="E489" s="36" t="s">
        <v>5269</v>
      </c>
      <c r="F489" s="35" t="s">
        <v>5716</v>
      </c>
      <c r="G489" s="35" t="s">
        <v>5717</v>
      </c>
    </row>
    <row r="490" spans="1:7">
      <c r="A490" s="35">
        <v>3211</v>
      </c>
      <c r="B490" s="36" t="s">
        <v>1715</v>
      </c>
      <c r="C490" s="36" t="s">
        <v>4824</v>
      </c>
      <c r="D490" s="35">
        <v>7629</v>
      </c>
      <c r="E490" s="36" t="s">
        <v>5269</v>
      </c>
      <c r="F490" s="35" t="s">
        <v>5562</v>
      </c>
      <c r="G490" s="35" t="s">
        <v>5563</v>
      </c>
    </row>
    <row r="491" spans="1:7">
      <c r="A491" s="35">
        <v>3215</v>
      </c>
      <c r="B491" s="36" t="s">
        <v>1628</v>
      </c>
      <c r="C491" s="36" t="s">
        <v>4826</v>
      </c>
      <c r="D491" s="35">
        <v>7629</v>
      </c>
      <c r="E491" s="36" t="s">
        <v>5269</v>
      </c>
      <c r="F491" s="35" t="s">
        <v>5562</v>
      </c>
      <c r="G491" s="35" t="s">
        <v>5563</v>
      </c>
    </row>
    <row r="492" spans="1:7">
      <c r="A492" s="35">
        <v>3229</v>
      </c>
      <c r="B492" s="36" t="s">
        <v>2246</v>
      </c>
      <c r="C492" s="36" t="s">
        <v>4827</v>
      </c>
      <c r="D492" s="35">
        <v>7629</v>
      </c>
      <c r="E492" s="36" t="s">
        <v>5269</v>
      </c>
      <c r="F492" s="35" t="s">
        <v>5562</v>
      </c>
      <c r="G492" s="35" t="s">
        <v>5563</v>
      </c>
    </row>
    <row r="493" spans="1:7">
      <c r="A493" s="35">
        <v>3255</v>
      </c>
      <c r="B493" s="36" t="s">
        <v>1973</v>
      </c>
      <c r="C493" s="36" t="s">
        <v>4829</v>
      </c>
      <c r="D493" s="35">
        <v>7629</v>
      </c>
      <c r="E493" s="36" t="s">
        <v>5269</v>
      </c>
      <c r="F493" s="35" t="s">
        <v>5562</v>
      </c>
      <c r="G493" s="35" t="s">
        <v>5563</v>
      </c>
    </row>
    <row r="494" spans="1:7">
      <c r="A494" s="35">
        <v>3270</v>
      </c>
      <c r="B494" s="36" t="s">
        <v>2182</v>
      </c>
      <c r="C494" s="36" t="s">
        <v>4830</v>
      </c>
      <c r="D494" s="35">
        <v>7629</v>
      </c>
      <c r="E494" s="36" t="s">
        <v>5269</v>
      </c>
      <c r="F494" s="35" t="s">
        <v>5598</v>
      </c>
      <c r="G494" s="35" t="s">
        <v>5599</v>
      </c>
    </row>
    <row r="495" spans="1:7">
      <c r="A495" s="35">
        <v>3537</v>
      </c>
      <c r="B495" s="36" t="s">
        <v>1720</v>
      </c>
      <c r="C495" s="36" t="s">
        <v>4831</v>
      </c>
      <c r="D495" s="35">
        <v>7629</v>
      </c>
      <c r="E495" s="36" t="s">
        <v>5269</v>
      </c>
      <c r="F495" s="35" t="s">
        <v>5596</v>
      </c>
      <c r="G495" s="35" t="s">
        <v>5597</v>
      </c>
    </row>
    <row r="496" spans="1:7">
      <c r="A496" s="35">
        <v>3538</v>
      </c>
      <c r="B496" s="36" t="s">
        <v>1713</v>
      </c>
      <c r="C496" s="36" t="s">
        <v>4832</v>
      </c>
      <c r="D496" s="35">
        <v>7629</v>
      </c>
      <c r="E496" s="36" t="s">
        <v>5269</v>
      </c>
      <c r="F496" s="35" t="s">
        <v>5344</v>
      </c>
      <c r="G496" s="35" t="s">
        <v>5345</v>
      </c>
    </row>
    <row r="497" spans="1:7">
      <c r="A497" s="35">
        <v>3614</v>
      </c>
      <c r="B497" s="36" t="s">
        <v>1777</v>
      </c>
      <c r="C497" s="36" t="s">
        <v>4833</v>
      </c>
      <c r="D497" s="35">
        <v>7629</v>
      </c>
      <c r="E497" s="36" t="s">
        <v>5269</v>
      </c>
      <c r="F497" s="35" t="s">
        <v>5596</v>
      </c>
      <c r="G497" s="35" t="s">
        <v>5597</v>
      </c>
    </row>
    <row r="498" spans="1:7">
      <c r="A498" s="35">
        <v>3666</v>
      </c>
      <c r="B498" s="36" t="s">
        <v>2325</v>
      </c>
      <c r="C498" s="36" t="s">
        <v>4834</v>
      </c>
      <c r="D498" s="35">
        <v>7629</v>
      </c>
      <c r="E498" s="36" t="s">
        <v>5269</v>
      </c>
      <c r="F498" s="35" t="s">
        <v>5344</v>
      </c>
      <c r="G498" s="35" t="s">
        <v>5345</v>
      </c>
    </row>
    <row r="499" spans="1:7">
      <c r="A499" s="35">
        <v>3706</v>
      </c>
      <c r="B499" s="36" t="s">
        <v>2700</v>
      </c>
      <c r="C499" s="36" t="s">
        <v>4836</v>
      </c>
      <c r="D499" s="35">
        <v>7629</v>
      </c>
      <c r="E499" s="36" t="s">
        <v>5269</v>
      </c>
      <c r="F499" s="35" t="s">
        <v>5306</v>
      </c>
      <c r="G499" s="35" t="s">
        <v>5307</v>
      </c>
    </row>
    <row r="500" spans="1:7">
      <c r="A500" s="35">
        <v>3723</v>
      </c>
      <c r="B500" s="36" t="s">
        <v>1804</v>
      </c>
      <c r="C500" s="36" t="s">
        <v>4837</v>
      </c>
      <c r="D500" s="35">
        <v>7629</v>
      </c>
      <c r="E500" s="36" t="s">
        <v>5269</v>
      </c>
      <c r="F500" s="35" t="s">
        <v>5306</v>
      </c>
      <c r="G500" s="35" t="s">
        <v>5307</v>
      </c>
    </row>
    <row r="501" spans="1:7">
      <c r="A501" s="35">
        <v>3727</v>
      </c>
      <c r="B501" s="36" t="s">
        <v>1947</v>
      </c>
      <c r="C501" s="36" t="s">
        <v>4838</v>
      </c>
      <c r="D501" s="35">
        <v>7629</v>
      </c>
      <c r="E501" s="36" t="s">
        <v>5269</v>
      </c>
      <c r="F501" s="35" t="s">
        <v>5306</v>
      </c>
      <c r="G501" s="35" t="s">
        <v>5307</v>
      </c>
    </row>
    <row r="502" spans="1:7">
      <c r="A502" s="35">
        <v>3731</v>
      </c>
      <c r="B502" s="36" t="s">
        <v>1735</v>
      </c>
      <c r="C502" s="36" t="s">
        <v>4839</v>
      </c>
      <c r="D502" s="35">
        <v>7629</v>
      </c>
      <c r="E502" s="36" t="s">
        <v>5269</v>
      </c>
      <c r="F502" s="35" t="s">
        <v>5718</v>
      </c>
      <c r="G502" s="35" t="s">
        <v>5719</v>
      </c>
    </row>
    <row r="503" spans="1:7">
      <c r="A503" s="35">
        <v>3779</v>
      </c>
      <c r="B503" s="36" t="s">
        <v>2342</v>
      </c>
      <c r="C503" s="36" t="s">
        <v>4841</v>
      </c>
      <c r="D503" s="35">
        <v>7629</v>
      </c>
      <c r="E503" s="36" t="s">
        <v>5269</v>
      </c>
      <c r="F503" s="35" t="s">
        <v>5718</v>
      </c>
      <c r="G503" s="35" t="s">
        <v>5719</v>
      </c>
    </row>
    <row r="504" spans="1:7">
      <c r="A504" s="35">
        <v>3827</v>
      </c>
      <c r="B504" s="36" t="s">
        <v>2690</v>
      </c>
      <c r="C504" s="36" t="s">
        <v>4842</v>
      </c>
      <c r="D504" s="35">
        <v>7629</v>
      </c>
      <c r="E504" s="36" t="s">
        <v>5269</v>
      </c>
      <c r="F504" s="35" t="s">
        <v>5718</v>
      </c>
      <c r="G504" s="35" t="s">
        <v>5719</v>
      </c>
    </row>
    <row r="505" spans="1:7">
      <c r="A505" s="35">
        <v>3828</v>
      </c>
      <c r="B505" s="36" t="s">
        <v>2695</v>
      </c>
      <c r="C505" s="36" t="s">
        <v>4843</v>
      </c>
      <c r="D505" s="35">
        <v>7629</v>
      </c>
      <c r="E505" s="36" t="s">
        <v>5269</v>
      </c>
      <c r="F505" s="35" t="s">
        <v>5620</v>
      </c>
      <c r="G505" s="35" t="s">
        <v>5621</v>
      </c>
    </row>
    <row r="506" spans="1:7">
      <c r="A506" s="35">
        <v>3834</v>
      </c>
      <c r="B506" s="36" t="s">
        <v>1945</v>
      </c>
      <c r="C506" s="36" t="s">
        <v>4844</v>
      </c>
      <c r="D506" s="35">
        <v>7629</v>
      </c>
      <c r="E506" s="36" t="s">
        <v>5269</v>
      </c>
      <c r="F506" s="35" t="s">
        <v>5620</v>
      </c>
      <c r="G506" s="35" t="s">
        <v>5621</v>
      </c>
    </row>
    <row r="507" spans="1:7">
      <c r="A507" s="35">
        <v>3866</v>
      </c>
      <c r="B507" s="36" t="s">
        <v>1983</v>
      </c>
      <c r="C507" s="36" t="s">
        <v>4845</v>
      </c>
      <c r="D507" s="35">
        <v>7629</v>
      </c>
      <c r="E507" s="36" t="s">
        <v>5269</v>
      </c>
      <c r="F507" s="35" t="s">
        <v>5622</v>
      </c>
      <c r="G507" s="35" t="s">
        <v>5623</v>
      </c>
    </row>
    <row r="508" spans="1:7">
      <c r="A508" s="35">
        <v>3878</v>
      </c>
      <c r="B508" s="36" t="s">
        <v>2167</v>
      </c>
      <c r="C508" s="36" t="s">
        <v>4846</v>
      </c>
      <c r="D508" s="35">
        <v>7629</v>
      </c>
      <c r="E508" s="36" t="s">
        <v>5269</v>
      </c>
      <c r="F508" s="35" t="s">
        <v>5622</v>
      </c>
      <c r="G508" s="35" t="s">
        <v>5623</v>
      </c>
    </row>
    <row r="509" spans="1:7">
      <c r="A509" s="35">
        <v>3893</v>
      </c>
      <c r="B509" s="36" t="s">
        <v>2023</v>
      </c>
      <c r="C509" s="36" t="s">
        <v>4847</v>
      </c>
      <c r="D509" s="35">
        <v>7629</v>
      </c>
      <c r="E509" s="36" t="s">
        <v>5269</v>
      </c>
      <c r="F509" s="35" t="s">
        <v>5720</v>
      </c>
      <c r="G509" s="35" t="s">
        <v>5721</v>
      </c>
    </row>
    <row r="510" spans="1:7">
      <c r="A510" s="35">
        <v>3977</v>
      </c>
      <c r="B510" s="36" t="s">
        <v>2481</v>
      </c>
      <c r="C510" s="36" t="s">
        <v>4848</v>
      </c>
      <c r="D510" s="35">
        <v>7629</v>
      </c>
      <c r="E510" s="36" t="s">
        <v>5269</v>
      </c>
      <c r="F510" s="35" t="s">
        <v>5720</v>
      </c>
      <c r="G510" s="35" t="s">
        <v>5721</v>
      </c>
    </row>
    <row r="511" spans="1:7">
      <c r="A511" s="35">
        <v>4152</v>
      </c>
      <c r="B511" s="36" t="s">
        <v>2486</v>
      </c>
      <c r="C511" s="36" t="s">
        <v>4859</v>
      </c>
      <c r="D511" s="35">
        <v>7629</v>
      </c>
      <c r="E511" s="36" t="s">
        <v>5269</v>
      </c>
      <c r="F511" s="35" t="s">
        <v>5728</v>
      </c>
      <c r="G511" s="35" t="s">
        <v>5729</v>
      </c>
    </row>
    <row r="512" spans="1:7">
      <c r="A512" s="35">
        <v>4153</v>
      </c>
      <c r="B512" s="36" t="s">
        <v>2487</v>
      </c>
      <c r="C512" s="36" t="s">
        <v>4860</v>
      </c>
      <c r="D512" s="35">
        <v>7629</v>
      </c>
      <c r="E512" s="36" t="s">
        <v>5269</v>
      </c>
      <c r="F512" s="35" t="s">
        <v>5728</v>
      </c>
      <c r="G512" s="35" t="s">
        <v>5729</v>
      </c>
    </row>
    <row r="513" spans="1:7">
      <c r="A513" s="35">
        <v>4154</v>
      </c>
      <c r="B513" s="36" t="s">
        <v>2488</v>
      </c>
      <c r="C513" s="36" t="s">
        <v>4861</v>
      </c>
      <c r="D513" s="35">
        <v>7629</v>
      </c>
      <c r="E513" s="36" t="s">
        <v>5269</v>
      </c>
      <c r="F513" s="35" t="s">
        <v>5274</v>
      </c>
      <c r="G513" s="35" t="s">
        <v>5275</v>
      </c>
    </row>
    <row r="514" spans="1:7">
      <c r="A514" s="35">
        <v>4155</v>
      </c>
      <c r="B514" s="36" t="s">
        <v>2489</v>
      </c>
      <c r="C514" s="36" t="s">
        <v>4862</v>
      </c>
      <c r="D514" s="35">
        <v>7629</v>
      </c>
      <c r="E514" s="36" t="s">
        <v>5269</v>
      </c>
      <c r="F514" s="35" t="s">
        <v>5730</v>
      </c>
      <c r="G514" s="35" t="s">
        <v>5731</v>
      </c>
    </row>
    <row r="515" spans="1:7">
      <c r="A515" s="35">
        <v>4156</v>
      </c>
      <c r="B515" s="36" t="s">
        <v>2388</v>
      </c>
      <c r="C515" s="36" t="s">
        <v>4863</v>
      </c>
      <c r="D515" s="35">
        <v>7629</v>
      </c>
      <c r="E515" s="36" t="s">
        <v>5269</v>
      </c>
      <c r="F515" s="35" t="s">
        <v>5730</v>
      </c>
      <c r="G515" s="35" t="s">
        <v>5731</v>
      </c>
    </row>
    <row r="516" spans="1:7">
      <c r="A516" s="35">
        <v>4157</v>
      </c>
      <c r="B516" s="36" t="s">
        <v>2490</v>
      </c>
      <c r="C516" s="36" t="s">
        <v>4864</v>
      </c>
      <c r="D516" s="35">
        <v>7629</v>
      </c>
      <c r="E516" s="36" t="s">
        <v>5269</v>
      </c>
      <c r="F516" s="35" t="s">
        <v>5730</v>
      </c>
      <c r="G516" s="35" t="s">
        <v>5731</v>
      </c>
    </row>
    <row r="517" spans="1:7">
      <c r="A517" s="35">
        <v>4159</v>
      </c>
      <c r="B517" s="36" t="s">
        <v>2491</v>
      </c>
      <c r="C517" s="36" t="s">
        <v>4866</v>
      </c>
      <c r="D517" s="35">
        <v>7629</v>
      </c>
      <c r="E517" s="36" t="s">
        <v>5269</v>
      </c>
      <c r="F517" s="35" t="s">
        <v>5732</v>
      </c>
      <c r="G517" s="35" t="s">
        <v>5733</v>
      </c>
    </row>
    <row r="518" spans="1:7">
      <c r="A518" s="35">
        <v>4160</v>
      </c>
      <c r="B518" s="36" t="s">
        <v>2492</v>
      </c>
      <c r="C518" s="36" t="s">
        <v>4867</v>
      </c>
      <c r="D518" s="35">
        <v>7629</v>
      </c>
      <c r="E518" s="36" t="s">
        <v>5269</v>
      </c>
      <c r="F518" s="35" t="s">
        <v>5732</v>
      </c>
      <c r="G518" s="35" t="s">
        <v>5733</v>
      </c>
    </row>
    <row r="519" spans="1:7">
      <c r="A519" s="35">
        <v>4168</v>
      </c>
      <c r="B519" s="36" t="s">
        <v>2497</v>
      </c>
      <c r="C519" s="36" t="s">
        <v>4875</v>
      </c>
      <c r="D519" s="35">
        <v>7629</v>
      </c>
      <c r="E519" s="36" t="s">
        <v>5269</v>
      </c>
      <c r="F519" s="35" t="s">
        <v>5736</v>
      </c>
      <c r="G519" s="35" t="s">
        <v>5737</v>
      </c>
    </row>
    <row r="520" spans="1:7">
      <c r="A520" s="35">
        <v>4172</v>
      </c>
      <c r="B520" s="36" t="s">
        <v>2499</v>
      </c>
      <c r="C520" s="36" t="s">
        <v>4878</v>
      </c>
      <c r="D520" s="35">
        <v>7629</v>
      </c>
      <c r="E520" s="36" t="s">
        <v>5269</v>
      </c>
      <c r="F520" s="35" t="s">
        <v>5740</v>
      </c>
      <c r="G520" s="35" t="s">
        <v>5741</v>
      </c>
    </row>
    <row r="521" spans="1:7">
      <c r="A521" s="35">
        <v>4174</v>
      </c>
      <c r="B521" s="36" t="s">
        <v>2500</v>
      </c>
      <c r="C521" s="36" t="s">
        <v>4880</v>
      </c>
      <c r="D521" s="35">
        <v>7629</v>
      </c>
      <c r="E521" s="36" t="s">
        <v>5269</v>
      </c>
      <c r="F521" s="35" t="s">
        <v>5740</v>
      </c>
      <c r="G521" s="35" t="s">
        <v>5741</v>
      </c>
    </row>
    <row r="522" spans="1:7">
      <c r="A522" s="35">
        <v>4175</v>
      </c>
      <c r="B522" s="36" t="s">
        <v>2501</v>
      </c>
      <c r="C522" s="36" t="s">
        <v>4880</v>
      </c>
      <c r="D522" s="35">
        <v>7629</v>
      </c>
      <c r="E522" s="36" t="s">
        <v>5269</v>
      </c>
      <c r="F522" s="35" t="s">
        <v>5744</v>
      </c>
      <c r="G522" s="35" t="s">
        <v>5745</v>
      </c>
    </row>
    <row r="523" spans="1:7">
      <c r="A523" s="35">
        <v>4177</v>
      </c>
      <c r="B523" s="36" t="s">
        <v>2502</v>
      </c>
      <c r="C523" s="36" t="s">
        <v>4882</v>
      </c>
      <c r="D523" s="35">
        <v>7629</v>
      </c>
      <c r="E523" s="36" t="s">
        <v>5269</v>
      </c>
      <c r="F523" s="35" t="s">
        <v>5746</v>
      </c>
      <c r="G523" s="35" t="s">
        <v>5747</v>
      </c>
    </row>
    <row r="524" spans="1:7">
      <c r="A524" s="35">
        <v>4178</v>
      </c>
      <c r="B524" s="36" t="s">
        <v>2503</v>
      </c>
      <c r="C524" s="36" t="s">
        <v>4882</v>
      </c>
      <c r="D524" s="35">
        <v>7629</v>
      </c>
      <c r="E524" s="36" t="s">
        <v>5269</v>
      </c>
      <c r="F524" s="35" t="s">
        <v>5746</v>
      </c>
      <c r="G524" s="35" t="s">
        <v>5747</v>
      </c>
    </row>
    <row r="525" spans="1:7">
      <c r="A525" s="35">
        <v>4179</v>
      </c>
      <c r="B525" s="36" t="s">
        <v>2504</v>
      </c>
      <c r="C525" s="36" t="s">
        <v>4883</v>
      </c>
      <c r="D525" s="35">
        <v>7629</v>
      </c>
      <c r="E525" s="36" t="s">
        <v>5269</v>
      </c>
      <c r="F525" s="35" t="s">
        <v>5746</v>
      </c>
      <c r="G525" s="35" t="s">
        <v>5747</v>
      </c>
    </row>
    <row r="526" spans="1:7">
      <c r="A526" s="35">
        <v>4180</v>
      </c>
      <c r="B526" s="36" t="s">
        <v>2505</v>
      </c>
      <c r="C526" s="36" t="s">
        <v>4884</v>
      </c>
      <c r="D526" s="35">
        <v>7629</v>
      </c>
      <c r="E526" s="36" t="s">
        <v>5269</v>
      </c>
      <c r="F526" s="35" t="s">
        <v>5746</v>
      </c>
      <c r="G526" s="35" t="s">
        <v>5747</v>
      </c>
    </row>
    <row r="527" spans="1:7">
      <c r="A527" s="35">
        <v>4181</v>
      </c>
      <c r="B527" s="36" t="s">
        <v>2636</v>
      </c>
      <c r="C527" s="36" t="s">
        <v>4885</v>
      </c>
      <c r="D527" s="35">
        <v>7629</v>
      </c>
      <c r="E527" s="36" t="s">
        <v>5269</v>
      </c>
      <c r="F527" s="35" t="s">
        <v>5746</v>
      </c>
      <c r="G527" s="35" t="s">
        <v>5747</v>
      </c>
    </row>
    <row r="528" spans="1:7">
      <c r="A528" s="35">
        <v>4182</v>
      </c>
      <c r="B528" s="36" t="s">
        <v>2506</v>
      </c>
      <c r="C528" s="36" t="s">
        <v>4886</v>
      </c>
      <c r="D528" s="35">
        <v>7629</v>
      </c>
      <c r="E528" s="36" t="s">
        <v>5269</v>
      </c>
      <c r="F528" s="35" t="s">
        <v>5726</v>
      </c>
      <c r="G528" s="35" t="s">
        <v>5727</v>
      </c>
    </row>
    <row r="529" spans="1:7">
      <c r="A529" s="35">
        <v>4183</v>
      </c>
      <c r="B529" s="36" t="s">
        <v>2637</v>
      </c>
      <c r="C529" s="36" t="s">
        <v>4887</v>
      </c>
      <c r="D529" s="35">
        <v>7629</v>
      </c>
      <c r="E529" s="36" t="s">
        <v>5269</v>
      </c>
      <c r="F529" s="35" t="s">
        <v>5726</v>
      </c>
      <c r="G529" s="35" t="s">
        <v>5727</v>
      </c>
    </row>
    <row r="530" spans="1:7">
      <c r="A530" s="35">
        <v>4189</v>
      </c>
      <c r="B530" s="36" t="s">
        <v>2638</v>
      </c>
      <c r="C530" s="36" t="s">
        <v>4888</v>
      </c>
      <c r="D530" s="35">
        <v>7629</v>
      </c>
      <c r="E530" s="36" t="s">
        <v>5269</v>
      </c>
      <c r="F530" s="35" t="s">
        <v>5748</v>
      </c>
      <c r="G530" s="35" t="s">
        <v>5749</v>
      </c>
    </row>
    <row r="531" spans="1:7">
      <c r="A531" s="35">
        <v>4200</v>
      </c>
      <c r="B531" s="36" t="s">
        <v>2507</v>
      </c>
      <c r="C531" s="36" t="s">
        <v>4896</v>
      </c>
      <c r="D531" s="35">
        <v>7629</v>
      </c>
      <c r="E531" s="36" t="s">
        <v>5269</v>
      </c>
      <c r="F531" s="35" t="s">
        <v>5752</v>
      </c>
      <c r="G531" s="35" t="s">
        <v>5753</v>
      </c>
    </row>
    <row r="532" spans="1:7">
      <c r="A532" s="35">
        <v>4201</v>
      </c>
      <c r="B532" s="36" t="s">
        <v>2508</v>
      </c>
      <c r="C532" s="36" t="s">
        <v>4897</v>
      </c>
      <c r="D532" s="35">
        <v>7629</v>
      </c>
      <c r="E532" s="36" t="s">
        <v>5269</v>
      </c>
      <c r="F532" s="35" t="s">
        <v>5754</v>
      </c>
      <c r="G532" s="35" t="s">
        <v>5755</v>
      </c>
    </row>
    <row r="533" spans="1:7">
      <c r="A533" s="35">
        <v>4202</v>
      </c>
      <c r="B533" s="36" t="s">
        <v>2509</v>
      </c>
      <c r="C533" s="36" t="s">
        <v>4898</v>
      </c>
      <c r="D533" s="35">
        <v>7629</v>
      </c>
      <c r="E533" s="36" t="s">
        <v>5269</v>
      </c>
      <c r="F533" s="35" t="s">
        <v>5754</v>
      </c>
      <c r="G533" s="35" t="s">
        <v>5755</v>
      </c>
    </row>
    <row r="534" spans="1:7">
      <c r="A534" s="35">
        <v>4203</v>
      </c>
      <c r="B534" s="36" t="s">
        <v>2510</v>
      </c>
      <c r="C534" s="36" t="s">
        <v>4898</v>
      </c>
      <c r="D534" s="35">
        <v>7629</v>
      </c>
      <c r="E534" s="36" t="s">
        <v>5269</v>
      </c>
      <c r="F534" s="35" t="s">
        <v>5754</v>
      </c>
      <c r="G534" s="35" t="s">
        <v>5755</v>
      </c>
    </row>
    <row r="535" spans="1:7">
      <c r="A535" s="35">
        <v>4204</v>
      </c>
      <c r="B535" s="36" t="s">
        <v>2511</v>
      </c>
      <c r="C535" s="36" t="s">
        <v>4899</v>
      </c>
      <c r="D535" s="35">
        <v>7629</v>
      </c>
      <c r="E535" s="36" t="s">
        <v>5269</v>
      </c>
      <c r="F535" s="35" t="s">
        <v>5754</v>
      </c>
      <c r="G535" s="35" t="s">
        <v>5755</v>
      </c>
    </row>
    <row r="536" spans="1:7">
      <c r="A536" s="35">
        <v>4205</v>
      </c>
      <c r="B536" s="36" t="s">
        <v>2512</v>
      </c>
      <c r="C536" s="36" t="s">
        <v>4898</v>
      </c>
      <c r="D536" s="35">
        <v>7629</v>
      </c>
      <c r="E536" s="36" t="s">
        <v>5269</v>
      </c>
      <c r="F536" s="35" t="s">
        <v>5754</v>
      </c>
      <c r="G536" s="35" t="s">
        <v>5755</v>
      </c>
    </row>
    <row r="537" spans="1:7">
      <c r="A537" s="35">
        <v>4206</v>
      </c>
      <c r="B537" s="36" t="s">
        <v>2360</v>
      </c>
      <c r="C537" s="36" t="s">
        <v>4898</v>
      </c>
      <c r="D537" s="35">
        <v>7629</v>
      </c>
      <c r="E537" s="36" t="s">
        <v>5269</v>
      </c>
      <c r="F537" s="35" t="s">
        <v>5754</v>
      </c>
      <c r="G537" s="35" t="s">
        <v>5755</v>
      </c>
    </row>
    <row r="538" spans="1:7">
      <c r="A538" s="35">
        <v>4208</v>
      </c>
      <c r="B538" s="36" t="s">
        <v>2361</v>
      </c>
      <c r="C538" s="36" t="s">
        <v>4900</v>
      </c>
      <c r="D538" s="35">
        <v>7629</v>
      </c>
      <c r="E538" s="36" t="s">
        <v>5269</v>
      </c>
      <c r="F538" s="35" t="s">
        <v>5754</v>
      </c>
      <c r="G538" s="35" t="s">
        <v>5755</v>
      </c>
    </row>
    <row r="539" spans="1:7">
      <c r="A539" s="35">
        <v>4209</v>
      </c>
      <c r="B539" s="36" t="s">
        <v>2362</v>
      </c>
      <c r="C539" s="36" t="s">
        <v>4901</v>
      </c>
      <c r="D539" s="35">
        <v>7629</v>
      </c>
      <c r="E539" s="36" t="s">
        <v>5269</v>
      </c>
      <c r="F539" s="35" t="s">
        <v>5754</v>
      </c>
      <c r="G539" s="35" t="s">
        <v>5755</v>
      </c>
    </row>
    <row r="540" spans="1:7">
      <c r="A540" s="35">
        <v>4214</v>
      </c>
      <c r="B540" s="36" t="s">
        <v>2367</v>
      </c>
      <c r="C540" s="36" t="s">
        <v>4904</v>
      </c>
      <c r="D540" s="35">
        <v>7629</v>
      </c>
      <c r="E540" s="36" t="s">
        <v>5269</v>
      </c>
      <c r="F540" s="35" t="s">
        <v>5412</v>
      </c>
      <c r="G540" s="35" t="s">
        <v>5413</v>
      </c>
    </row>
    <row r="541" spans="1:7">
      <c r="A541" s="35">
        <v>4215</v>
      </c>
      <c r="B541" s="36" t="s">
        <v>2368</v>
      </c>
      <c r="C541" s="36" t="s">
        <v>4905</v>
      </c>
      <c r="D541" s="35">
        <v>7629</v>
      </c>
      <c r="E541" s="36" t="s">
        <v>5269</v>
      </c>
      <c r="F541" s="35" t="s">
        <v>5414</v>
      </c>
      <c r="G541" s="35" t="s">
        <v>5415</v>
      </c>
    </row>
    <row r="542" spans="1:7">
      <c r="A542" s="35">
        <v>4216</v>
      </c>
      <c r="B542" s="36" t="s">
        <v>2369</v>
      </c>
      <c r="C542" s="36" t="s">
        <v>4906</v>
      </c>
      <c r="D542" s="35">
        <v>7629</v>
      </c>
      <c r="E542" s="36" t="s">
        <v>5269</v>
      </c>
      <c r="F542" s="35" t="s">
        <v>5414</v>
      </c>
      <c r="G542" s="35" t="s">
        <v>5415</v>
      </c>
    </row>
    <row r="543" spans="1:7">
      <c r="A543" s="35">
        <v>4217</v>
      </c>
      <c r="B543" s="36" t="s">
        <v>2370</v>
      </c>
      <c r="C543" s="36" t="s">
        <v>4907</v>
      </c>
      <c r="D543" s="35">
        <v>7629</v>
      </c>
      <c r="E543" s="36" t="s">
        <v>5269</v>
      </c>
      <c r="F543" s="35" t="s">
        <v>5414</v>
      </c>
      <c r="G543" s="35" t="s">
        <v>5415</v>
      </c>
    </row>
    <row r="544" spans="1:7">
      <c r="A544" s="35">
        <v>4234</v>
      </c>
      <c r="B544" s="36" t="s">
        <v>2513</v>
      </c>
      <c r="C544" s="36" t="s">
        <v>4922</v>
      </c>
      <c r="D544" s="35">
        <v>7629</v>
      </c>
      <c r="E544" s="36" t="s">
        <v>5269</v>
      </c>
      <c r="F544" s="35" t="s">
        <v>5758</v>
      </c>
      <c r="G544" s="35" t="s">
        <v>5759</v>
      </c>
    </row>
    <row r="545" spans="1:7">
      <c r="A545" s="35">
        <v>4235</v>
      </c>
      <c r="B545" s="36" t="s">
        <v>2514</v>
      </c>
      <c r="C545" s="36" t="s">
        <v>4923</v>
      </c>
      <c r="D545" s="35">
        <v>7629</v>
      </c>
      <c r="E545" s="36" t="s">
        <v>5269</v>
      </c>
      <c r="F545" s="35" t="s">
        <v>5758</v>
      </c>
      <c r="G545" s="35" t="s">
        <v>5759</v>
      </c>
    </row>
    <row r="546" spans="1:7">
      <c r="A546" s="35">
        <v>4237</v>
      </c>
      <c r="B546" s="36" t="s">
        <v>2515</v>
      </c>
      <c r="C546" s="36" t="s">
        <v>4924</v>
      </c>
      <c r="D546" s="35">
        <v>7629</v>
      </c>
      <c r="E546" s="36" t="s">
        <v>5269</v>
      </c>
      <c r="F546" s="35" t="s">
        <v>5760</v>
      </c>
      <c r="G546" s="35" t="s">
        <v>5761</v>
      </c>
    </row>
    <row r="547" spans="1:7">
      <c r="A547" s="35">
        <v>4238</v>
      </c>
      <c r="B547" s="36" t="s">
        <v>2516</v>
      </c>
      <c r="C547" s="36" t="s">
        <v>4925</v>
      </c>
      <c r="D547" s="35">
        <v>7629</v>
      </c>
      <c r="E547" s="36" t="s">
        <v>5269</v>
      </c>
      <c r="F547" s="35" t="s">
        <v>5758</v>
      </c>
      <c r="G547" s="35" t="s">
        <v>5759</v>
      </c>
    </row>
    <row r="548" spans="1:7">
      <c r="A548" s="35">
        <v>4239</v>
      </c>
      <c r="B548" s="36" t="s">
        <v>2517</v>
      </c>
      <c r="C548" s="36" t="s">
        <v>4926</v>
      </c>
      <c r="D548" s="35">
        <v>7629</v>
      </c>
      <c r="E548" s="36" t="s">
        <v>5269</v>
      </c>
      <c r="F548" s="35" t="s">
        <v>5758</v>
      </c>
      <c r="G548" s="35" t="s">
        <v>5759</v>
      </c>
    </row>
    <row r="549" spans="1:7">
      <c r="A549" s="35">
        <v>4241</v>
      </c>
      <c r="B549" s="36" t="s">
        <v>2518</v>
      </c>
      <c r="C549" s="36" t="s">
        <v>4927</v>
      </c>
      <c r="D549" s="35">
        <v>7629</v>
      </c>
      <c r="E549" s="36" t="s">
        <v>5269</v>
      </c>
      <c r="F549" s="35" t="s">
        <v>5758</v>
      </c>
      <c r="G549" s="35" t="s">
        <v>5759</v>
      </c>
    </row>
    <row r="550" spans="1:7">
      <c r="A550" s="35">
        <v>4242</v>
      </c>
      <c r="B550" s="36" t="s">
        <v>2519</v>
      </c>
      <c r="C550" s="36" t="s">
        <v>4928</v>
      </c>
      <c r="D550" s="35">
        <v>7629</v>
      </c>
      <c r="E550" s="36" t="s">
        <v>5269</v>
      </c>
      <c r="F550" s="35" t="s">
        <v>5758</v>
      </c>
      <c r="G550" s="35" t="s">
        <v>5759</v>
      </c>
    </row>
    <row r="551" spans="1:7">
      <c r="A551" s="35">
        <v>4269</v>
      </c>
      <c r="B551" s="36" t="s">
        <v>2616</v>
      </c>
      <c r="C551" s="36" t="s">
        <v>4935</v>
      </c>
      <c r="D551" s="35">
        <v>7629</v>
      </c>
      <c r="E551" s="36" t="s">
        <v>5269</v>
      </c>
      <c r="F551" s="35" t="s">
        <v>5762</v>
      </c>
      <c r="G551" s="35" t="s">
        <v>5763</v>
      </c>
    </row>
    <row r="552" spans="1:7">
      <c r="A552" s="35">
        <v>4270</v>
      </c>
      <c r="B552" s="36" t="s">
        <v>2617</v>
      </c>
      <c r="C552" s="36" t="s">
        <v>4936</v>
      </c>
      <c r="D552" s="35">
        <v>7629</v>
      </c>
      <c r="E552" s="36" t="s">
        <v>5269</v>
      </c>
      <c r="F552" s="35" t="s">
        <v>5766</v>
      </c>
      <c r="G552" s="35" t="s">
        <v>5767</v>
      </c>
    </row>
    <row r="553" spans="1:7">
      <c r="A553" s="35">
        <v>4271</v>
      </c>
      <c r="B553" s="36" t="s">
        <v>2618</v>
      </c>
      <c r="C553" s="36" t="s">
        <v>4937</v>
      </c>
      <c r="D553" s="35">
        <v>7629</v>
      </c>
      <c r="E553" s="36" t="s">
        <v>5269</v>
      </c>
      <c r="F553" s="35" t="s">
        <v>5766</v>
      </c>
      <c r="G553" s="35" t="s">
        <v>5767</v>
      </c>
    </row>
    <row r="554" spans="1:7">
      <c r="A554" s="35">
        <v>4274</v>
      </c>
      <c r="B554" s="36" t="s">
        <v>2619</v>
      </c>
      <c r="C554" s="36" t="s">
        <v>4938</v>
      </c>
      <c r="D554" s="35">
        <v>7629</v>
      </c>
      <c r="E554" s="36" t="s">
        <v>5269</v>
      </c>
      <c r="F554" s="35" t="s">
        <v>5766</v>
      </c>
      <c r="G554" s="35" t="s">
        <v>5767</v>
      </c>
    </row>
    <row r="555" spans="1:7">
      <c r="A555" s="35">
        <v>4284</v>
      </c>
      <c r="B555" s="36" t="s">
        <v>2706</v>
      </c>
      <c r="C555" s="36" t="s">
        <v>4946</v>
      </c>
      <c r="D555" s="35">
        <v>7629</v>
      </c>
      <c r="E555" s="36" t="s">
        <v>5269</v>
      </c>
      <c r="F555" s="35" t="s">
        <v>5772</v>
      </c>
      <c r="G555" s="35" t="s">
        <v>5773</v>
      </c>
    </row>
    <row r="556" spans="1:7">
      <c r="A556" s="35">
        <v>4288</v>
      </c>
      <c r="B556" s="36" t="s">
        <v>2711</v>
      </c>
      <c r="C556" s="36" t="s">
        <v>4949</v>
      </c>
      <c r="D556" s="35">
        <v>7629</v>
      </c>
      <c r="E556" s="36" t="s">
        <v>5269</v>
      </c>
      <c r="F556" s="35" t="s">
        <v>5774</v>
      </c>
      <c r="G556" s="35" t="s">
        <v>5775</v>
      </c>
    </row>
    <row r="557" spans="1:7">
      <c r="A557" s="35">
        <v>4289</v>
      </c>
      <c r="B557" s="36" t="s">
        <v>2712</v>
      </c>
      <c r="C557" s="36" t="s">
        <v>4950</v>
      </c>
      <c r="D557" s="35">
        <v>7629</v>
      </c>
      <c r="E557" s="36" t="s">
        <v>5269</v>
      </c>
      <c r="F557" s="35" t="s">
        <v>5774</v>
      </c>
      <c r="G557" s="35" t="s">
        <v>5775</v>
      </c>
    </row>
    <row r="558" spans="1:7">
      <c r="A558" s="35">
        <v>4290</v>
      </c>
      <c r="B558" s="36" t="s">
        <v>2713</v>
      </c>
      <c r="C558" s="36" t="s">
        <v>4951</v>
      </c>
      <c r="D558" s="35">
        <v>7629</v>
      </c>
      <c r="E558" s="36" t="s">
        <v>5269</v>
      </c>
      <c r="F558" s="35" t="s">
        <v>5774</v>
      </c>
      <c r="G558" s="35" t="s">
        <v>5775</v>
      </c>
    </row>
    <row r="559" spans="1:7">
      <c r="A559" s="35">
        <v>4301</v>
      </c>
      <c r="B559" s="36" t="s">
        <v>2620</v>
      </c>
      <c r="C559" s="36" t="s">
        <v>4961</v>
      </c>
      <c r="D559" s="35">
        <v>7629</v>
      </c>
      <c r="E559" s="36" t="s">
        <v>5269</v>
      </c>
      <c r="F559" s="35" t="s">
        <v>5784</v>
      </c>
      <c r="G559" s="35" t="s">
        <v>5785</v>
      </c>
    </row>
    <row r="560" spans="1:7">
      <c r="A560" s="35">
        <v>4302</v>
      </c>
      <c r="B560" s="36" t="s">
        <v>2621</v>
      </c>
      <c r="C560" s="36" t="s">
        <v>4962</v>
      </c>
      <c r="D560" s="35">
        <v>7629</v>
      </c>
      <c r="E560" s="36" t="s">
        <v>5269</v>
      </c>
      <c r="F560" s="35" t="s">
        <v>5786</v>
      </c>
      <c r="G560" s="35" t="s">
        <v>5787</v>
      </c>
    </row>
    <row r="561" spans="1:7">
      <c r="A561" s="35">
        <v>4303</v>
      </c>
      <c r="B561" s="36" t="s">
        <v>2622</v>
      </c>
      <c r="C561" s="36" t="s">
        <v>4963</v>
      </c>
      <c r="D561" s="35">
        <v>7629</v>
      </c>
      <c r="E561" s="36" t="s">
        <v>5269</v>
      </c>
      <c r="F561" s="35" t="s">
        <v>5786</v>
      </c>
      <c r="G561" s="35" t="s">
        <v>5787</v>
      </c>
    </row>
    <row r="562" spans="1:7">
      <c r="A562" s="35">
        <v>4304</v>
      </c>
      <c r="B562" s="36" t="s">
        <v>2623</v>
      </c>
      <c r="C562" s="36" t="s">
        <v>4964</v>
      </c>
      <c r="D562" s="35">
        <v>7629</v>
      </c>
      <c r="E562" s="36" t="s">
        <v>5269</v>
      </c>
      <c r="F562" s="35" t="s">
        <v>5786</v>
      </c>
      <c r="G562" s="35" t="s">
        <v>5787</v>
      </c>
    </row>
    <row r="563" spans="1:7">
      <c r="A563" s="35">
        <v>4305</v>
      </c>
      <c r="B563" s="36" t="s">
        <v>2624</v>
      </c>
      <c r="C563" s="36" t="s">
        <v>4965</v>
      </c>
      <c r="D563" s="35">
        <v>7629</v>
      </c>
      <c r="E563" s="36" t="s">
        <v>5269</v>
      </c>
      <c r="F563" s="35" t="s">
        <v>5786</v>
      </c>
      <c r="G563" s="35" t="s">
        <v>5787</v>
      </c>
    </row>
    <row r="564" spans="1:7">
      <c r="A564" s="35">
        <v>4306</v>
      </c>
      <c r="B564" s="36" t="s">
        <v>2625</v>
      </c>
      <c r="C564" s="36" t="s">
        <v>4966</v>
      </c>
      <c r="D564" s="35">
        <v>7629</v>
      </c>
      <c r="E564" s="36" t="s">
        <v>5269</v>
      </c>
      <c r="F564" s="35" t="s">
        <v>5788</v>
      </c>
      <c r="G564" s="35" t="s">
        <v>5789</v>
      </c>
    </row>
    <row r="565" spans="1:7">
      <c r="A565" s="35">
        <v>4307</v>
      </c>
      <c r="B565" s="36" t="s">
        <v>2626</v>
      </c>
      <c r="C565" s="36" t="s">
        <v>4967</v>
      </c>
      <c r="D565" s="35">
        <v>7629</v>
      </c>
      <c r="E565" s="36" t="s">
        <v>5269</v>
      </c>
      <c r="F565" s="35" t="s">
        <v>5788</v>
      </c>
      <c r="G565" s="35" t="s">
        <v>5789</v>
      </c>
    </row>
    <row r="566" spans="1:7">
      <c r="A566" s="35">
        <v>4308</v>
      </c>
      <c r="B566" s="36" t="s">
        <v>2627</v>
      </c>
      <c r="C566" s="36" t="s">
        <v>4968</v>
      </c>
      <c r="D566" s="35">
        <v>7629</v>
      </c>
      <c r="E566" s="36" t="s">
        <v>5269</v>
      </c>
      <c r="F566" s="35" t="s">
        <v>5788</v>
      </c>
      <c r="G566" s="35" t="s">
        <v>5789</v>
      </c>
    </row>
    <row r="567" spans="1:7">
      <c r="A567" s="35">
        <v>4309</v>
      </c>
      <c r="B567" s="36" t="s">
        <v>2628</v>
      </c>
      <c r="C567" s="36" t="s">
        <v>4969</v>
      </c>
      <c r="D567" s="35">
        <v>7629</v>
      </c>
      <c r="E567" s="36" t="s">
        <v>5269</v>
      </c>
      <c r="F567" s="35" t="s">
        <v>5788</v>
      </c>
      <c r="G567" s="35" t="s">
        <v>5789</v>
      </c>
    </row>
    <row r="568" spans="1:7">
      <c r="A568" s="35">
        <v>4310</v>
      </c>
      <c r="B568" s="36" t="s">
        <v>2614</v>
      </c>
      <c r="C568" s="36" t="s">
        <v>4970</v>
      </c>
      <c r="D568" s="35">
        <v>7629</v>
      </c>
      <c r="E568" s="36" t="s">
        <v>5269</v>
      </c>
      <c r="F568" s="35" t="s">
        <v>5374</v>
      </c>
      <c r="G568" s="35" t="s">
        <v>5375</v>
      </c>
    </row>
    <row r="569" spans="1:7">
      <c r="A569" s="35">
        <v>4311</v>
      </c>
      <c r="B569" s="36" t="s">
        <v>2615</v>
      </c>
      <c r="C569" s="36" t="s">
        <v>4971</v>
      </c>
      <c r="D569" s="35">
        <v>7629</v>
      </c>
      <c r="E569" s="36" t="s">
        <v>5269</v>
      </c>
      <c r="F569" s="35" t="s">
        <v>5374</v>
      </c>
      <c r="G569" s="35" t="s">
        <v>5375</v>
      </c>
    </row>
    <row r="570" spans="1:7">
      <c r="A570" s="35">
        <v>4320</v>
      </c>
      <c r="B570" s="36" t="s">
        <v>2183</v>
      </c>
      <c r="C570" s="36" t="s">
        <v>4977</v>
      </c>
      <c r="D570" s="35">
        <v>7629</v>
      </c>
      <c r="E570" s="36" t="s">
        <v>5269</v>
      </c>
      <c r="F570" s="35" t="s">
        <v>5542</v>
      </c>
      <c r="G570" s="35" t="s">
        <v>5543</v>
      </c>
    </row>
    <row r="571" spans="1:7">
      <c r="A571" s="35">
        <v>4321</v>
      </c>
      <c r="B571" s="36" t="s">
        <v>2482</v>
      </c>
      <c r="C571" s="36" t="s">
        <v>4978</v>
      </c>
      <c r="D571" s="35">
        <v>7629</v>
      </c>
      <c r="E571" s="36" t="s">
        <v>5269</v>
      </c>
      <c r="F571" s="35" t="s">
        <v>5790</v>
      </c>
      <c r="G571" s="35" t="s">
        <v>5791</v>
      </c>
    </row>
    <row r="572" spans="1:7">
      <c r="A572" s="35">
        <v>4323</v>
      </c>
      <c r="B572" s="36" t="s">
        <v>2457</v>
      </c>
      <c r="C572" s="36" t="s">
        <v>4979</v>
      </c>
      <c r="D572" s="35">
        <v>7629</v>
      </c>
      <c r="E572" s="36" t="s">
        <v>5269</v>
      </c>
      <c r="F572" s="35" t="s">
        <v>5790</v>
      </c>
      <c r="G572" s="35" t="s">
        <v>5791</v>
      </c>
    </row>
    <row r="573" spans="1:7">
      <c r="A573" s="35">
        <v>4324</v>
      </c>
      <c r="B573" s="36" t="s">
        <v>1673</v>
      </c>
      <c r="C573" s="36" t="s">
        <v>4980</v>
      </c>
      <c r="D573" s="35">
        <v>7629</v>
      </c>
      <c r="E573" s="36" t="s">
        <v>5269</v>
      </c>
      <c r="F573" s="35" t="s">
        <v>5790</v>
      </c>
      <c r="G573" s="35" t="s">
        <v>5791</v>
      </c>
    </row>
    <row r="574" spans="1:7">
      <c r="A574" s="35">
        <v>4340</v>
      </c>
      <c r="B574" s="36" t="s">
        <v>1932</v>
      </c>
      <c r="C574" s="36" t="s">
        <v>4982</v>
      </c>
      <c r="D574" s="35">
        <v>7629</v>
      </c>
      <c r="E574" s="36" t="s">
        <v>5269</v>
      </c>
      <c r="F574" s="35" t="s">
        <v>5296</v>
      </c>
      <c r="G574" s="35" t="s">
        <v>5297</v>
      </c>
    </row>
    <row r="575" spans="1:7">
      <c r="A575" s="35">
        <v>4383</v>
      </c>
      <c r="B575" s="36" t="s">
        <v>2184</v>
      </c>
      <c r="C575" s="36" t="s">
        <v>4983</v>
      </c>
      <c r="D575" s="35">
        <v>7629</v>
      </c>
      <c r="E575" s="36" t="s">
        <v>5269</v>
      </c>
      <c r="F575" s="35" t="s">
        <v>5792</v>
      </c>
      <c r="G575" s="35" t="s">
        <v>5793</v>
      </c>
    </row>
    <row r="576" spans="1:7">
      <c r="A576" s="35">
        <v>4389</v>
      </c>
      <c r="B576" s="36" t="s">
        <v>2069</v>
      </c>
      <c r="C576" s="36" t="s">
        <v>4984</v>
      </c>
      <c r="D576" s="35">
        <v>7629</v>
      </c>
      <c r="E576" s="36" t="s">
        <v>5269</v>
      </c>
      <c r="F576" s="35" t="s">
        <v>5296</v>
      </c>
      <c r="G576" s="35" t="s">
        <v>5297</v>
      </c>
    </row>
    <row r="577" spans="1:7">
      <c r="A577" s="35">
        <v>4432</v>
      </c>
      <c r="B577" s="36" t="s">
        <v>2543</v>
      </c>
      <c r="C577" s="36" t="s">
        <v>4988</v>
      </c>
      <c r="D577" s="35">
        <v>7629</v>
      </c>
      <c r="E577" s="36" t="s">
        <v>5269</v>
      </c>
      <c r="F577" s="35" t="s">
        <v>5794</v>
      </c>
      <c r="G577" s="35" t="s">
        <v>5795</v>
      </c>
    </row>
    <row r="578" spans="1:7">
      <c r="A578" s="35">
        <v>4446</v>
      </c>
      <c r="B578" s="36" t="s">
        <v>2715</v>
      </c>
      <c r="C578" s="36" t="s">
        <v>4998</v>
      </c>
      <c r="D578" s="35">
        <v>7629</v>
      </c>
      <c r="E578" s="36" t="s">
        <v>5269</v>
      </c>
      <c r="F578" s="35" t="s">
        <v>5800</v>
      </c>
      <c r="G578" s="35" t="s">
        <v>5801</v>
      </c>
    </row>
    <row r="579" spans="1:7">
      <c r="A579" s="35">
        <v>4459</v>
      </c>
      <c r="B579" s="36" t="s">
        <v>2716</v>
      </c>
      <c r="C579" s="36" t="s">
        <v>4999</v>
      </c>
      <c r="D579" s="35">
        <v>7629</v>
      </c>
      <c r="E579" s="36" t="s">
        <v>5269</v>
      </c>
      <c r="F579" s="35" t="s">
        <v>5800</v>
      </c>
      <c r="G579" s="35" t="s">
        <v>5801</v>
      </c>
    </row>
    <row r="580" spans="1:7">
      <c r="A580" s="35">
        <v>4463</v>
      </c>
      <c r="B580" s="36" t="s">
        <v>2717</v>
      </c>
      <c r="C580" s="36" t="s">
        <v>5000</v>
      </c>
      <c r="D580" s="35">
        <v>7629</v>
      </c>
      <c r="E580" s="36" t="s">
        <v>5269</v>
      </c>
      <c r="F580" s="35" t="s">
        <v>5802</v>
      </c>
      <c r="G580" s="35" t="s">
        <v>5803</v>
      </c>
    </row>
    <row r="581" spans="1:7">
      <c r="A581" s="35">
        <v>4467</v>
      </c>
      <c r="B581" s="36" t="s">
        <v>2718</v>
      </c>
      <c r="C581" s="36" t="s">
        <v>5001</v>
      </c>
      <c r="D581" s="35">
        <v>7629</v>
      </c>
      <c r="E581" s="36" t="s">
        <v>5269</v>
      </c>
      <c r="F581" s="35" t="s">
        <v>5804</v>
      </c>
      <c r="G581" s="35" t="s">
        <v>5805</v>
      </c>
    </row>
    <row r="582" spans="1:7">
      <c r="A582" s="35">
        <v>4469</v>
      </c>
      <c r="B582" s="36" t="s">
        <v>2719</v>
      </c>
      <c r="C582" s="36" t="s">
        <v>5001</v>
      </c>
      <c r="D582" s="35">
        <v>7629</v>
      </c>
      <c r="E582" s="36" t="s">
        <v>5269</v>
      </c>
      <c r="F582" s="35" t="s">
        <v>5802</v>
      </c>
      <c r="G582" s="35" t="s">
        <v>5803</v>
      </c>
    </row>
    <row r="583" spans="1:7">
      <c r="A583" s="35">
        <v>4470</v>
      </c>
      <c r="B583" s="36" t="s">
        <v>2720</v>
      </c>
      <c r="C583" s="36" t="s">
        <v>5002</v>
      </c>
      <c r="D583" s="35">
        <v>7629</v>
      </c>
      <c r="E583" s="36" t="s">
        <v>5269</v>
      </c>
      <c r="F583" s="35" t="s">
        <v>5806</v>
      </c>
      <c r="G583" s="35" t="s">
        <v>5807</v>
      </c>
    </row>
    <row r="584" spans="1:7">
      <c r="A584" s="35">
        <v>4471</v>
      </c>
      <c r="B584" s="36" t="s">
        <v>2721</v>
      </c>
      <c r="C584" s="36" t="s">
        <v>5003</v>
      </c>
      <c r="D584" s="35">
        <v>7629</v>
      </c>
      <c r="E584" s="36" t="s">
        <v>5269</v>
      </c>
      <c r="F584" s="35" t="s">
        <v>5806</v>
      </c>
      <c r="G584" s="35" t="s">
        <v>5807</v>
      </c>
    </row>
    <row r="585" spans="1:7">
      <c r="A585" s="35">
        <v>4473</v>
      </c>
      <c r="B585" s="36" t="s">
        <v>2724</v>
      </c>
      <c r="C585" s="36" t="s">
        <v>5003</v>
      </c>
      <c r="D585" s="35">
        <v>7629</v>
      </c>
      <c r="E585" s="36" t="s">
        <v>5269</v>
      </c>
      <c r="F585" s="35" t="s">
        <v>5806</v>
      </c>
      <c r="G585" s="35" t="s">
        <v>5807</v>
      </c>
    </row>
    <row r="586" spans="1:7">
      <c r="A586" s="35">
        <v>4478</v>
      </c>
      <c r="B586" s="36" t="s">
        <v>2725</v>
      </c>
      <c r="C586" s="36" t="s">
        <v>5004</v>
      </c>
      <c r="D586" s="35">
        <v>7629</v>
      </c>
      <c r="E586" s="36" t="s">
        <v>5269</v>
      </c>
      <c r="F586" s="35" t="s">
        <v>5726</v>
      </c>
      <c r="G586" s="35" t="s">
        <v>5727</v>
      </c>
    </row>
    <row r="587" spans="1:7">
      <c r="A587" s="35">
        <v>4481</v>
      </c>
      <c r="B587" s="36" t="s">
        <v>2726</v>
      </c>
      <c r="C587" s="36" t="s">
        <v>5005</v>
      </c>
      <c r="D587" s="35">
        <v>7629</v>
      </c>
      <c r="E587" s="36" t="s">
        <v>5269</v>
      </c>
      <c r="F587" s="35" t="s">
        <v>5726</v>
      </c>
      <c r="G587" s="35" t="s">
        <v>5727</v>
      </c>
    </row>
    <row r="588" spans="1:7">
      <c r="A588" s="35">
        <v>4482</v>
      </c>
      <c r="B588" s="36" t="s">
        <v>2727</v>
      </c>
      <c r="C588" s="36" t="s">
        <v>5006</v>
      </c>
      <c r="D588" s="35">
        <v>7629</v>
      </c>
      <c r="E588" s="36" t="s">
        <v>5269</v>
      </c>
      <c r="F588" s="35" t="s">
        <v>5726</v>
      </c>
      <c r="G588" s="35" t="s">
        <v>5727</v>
      </c>
    </row>
    <row r="589" spans="1:7">
      <c r="A589" s="35">
        <v>4490</v>
      </c>
      <c r="B589" s="36" t="s">
        <v>2731</v>
      </c>
      <c r="C589" s="36" t="s">
        <v>5010</v>
      </c>
      <c r="D589" s="35">
        <v>7629</v>
      </c>
      <c r="E589" s="36" t="s">
        <v>5269</v>
      </c>
      <c r="F589" s="35" t="s">
        <v>5808</v>
      </c>
      <c r="G589" s="35" t="s">
        <v>5809</v>
      </c>
    </row>
    <row r="590" spans="1:7">
      <c r="A590" s="35">
        <v>4492</v>
      </c>
      <c r="B590" s="36" t="s">
        <v>2732</v>
      </c>
      <c r="C590" s="36" t="s">
        <v>5011</v>
      </c>
      <c r="D590" s="35">
        <v>7629</v>
      </c>
      <c r="E590" s="36" t="s">
        <v>5269</v>
      </c>
      <c r="F590" s="35" t="s">
        <v>5808</v>
      </c>
      <c r="G590" s="35" t="s">
        <v>5809</v>
      </c>
    </row>
    <row r="591" spans="1:7">
      <c r="A591" s="35">
        <v>4493</v>
      </c>
      <c r="B591" s="36" t="s">
        <v>2733</v>
      </c>
      <c r="C591" s="36" t="s">
        <v>5012</v>
      </c>
      <c r="D591" s="35">
        <v>7629</v>
      </c>
      <c r="E591" s="36" t="s">
        <v>5269</v>
      </c>
      <c r="F591" s="35" t="s">
        <v>5810</v>
      </c>
      <c r="G591" s="35" t="s">
        <v>5811</v>
      </c>
    </row>
    <row r="592" spans="1:7">
      <c r="A592" s="35">
        <v>4520</v>
      </c>
      <c r="B592" s="36" t="s">
        <v>2266</v>
      </c>
      <c r="C592" s="36" t="s">
        <v>5014</v>
      </c>
      <c r="D592" s="35">
        <v>7629</v>
      </c>
      <c r="E592" s="36" t="s">
        <v>5269</v>
      </c>
      <c r="F592" s="35" t="s">
        <v>5812</v>
      </c>
      <c r="G592" s="35" t="s">
        <v>5813</v>
      </c>
    </row>
    <row r="593" spans="1:7">
      <c r="A593" s="35">
        <v>4541</v>
      </c>
      <c r="B593" s="36" t="s">
        <v>2553</v>
      </c>
      <c r="C593" s="36" t="s">
        <v>5021</v>
      </c>
      <c r="D593" s="35">
        <v>7629</v>
      </c>
      <c r="E593" s="36" t="s">
        <v>5269</v>
      </c>
      <c r="F593" s="35" t="s">
        <v>5806</v>
      </c>
      <c r="G593" s="35" t="s">
        <v>5807</v>
      </c>
    </row>
    <row r="594" spans="1:7">
      <c r="A594" s="35">
        <v>4542</v>
      </c>
      <c r="B594" s="36" t="s">
        <v>2554</v>
      </c>
      <c r="C594" s="36" t="s">
        <v>5022</v>
      </c>
      <c r="D594" s="35">
        <v>7629</v>
      </c>
      <c r="E594" s="36" t="s">
        <v>5269</v>
      </c>
      <c r="F594" s="35" t="s">
        <v>5818</v>
      </c>
      <c r="G594" s="35" t="s">
        <v>5819</v>
      </c>
    </row>
    <row r="595" spans="1:7">
      <c r="A595" s="35">
        <v>4543</v>
      </c>
      <c r="B595" s="36" t="s">
        <v>2555</v>
      </c>
      <c r="C595" s="36" t="s">
        <v>5023</v>
      </c>
      <c r="D595" s="35">
        <v>7629</v>
      </c>
      <c r="E595" s="36" t="s">
        <v>5269</v>
      </c>
      <c r="F595" s="35" t="s">
        <v>5818</v>
      </c>
      <c r="G595" s="35" t="s">
        <v>5819</v>
      </c>
    </row>
    <row r="596" spans="1:7">
      <c r="A596" s="35">
        <v>4544</v>
      </c>
      <c r="B596" s="36" t="s">
        <v>2556</v>
      </c>
      <c r="C596" s="36" t="s">
        <v>5024</v>
      </c>
      <c r="D596" s="35">
        <v>7629</v>
      </c>
      <c r="E596" s="36" t="s">
        <v>5269</v>
      </c>
      <c r="F596" s="35" t="s">
        <v>5818</v>
      </c>
      <c r="G596" s="35" t="s">
        <v>5819</v>
      </c>
    </row>
    <row r="597" spans="1:7">
      <c r="A597" s="35">
        <v>4545</v>
      </c>
      <c r="B597" s="36" t="s">
        <v>2557</v>
      </c>
      <c r="C597" s="36" t="s">
        <v>5025</v>
      </c>
      <c r="D597" s="35">
        <v>7629</v>
      </c>
      <c r="E597" s="36" t="s">
        <v>5269</v>
      </c>
      <c r="F597" s="35" t="s">
        <v>5806</v>
      </c>
      <c r="G597" s="35" t="s">
        <v>5807</v>
      </c>
    </row>
    <row r="598" spans="1:7">
      <c r="A598" s="35">
        <v>4546</v>
      </c>
      <c r="B598" s="36" t="s">
        <v>2558</v>
      </c>
      <c r="C598" s="36" t="s">
        <v>5026</v>
      </c>
      <c r="D598" s="35">
        <v>7629</v>
      </c>
      <c r="E598" s="36" t="s">
        <v>5269</v>
      </c>
      <c r="F598" s="35" t="s">
        <v>5806</v>
      </c>
      <c r="G598" s="35" t="s">
        <v>5807</v>
      </c>
    </row>
    <row r="599" spans="1:7">
      <c r="A599" s="35">
        <v>4547</v>
      </c>
      <c r="B599" s="36" t="s">
        <v>2559</v>
      </c>
      <c r="C599" s="36" t="s">
        <v>5027</v>
      </c>
      <c r="D599" s="35">
        <v>7629</v>
      </c>
      <c r="E599" s="36" t="s">
        <v>5269</v>
      </c>
      <c r="F599" s="35" t="s">
        <v>5806</v>
      </c>
      <c r="G599" s="35" t="s">
        <v>5807</v>
      </c>
    </row>
    <row r="600" spans="1:7">
      <c r="A600" s="35">
        <v>4548</v>
      </c>
      <c r="B600" s="36" t="s">
        <v>2560</v>
      </c>
      <c r="C600" s="36" t="s">
        <v>5028</v>
      </c>
      <c r="D600" s="35">
        <v>7629</v>
      </c>
      <c r="E600" s="36" t="s">
        <v>5269</v>
      </c>
      <c r="F600" s="35" t="s">
        <v>5806</v>
      </c>
      <c r="G600" s="35" t="s">
        <v>5807</v>
      </c>
    </row>
    <row r="601" spans="1:7">
      <c r="A601" s="35">
        <v>4567</v>
      </c>
      <c r="B601" s="36" t="s">
        <v>2419</v>
      </c>
      <c r="C601" s="36" t="s">
        <v>5026</v>
      </c>
      <c r="D601" s="35">
        <v>7629</v>
      </c>
      <c r="E601" s="36" t="s">
        <v>5269</v>
      </c>
      <c r="F601" s="35" t="s">
        <v>5806</v>
      </c>
      <c r="G601" s="35" t="s">
        <v>5807</v>
      </c>
    </row>
    <row r="602" spans="1:7">
      <c r="A602" s="35">
        <v>4568</v>
      </c>
      <c r="B602" s="36" t="s">
        <v>2420</v>
      </c>
      <c r="C602" s="36" t="s">
        <v>5031</v>
      </c>
      <c r="D602" s="35">
        <v>7629</v>
      </c>
      <c r="E602" s="36" t="s">
        <v>5269</v>
      </c>
      <c r="F602" s="35" t="s">
        <v>5818</v>
      </c>
      <c r="G602" s="35" t="s">
        <v>5819</v>
      </c>
    </row>
    <row r="603" spans="1:7">
      <c r="A603" s="35">
        <v>4591</v>
      </c>
      <c r="B603" s="36" t="s">
        <v>2538</v>
      </c>
      <c r="C603" s="36" t="s">
        <v>5035</v>
      </c>
      <c r="D603" s="35">
        <v>7629</v>
      </c>
      <c r="E603" s="36" t="s">
        <v>5269</v>
      </c>
      <c r="F603" s="35" t="s">
        <v>5820</v>
      </c>
      <c r="G603" s="35" t="s">
        <v>5821</v>
      </c>
    </row>
    <row r="604" spans="1:7">
      <c r="A604" s="35">
        <v>4598</v>
      </c>
      <c r="B604" s="36" t="s">
        <v>2735</v>
      </c>
      <c r="C604" s="36" t="s">
        <v>5037</v>
      </c>
      <c r="D604" s="35">
        <v>7629</v>
      </c>
      <c r="E604" s="36" t="s">
        <v>5269</v>
      </c>
      <c r="F604" s="35" t="s">
        <v>5628</v>
      </c>
      <c r="G604" s="35" t="s">
        <v>5629</v>
      </c>
    </row>
    <row r="605" spans="1:7">
      <c r="A605" s="35">
        <v>4601</v>
      </c>
      <c r="B605" s="36" t="s">
        <v>2404</v>
      </c>
      <c r="C605" s="36" t="s">
        <v>5038</v>
      </c>
      <c r="D605" s="35">
        <v>7629</v>
      </c>
      <c r="E605" s="36" t="s">
        <v>5269</v>
      </c>
      <c r="F605" s="35" t="s">
        <v>5822</v>
      </c>
      <c r="G605" s="35" t="s">
        <v>5823</v>
      </c>
    </row>
    <row r="606" spans="1:7">
      <c r="A606" s="35">
        <v>4611</v>
      </c>
      <c r="B606" s="36" t="s">
        <v>2409</v>
      </c>
      <c r="C606" s="36" t="s">
        <v>5042</v>
      </c>
      <c r="D606" s="35">
        <v>7629</v>
      </c>
      <c r="E606" s="36" t="s">
        <v>5269</v>
      </c>
      <c r="F606" s="35" t="s">
        <v>5827</v>
      </c>
      <c r="G606" s="35" t="s">
        <v>5828</v>
      </c>
    </row>
    <row r="607" spans="1:7">
      <c r="A607" s="35">
        <v>4642</v>
      </c>
      <c r="B607" s="36" t="s">
        <v>2410</v>
      </c>
      <c r="C607" s="36" t="s">
        <v>5043</v>
      </c>
      <c r="D607" s="35">
        <v>7629</v>
      </c>
      <c r="E607" s="36" t="s">
        <v>5269</v>
      </c>
      <c r="F607" s="35" t="s">
        <v>5829</v>
      </c>
      <c r="G607" s="35" t="s">
        <v>5830</v>
      </c>
    </row>
    <row r="608" spans="1:7">
      <c r="A608" s="35">
        <v>4643</v>
      </c>
      <c r="B608" s="36" t="s">
        <v>2411</v>
      </c>
      <c r="C608" s="36" t="s">
        <v>5043</v>
      </c>
      <c r="D608" s="35">
        <v>7629</v>
      </c>
      <c r="E608" s="36" t="s">
        <v>5269</v>
      </c>
      <c r="F608" s="35" t="s">
        <v>5829</v>
      </c>
      <c r="G608" s="35" t="s">
        <v>5830</v>
      </c>
    </row>
    <row r="609" spans="1:7">
      <c r="A609" s="35">
        <v>4644</v>
      </c>
      <c r="B609" s="36" t="s">
        <v>2412</v>
      </c>
      <c r="C609" s="36" t="s">
        <v>5044</v>
      </c>
      <c r="D609" s="35">
        <v>7629</v>
      </c>
      <c r="E609" s="36" t="s">
        <v>5269</v>
      </c>
      <c r="F609" s="35" t="s">
        <v>5831</v>
      </c>
      <c r="G609" s="35" t="s">
        <v>5832</v>
      </c>
    </row>
    <row r="610" spans="1:7">
      <c r="A610" s="35">
        <v>4645</v>
      </c>
      <c r="B610" s="36" t="s">
        <v>2413</v>
      </c>
      <c r="C610" s="36" t="s">
        <v>5045</v>
      </c>
      <c r="D610" s="35">
        <v>7629</v>
      </c>
      <c r="E610" s="36" t="s">
        <v>5269</v>
      </c>
      <c r="F610" s="35" t="s">
        <v>5831</v>
      </c>
      <c r="G610" s="35" t="s">
        <v>5832</v>
      </c>
    </row>
    <row r="611" spans="1:7">
      <c r="A611" s="35">
        <v>4646</v>
      </c>
      <c r="B611" s="36" t="s">
        <v>2414</v>
      </c>
      <c r="C611" s="36" t="s">
        <v>5046</v>
      </c>
      <c r="D611" s="35">
        <v>7629</v>
      </c>
      <c r="E611" s="36" t="s">
        <v>5269</v>
      </c>
      <c r="F611" s="35" t="s">
        <v>5831</v>
      </c>
      <c r="G611" s="35" t="s">
        <v>5832</v>
      </c>
    </row>
    <row r="612" spans="1:7">
      <c r="A612" s="35">
        <v>4647</v>
      </c>
      <c r="B612" s="36" t="s">
        <v>2415</v>
      </c>
      <c r="C612" s="36" t="s">
        <v>5047</v>
      </c>
      <c r="D612" s="35">
        <v>7629</v>
      </c>
      <c r="E612" s="36" t="s">
        <v>5269</v>
      </c>
      <c r="F612" s="35" t="s">
        <v>5831</v>
      </c>
      <c r="G612" s="35" t="s">
        <v>5832</v>
      </c>
    </row>
    <row r="613" spans="1:7">
      <c r="A613" s="35">
        <v>4648</v>
      </c>
      <c r="B613" s="36" t="s">
        <v>2416</v>
      </c>
      <c r="C613" s="36" t="s">
        <v>5048</v>
      </c>
      <c r="D613" s="35">
        <v>7629</v>
      </c>
      <c r="E613" s="36" t="s">
        <v>5269</v>
      </c>
      <c r="F613" s="35" t="s">
        <v>5833</v>
      </c>
      <c r="G613" s="35" t="s">
        <v>5834</v>
      </c>
    </row>
    <row r="614" spans="1:7">
      <c r="A614" s="35">
        <v>4665</v>
      </c>
      <c r="B614" s="36" t="s">
        <v>2524</v>
      </c>
      <c r="C614" s="36" t="s">
        <v>5053</v>
      </c>
      <c r="D614" s="35">
        <v>7629</v>
      </c>
      <c r="E614" s="36" t="s">
        <v>5269</v>
      </c>
      <c r="F614" s="35" t="s">
        <v>5833</v>
      </c>
      <c r="G614" s="35" t="s">
        <v>5834</v>
      </c>
    </row>
    <row r="615" spans="1:7">
      <c r="A615" s="35">
        <v>4666</v>
      </c>
      <c r="B615" s="36" t="s">
        <v>2525</v>
      </c>
      <c r="C615" s="36" t="s">
        <v>5054</v>
      </c>
      <c r="D615" s="35">
        <v>7629</v>
      </c>
      <c r="E615" s="36" t="s">
        <v>5269</v>
      </c>
      <c r="F615" s="35" t="s">
        <v>5656</v>
      </c>
      <c r="G615" s="35" t="s">
        <v>5657</v>
      </c>
    </row>
    <row r="616" spans="1:7">
      <c r="A616" s="35">
        <v>4667</v>
      </c>
      <c r="B616" s="36" t="s">
        <v>2526</v>
      </c>
      <c r="C616" s="36" t="s">
        <v>5055</v>
      </c>
      <c r="D616" s="35">
        <v>7629</v>
      </c>
      <c r="E616" s="36" t="s">
        <v>5269</v>
      </c>
      <c r="F616" s="35" t="s">
        <v>5658</v>
      </c>
      <c r="G616" s="35" t="s">
        <v>5659</v>
      </c>
    </row>
    <row r="617" spans="1:7">
      <c r="A617" s="35">
        <v>4669</v>
      </c>
      <c r="B617" s="36" t="s">
        <v>2528</v>
      </c>
      <c r="C617" s="36" t="s">
        <v>5057</v>
      </c>
      <c r="D617" s="35">
        <v>7629</v>
      </c>
      <c r="E617" s="36" t="s">
        <v>5269</v>
      </c>
      <c r="F617" s="35" t="s">
        <v>5835</v>
      </c>
      <c r="G617" s="35" t="s">
        <v>5836</v>
      </c>
    </row>
    <row r="618" spans="1:7">
      <c r="A618" s="35">
        <v>4670</v>
      </c>
      <c r="B618" s="36" t="s">
        <v>2529</v>
      </c>
      <c r="C618" s="36" t="s">
        <v>5058</v>
      </c>
      <c r="D618" s="35">
        <v>7629</v>
      </c>
      <c r="E618" s="36" t="s">
        <v>5269</v>
      </c>
      <c r="F618" s="35" t="s">
        <v>5835</v>
      </c>
      <c r="G618" s="35" t="s">
        <v>5836</v>
      </c>
    </row>
    <row r="619" spans="1:7">
      <c r="A619" s="35">
        <v>4671</v>
      </c>
      <c r="B619" s="36" t="s">
        <v>2530</v>
      </c>
      <c r="C619" s="36" t="s">
        <v>5059</v>
      </c>
      <c r="D619" s="35">
        <v>7629</v>
      </c>
      <c r="E619" s="36" t="s">
        <v>5269</v>
      </c>
      <c r="F619" s="35" t="s">
        <v>5835</v>
      </c>
      <c r="G619" s="35" t="s">
        <v>5836</v>
      </c>
    </row>
    <row r="620" spans="1:7">
      <c r="A620" s="35">
        <v>4676</v>
      </c>
      <c r="B620" s="36" t="s">
        <v>1763</v>
      </c>
      <c r="C620" s="36" t="s">
        <v>5061</v>
      </c>
      <c r="D620" s="35">
        <v>7629</v>
      </c>
      <c r="E620" s="36" t="s">
        <v>5269</v>
      </c>
      <c r="F620" s="35" t="s">
        <v>5837</v>
      </c>
      <c r="G620" s="35" t="s">
        <v>5838</v>
      </c>
    </row>
    <row r="621" spans="1:7">
      <c r="A621" s="35">
        <v>4680</v>
      </c>
      <c r="B621" s="36" t="s">
        <v>2703</v>
      </c>
      <c r="C621" s="36" t="s">
        <v>5062</v>
      </c>
      <c r="D621" s="35">
        <v>7629</v>
      </c>
      <c r="E621" s="36" t="s">
        <v>5269</v>
      </c>
      <c r="F621" s="35" t="s">
        <v>5837</v>
      </c>
      <c r="G621" s="35" t="s">
        <v>5838</v>
      </c>
    </row>
    <row r="622" spans="1:7">
      <c r="A622" s="35">
        <v>4684</v>
      </c>
      <c r="B622" s="36" t="s">
        <v>2722</v>
      </c>
      <c r="C622" s="36" t="s">
        <v>5063</v>
      </c>
      <c r="D622" s="35">
        <v>7629</v>
      </c>
      <c r="E622" s="36" t="s">
        <v>5269</v>
      </c>
      <c r="F622" s="35" t="s">
        <v>5837</v>
      </c>
      <c r="G622" s="35" t="s">
        <v>5838</v>
      </c>
    </row>
    <row r="623" spans="1:7">
      <c r="A623" s="35">
        <v>4685</v>
      </c>
      <c r="B623" s="36" t="s">
        <v>2723</v>
      </c>
      <c r="C623" s="36" t="s">
        <v>5064</v>
      </c>
      <c r="D623" s="35">
        <v>7629</v>
      </c>
      <c r="E623" s="36" t="s">
        <v>5269</v>
      </c>
      <c r="F623" s="35" t="s">
        <v>5839</v>
      </c>
      <c r="G623" s="35" t="s">
        <v>5840</v>
      </c>
    </row>
    <row r="624" spans="1:7">
      <c r="A624" s="35">
        <v>4686</v>
      </c>
      <c r="B624" s="36" t="s">
        <v>2024</v>
      </c>
      <c r="C624" s="36" t="s">
        <v>5061</v>
      </c>
      <c r="D624" s="35">
        <v>7629</v>
      </c>
      <c r="E624" s="36" t="s">
        <v>5269</v>
      </c>
      <c r="F624" s="35" t="s">
        <v>5839</v>
      </c>
      <c r="G624" s="35" t="s">
        <v>5840</v>
      </c>
    </row>
    <row r="625" spans="1:7">
      <c r="A625" s="35">
        <v>4698</v>
      </c>
      <c r="B625" s="36" t="s">
        <v>2085</v>
      </c>
      <c r="C625" s="36" t="s">
        <v>5065</v>
      </c>
      <c r="D625" s="35">
        <v>7629</v>
      </c>
      <c r="E625" s="36" t="s">
        <v>5269</v>
      </c>
      <c r="F625" s="35" t="s">
        <v>5839</v>
      </c>
      <c r="G625" s="35" t="s">
        <v>5840</v>
      </c>
    </row>
    <row r="626" spans="1:7">
      <c r="A626" s="35">
        <v>4709</v>
      </c>
      <c r="B626" s="36" t="s">
        <v>2049</v>
      </c>
      <c r="C626" s="36" t="s">
        <v>5061</v>
      </c>
      <c r="D626" s="35">
        <v>7629</v>
      </c>
      <c r="E626" s="36" t="s">
        <v>5269</v>
      </c>
      <c r="F626" s="35" t="s">
        <v>5839</v>
      </c>
      <c r="G626" s="35" t="s">
        <v>5840</v>
      </c>
    </row>
    <row r="627" spans="1:7">
      <c r="A627" s="35">
        <v>4728</v>
      </c>
      <c r="B627" s="36" t="s">
        <v>2483</v>
      </c>
      <c r="C627" s="36" t="s">
        <v>5069</v>
      </c>
      <c r="D627" s="35">
        <v>7629</v>
      </c>
      <c r="E627" s="36" t="s">
        <v>5269</v>
      </c>
      <c r="F627" s="35" t="s">
        <v>5843</v>
      </c>
      <c r="G627" s="35" t="s">
        <v>5844</v>
      </c>
    </row>
    <row r="628" spans="1:7">
      <c r="A628" s="35">
        <v>4729</v>
      </c>
      <c r="B628" s="36" t="s">
        <v>2484</v>
      </c>
      <c r="C628" s="36" t="s">
        <v>5070</v>
      </c>
      <c r="D628" s="35">
        <v>7629</v>
      </c>
      <c r="E628" s="36" t="s">
        <v>5269</v>
      </c>
      <c r="F628" s="35" t="s">
        <v>5845</v>
      </c>
      <c r="G628" s="35" t="s">
        <v>5846</v>
      </c>
    </row>
    <row r="629" spans="1:7">
      <c r="A629" s="35">
        <v>4730</v>
      </c>
      <c r="B629" s="36" t="s">
        <v>2485</v>
      </c>
      <c r="C629" s="36" t="s">
        <v>5071</v>
      </c>
      <c r="D629" s="35">
        <v>7629</v>
      </c>
      <c r="E629" s="36" t="s">
        <v>5269</v>
      </c>
      <c r="F629" s="35" t="s">
        <v>5845</v>
      </c>
      <c r="G629" s="35" t="s">
        <v>5846</v>
      </c>
    </row>
    <row r="630" spans="1:7">
      <c r="A630" s="35">
        <v>4738</v>
      </c>
      <c r="B630" s="36" t="s">
        <v>1926</v>
      </c>
      <c r="C630" s="36" t="s">
        <v>5072</v>
      </c>
      <c r="D630" s="35">
        <v>7629</v>
      </c>
      <c r="E630" s="36" t="s">
        <v>5269</v>
      </c>
      <c r="F630" s="35" t="s">
        <v>5845</v>
      </c>
      <c r="G630" s="35" t="s">
        <v>5846</v>
      </c>
    </row>
    <row r="631" spans="1:7">
      <c r="A631" s="35">
        <v>4746</v>
      </c>
      <c r="B631" s="36" t="s">
        <v>2425</v>
      </c>
      <c r="C631" s="36" t="s">
        <v>5075</v>
      </c>
      <c r="D631" s="35">
        <v>7629</v>
      </c>
      <c r="E631" s="36" t="s">
        <v>5269</v>
      </c>
      <c r="F631" s="35" t="s">
        <v>5314</v>
      </c>
      <c r="G631" s="35" t="s">
        <v>5315</v>
      </c>
    </row>
    <row r="632" spans="1:7">
      <c r="A632" s="35">
        <v>4751</v>
      </c>
      <c r="B632" s="36" t="s">
        <v>2430</v>
      </c>
      <c r="C632" s="36" t="s">
        <v>5079</v>
      </c>
      <c r="D632" s="35">
        <v>7629</v>
      </c>
      <c r="E632" s="36" t="s">
        <v>5269</v>
      </c>
      <c r="F632" s="35" t="s">
        <v>5855</v>
      </c>
      <c r="G632" s="35" t="s">
        <v>5856</v>
      </c>
    </row>
    <row r="633" spans="1:7">
      <c r="A633" s="35">
        <v>4756</v>
      </c>
      <c r="B633" s="36" t="s">
        <v>2436</v>
      </c>
      <c r="C633" s="36" t="s">
        <v>5083</v>
      </c>
      <c r="D633" s="35">
        <v>7629</v>
      </c>
      <c r="E633" s="36" t="s">
        <v>5269</v>
      </c>
      <c r="F633" s="35" t="s">
        <v>5762</v>
      </c>
      <c r="G633" s="35" t="s">
        <v>5763</v>
      </c>
    </row>
    <row r="634" spans="1:7">
      <c r="A634" s="35">
        <v>4757</v>
      </c>
      <c r="B634" s="36" t="s">
        <v>2437</v>
      </c>
      <c r="C634" s="36" t="s">
        <v>5084</v>
      </c>
      <c r="D634" s="35">
        <v>7629</v>
      </c>
      <c r="E634" s="36" t="s">
        <v>5269</v>
      </c>
      <c r="F634" s="35" t="s">
        <v>5762</v>
      </c>
      <c r="G634" s="35" t="s">
        <v>5763</v>
      </c>
    </row>
    <row r="635" spans="1:7">
      <c r="A635" s="35">
        <v>4758</v>
      </c>
      <c r="B635" s="36" t="s">
        <v>2438</v>
      </c>
      <c r="C635" s="36" t="s">
        <v>5085</v>
      </c>
      <c r="D635" s="35">
        <v>7629</v>
      </c>
      <c r="E635" s="36" t="s">
        <v>5269</v>
      </c>
      <c r="F635" s="35" t="s">
        <v>5306</v>
      </c>
      <c r="G635" s="35" t="s">
        <v>5307</v>
      </c>
    </row>
    <row r="636" spans="1:7">
      <c r="A636" s="35">
        <v>4759</v>
      </c>
      <c r="B636" s="36" t="s">
        <v>2439</v>
      </c>
      <c r="C636" s="36" t="s">
        <v>5086</v>
      </c>
      <c r="D636" s="35">
        <v>7629</v>
      </c>
      <c r="E636" s="36" t="s">
        <v>5269</v>
      </c>
      <c r="F636" s="35" t="s">
        <v>5648</v>
      </c>
      <c r="G636" s="35" t="s">
        <v>5649</v>
      </c>
    </row>
    <row r="637" spans="1:7">
      <c r="A637" s="35">
        <v>4760</v>
      </c>
      <c r="B637" s="36" t="s">
        <v>2440</v>
      </c>
      <c r="C637" s="36" t="s">
        <v>5083</v>
      </c>
      <c r="D637" s="35">
        <v>7629</v>
      </c>
      <c r="E637" s="36" t="s">
        <v>5269</v>
      </c>
      <c r="F637" s="35" t="s">
        <v>5306</v>
      </c>
      <c r="G637" s="35" t="s">
        <v>5307</v>
      </c>
    </row>
    <row r="638" spans="1:7">
      <c r="A638" s="35">
        <v>4764</v>
      </c>
      <c r="B638" s="36" t="s">
        <v>2444</v>
      </c>
      <c r="C638" s="36" t="s">
        <v>5088</v>
      </c>
      <c r="D638" s="35">
        <v>7629</v>
      </c>
      <c r="E638" s="36" t="s">
        <v>5269</v>
      </c>
      <c r="F638" s="35" t="s">
        <v>5859</v>
      </c>
      <c r="G638" s="35" t="s">
        <v>5860</v>
      </c>
    </row>
    <row r="639" spans="1:7">
      <c r="A639" s="35">
        <v>4765</v>
      </c>
      <c r="B639" s="36" t="s">
        <v>2445</v>
      </c>
      <c r="C639" s="36" t="s">
        <v>5083</v>
      </c>
      <c r="D639" s="35">
        <v>7629</v>
      </c>
      <c r="E639" s="36" t="s">
        <v>5269</v>
      </c>
      <c r="F639" s="35" t="s">
        <v>5857</v>
      </c>
      <c r="G639" s="35" t="s">
        <v>5858</v>
      </c>
    </row>
    <row r="640" spans="1:7">
      <c r="A640" s="35">
        <v>4766</v>
      </c>
      <c r="B640" s="36" t="s">
        <v>2446</v>
      </c>
      <c r="C640" s="36" t="s">
        <v>5083</v>
      </c>
      <c r="D640" s="35">
        <v>7629</v>
      </c>
      <c r="E640" s="36" t="s">
        <v>5269</v>
      </c>
      <c r="F640" s="35" t="s">
        <v>5857</v>
      </c>
      <c r="G640" s="35" t="s">
        <v>5858</v>
      </c>
    </row>
    <row r="641" spans="1:7">
      <c r="A641" s="35">
        <v>4767</v>
      </c>
      <c r="B641" s="36" t="s">
        <v>2447</v>
      </c>
      <c r="C641" s="36" t="s">
        <v>5089</v>
      </c>
      <c r="D641" s="35">
        <v>7629</v>
      </c>
      <c r="E641" s="36" t="s">
        <v>5269</v>
      </c>
      <c r="F641" s="35" t="s">
        <v>5857</v>
      </c>
      <c r="G641" s="35" t="s">
        <v>5858</v>
      </c>
    </row>
    <row r="642" spans="1:7">
      <c r="A642" s="35">
        <v>4768</v>
      </c>
      <c r="B642" s="36" t="s">
        <v>2448</v>
      </c>
      <c r="C642" s="36" t="s">
        <v>5090</v>
      </c>
      <c r="D642" s="35">
        <v>7629</v>
      </c>
      <c r="E642" s="36" t="s">
        <v>5269</v>
      </c>
      <c r="F642" s="35" t="s">
        <v>5861</v>
      </c>
      <c r="G642" s="35" t="s">
        <v>5862</v>
      </c>
    </row>
    <row r="643" spans="1:7">
      <c r="A643" s="35">
        <v>4773</v>
      </c>
      <c r="B643" s="36" t="s">
        <v>2739</v>
      </c>
      <c r="C643" s="36" t="s">
        <v>5094</v>
      </c>
      <c r="D643" s="35">
        <v>7629</v>
      </c>
      <c r="E643" s="36" t="s">
        <v>5269</v>
      </c>
      <c r="F643" s="35" t="s">
        <v>5863</v>
      </c>
      <c r="G643" s="35" t="s">
        <v>5864</v>
      </c>
    </row>
    <row r="644" spans="1:7">
      <c r="A644" s="35">
        <v>4774</v>
      </c>
      <c r="B644" s="36" t="s">
        <v>2740</v>
      </c>
      <c r="C644" s="36" t="s">
        <v>5091</v>
      </c>
      <c r="D644" s="35">
        <v>7629</v>
      </c>
      <c r="E644" s="36" t="s">
        <v>5269</v>
      </c>
      <c r="F644" s="35" t="s">
        <v>5280</v>
      </c>
      <c r="G644" s="35" t="s">
        <v>5281</v>
      </c>
    </row>
    <row r="645" spans="1:7">
      <c r="A645" s="35">
        <v>4775</v>
      </c>
      <c r="B645" s="36" t="s">
        <v>2741</v>
      </c>
      <c r="C645" s="36" t="s">
        <v>5095</v>
      </c>
      <c r="D645" s="35">
        <v>7629</v>
      </c>
      <c r="E645" s="36" t="s">
        <v>5269</v>
      </c>
      <c r="F645" s="35" t="s">
        <v>5863</v>
      </c>
      <c r="G645" s="35" t="s">
        <v>5864</v>
      </c>
    </row>
    <row r="646" spans="1:7">
      <c r="A646" s="35">
        <v>4776</v>
      </c>
      <c r="B646" s="36" t="s">
        <v>2742</v>
      </c>
      <c r="C646" s="36" t="s">
        <v>5096</v>
      </c>
      <c r="D646" s="35">
        <v>7629</v>
      </c>
      <c r="E646" s="36" t="s">
        <v>5269</v>
      </c>
      <c r="F646" s="35" t="s">
        <v>5867</v>
      </c>
      <c r="G646" s="35" t="s">
        <v>5868</v>
      </c>
    </row>
    <row r="647" spans="1:7">
      <c r="A647" s="35">
        <v>4777</v>
      </c>
      <c r="B647" s="36" t="s">
        <v>2743</v>
      </c>
      <c r="C647" s="36" t="s">
        <v>5097</v>
      </c>
      <c r="D647" s="35">
        <v>7629</v>
      </c>
      <c r="E647" s="36" t="s">
        <v>5269</v>
      </c>
      <c r="F647" s="35" t="s">
        <v>5867</v>
      </c>
      <c r="G647" s="35" t="s">
        <v>5868</v>
      </c>
    </row>
    <row r="648" spans="1:7">
      <c r="A648" s="35">
        <v>4781</v>
      </c>
      <c r="B648" s="36" t="s">
        <v>2747</v>
      </c>
      <c r="C648" s="36" t="s">
        <v>5101</v>
      </c>
      <c r="D648" s="35">
        <v>7629</v>
      </c>
      <c r="E648" s="36" t="s">
        <v>5269</v>
      </c>
      <c r="F648" s="35" t="s">
        <v>5873</v>
      </c>
      <c r="G648" s="35" t="s">
        <v>5874</v>
      </c>
    </row>
    <row r="649" spans="1:7">
      <c r="A649" s="35">
        <v>4785</v>
      </c>
      <c r="B649" s="36" t="s">
        <v>2751</v>
      </c>
      <c r="C649" s="36" t="s">
        <v>5105</v>
      </c>
      <c r="D649" s="35">
        <v>7629</v>
      </c>
      <c r="E649" s="36" t="s">
        <v>5269</v>
      </c>
      <c r="F649" s="35" t="s">
        <v>5875</v>
      </c>
      <c r="G649" s="35" t="s">
        <v>5876</v>
      </c>
    </row>
    <row r="650" spans="1:7">
      <c r="A650" s="35">
        <v>4786</v>
      </c>
      <c r="B650" s="36" t="s">
        <v>2561</v>
      </c>
      <c r="C650" s="36" t="s">
        <v>5106</v>
      </c>
      <c r="D650" s="35">
        <v>7629</v>
      </c>
      <c r="E650" s="36" t="s">
        <v>5269</v>
      </c>
      <c r="F650" s="35" t="s">
        <v>5875</v>
      </c>
      <c r="G650" s="35" t="s">
        <v>5876</v>
      </c>
    </row>
    <row r="651" spans="1:7">
      <c r="A651" s="35">
        <v>4787</v>
      </c>
      <c r="B651" s="36" t="s">
        <v>2562</v>
      </c>
      <c r="C651" s="36" t="s">
        <v>5107</v>
      </c>
      <c r="D651" s="35">
        <v>7629</v>
      </c>
      <c r="E651" s="36" t="s">
        <v>5269</v>
      </c>
      <c r="F651" s="35" t="s">
        <v>5875</v>
      </c>
      <c r="G651" s="35" t="s">
        <v>5876</v>
      </c>
    </row>
    <row r="652" spans="1:7">
      <c r="A652" s="35">
        <v>4788</v>
      </c>
      <c r="B652" s="36" t="s">
        <v>2563</v>
      </c>
      <c r="C652" s="36" t="s">
        <v>5108</v>
      </c>
      <c r="D652" s="35">
        <v>7629</v>
      </c>
      <c r="E652" s="36" t="s">
        <v>5269</v>
      </c>
      <c r="F652" s="35" t="s">
        <v>5875</v>
      </c>
      <c r="G652" s="35" t="s">
        <v>5876</v>
      </c>
    </row>
    <row r="653" spans="1:7">
      <c r="A653" s="35">
        <v>4789</v>
      </c>
      <c r="B653" s="36" t="s">
        <v>2564</v>
      </c>
      <c r="C653" s="36" t="s">
        <v>5109</v>
      </c>
      <c r="D653" s="35">
        <v>7629</v>
      </c>
      <c r="E653" s="36" t="s">
        <v>5269</v>
      </c>
      <c r="F653" s="35" t="s">
        <v>5875</v>
      </c>
      <c r="G653" s="35" t="s">
        <v>5876</v>
      </c>
    </row>
    <row r="654" spans="1:7">
      <c r="A654" s="35">
        <v>4797</v>
      </c>
      <c r="B654" s="36" t="s">
        <v>2568</v>
      </c>
      <c r="C654" s="36" t="s">
        <v>5113</v>
      </c>
      <c r="D654" s="35">
        <v>7629</v>
      </c>
      <c r="E654" s="36" t="s">
        <v>5269</v>
      </c>
      <c r="F654" s="35" t="s">
        <v>5877</v>
      </c>
      <c r="G654" s="35" t="s">
        <v>5878</v>
      </c>
    </row>
    <row r="655" spans="1:7">
      <c r="A655" s="35">
        <v>4829</v>
      </c>
      <c r="B655" s="36" t="s">
        <v>2652</v>
      </c>
      <c r="C655" s="36" t="s">
        <v>5115</v>
      </c>
      <c r="D655" s="35">
        <v>7629</v>
      </c>
      <c r="E655" s="36" t="s">
        <v>5269</v>
      </c>
      <c r="F655" s="35" t="s">
        <v>5877</v>
      </c>
      <c r="G655" s="35" t="s">
        <v>5878</v>
      </c>
    </row>
    <row r="656" spans="1:7">
      <c r="A656" s="35">
        <v>4850</v>
      </c>
      <c r="B656" s="36" t="s">
        <v>1933</v>
      </c>
      <c r="C656" s="36" t="s">
        <v>5116</v>
      </c>
      <c r="D656" s="35">
        <v>7629</v>
      </c>
      <c r="E656" s="36" t="s">
        <v>5269</v>
      </c>
      <c r="F656" s="35" t="s">
        <v>5879</v>
      </c>
      <c r="G656" s="35" t="s">
        <v>5880</v>
      </c>
    </row>
    <row r="657" spans="1:7">
      <c r="A657" s="35">
        <v>4879</v>
      </c>
      <c r="B657" s="36" t="s">
        <v>1987</v>
      </c>
      <c r="C657" s="36" t="s">
        <v>5121</v>
      </c>
      <c r="D657" s="35">
        <v>7629</v>
      </c>
      <c r="E657" s="36" t="s">
        <v>5269</v>
      </c>
      <c r="F657" s="35" t="s">
        <v>5288</v>
      </c>
      <c r="G657" s="35" t="s">
        <v>5289</v>
      </c>
    </row>
    <row r="658" spans="1:7">
      <c r="A658" s="35">
        <v>4880</v>
      </c>
      <c r="B658" s="36" t="s">
        <v>1764</v>
      </c>
      <c r="C658" s="36" t="s">
        <v>5122</v>
      </c>
      <c r="D658" s="35">
        <v>7629</v>
      </c>
      <c r="E658" s="36" t="s">
        <v>5269</v>
      </c>
      <c r="F658" s="35" t="s">
        <v>5879</v>
      </c>
      <c r="G658" s="35" t="s">
        <v>5880</v>
      </c>
    </row>
    <row r="659" spans="1:7">
      <c r="A659" s="35">
        <v>4887</v>
      </c>
      <c r="B659" s="36" t="s">
        <v>1935</v>
      </c>
      <c r="C659" s="36" t="s">
        <v>5124</v>
      </c>
      <c r="D659" s="35">
        <v>7629</v>
      </c>
      <c r="E659" s="36" t="s">
        <v>5269</v>
      </c>
      <c r="F659" s="35" t="s">
        <v>5885</v>
      </c>
      <c r="G659" s="35" t="s">
        <v>5886</v>
      </c>
    </row>
    <row r="660" spans="1:7">
      <c r="A660" s="35">
        <v>4897</v>
      </c>
      <c r="B660" s="36" t="s">
        <v>2343</v>
      </c>
      <c r="C660" s="36" t="s">
        <v>5126</v>
      </c>
      <c r="D660" s="35">
        <v>7629</v>
      </c>
      <c r="E660" s="36" t="s">
        <v>5269</v>
      </c>
      <c r="F660" s="35" t="s">
        <v>5885</v>
      </c>
      <c r="G660" s="35" t="s">
        <v>5886</v>
      </c>
    </row>
    <row r="661" spans="1:7">
      <c r="A661" s="35">
        <v>4909</v>
      </c>
      <c r="B661" s="36" t="s">
        <v>2648</v>
      </c>
      <c r="C661" s="36" t="s">
        <v>5127</v>
      </c>
      <c r="D661" s="35">
        <v>7629</v>
      </c>
      <c r="E661" s="36" t="s">
        <v>5269</v>
      </c>
      <c r="F661" s="35" t="s">
        <v>5887</v>
      </c>
      <c r="G661" s="35" t="s">
        <v>5888</v>
      </c>
    </row>
    <row r="662" spans="1:7">
      <c r="A662" s="35">
        <v>4910</v>
      </c>
      <c r="B662" s="36" t="s">
        <v>2647</v>
      </c>
      <c r="C662" s="36" t="s">
        <v>5128</v>
      </c>
      <c r="D662" s="35">
        <v>7629</v>
      </c>
      <c r="E662" s="36" t="s">
        <v>5269</v>
      </c>
      <c r="F662" s="35" t="s">
        <v>5887</v>
      </c>
      <c r="G662" s="35" t="s">
        <v>5888</v>
      </c>
    </row>
    <row r="663" spans="1:7">
      <c r="A663" s="35">
        <v>4926</v>
      </c>
      <c r="B663" s="36" t="s">
        <v>1957</v>
      </c>
      <c r="C663" s="36" t="s">
        <v>5132</v>
      </c>
      <c r="D663" s="35">
        <v>7629</v>
      </c>
      <c r="E663" s="36" t="s">
        <v>5269</v>
      </c>
      <c r="F663" s="35" t="s">
        <v>5889</v>
      </c>
      <c r="G663" s="35" t="s">
        <v>5890</v>
      </c>
    </row>
    <row r="664" spans="1:7">
      <c r="A664" s="35">
        <v>4928</v>
      </c>
      <c r="B664" s="36" t="s">
        <v>1958</v>
      </c>
      <c r="C664" s="36" t="s">
        <v>5134</v>
      </c>
      <c r="D664" s="35">
        <v>7629</v>
      </c>
      <c r="E664" s="36" t="s">
        <v>5269</v>
      </c>
      <c r="F664" s="35" t="s">
        <v>5889</v>
      </c>
      <c r="G664" s="35" t="s">
        <v>5890</v>
      </c>
    </row>
    <row r="665" spans="1:7">
      <c r="A665" s="35">
        <v>4929</v>
      </c>
      <c r="B665" s="36" t="s">
        <v>1959</v>
      </c>
      <c r="C665" s="36" t="s">
        <v>5135</v>
      </c>
      <c r="D665" s="35">
        <v>7629</v>
      </c>
      <c r="E665" s="36" t="s">
        <v>5269</v>
      </c>
      <c r="F665" s="35" t="s">
        <v>5891</v>
      </c>
      <c r="G665" s="35" t="s">
        <v>5892</v>
      </c>
    </row>
    <row r="666" spans="1:7">
      <c r="A666" s="35">
        <v>4933</v>
      </c>
      <c r="B666" s="36" t="s">
        <v>2226</v>
      </c>
      <c r="C666" s="36" t="s">
        <v>5136</v>
      </c>
      <c r="D666" s="35">
        <v>7629</v>
      </c>
      <c r="E666" s="36" t="s">
        <v>5269</v>
      </c>
      <c r="F666" s="35" t="s">
        <v>5889</v>
      </c>
      <c r="G666" s="35" t="s">
        <v>5890</v>
      </c>
    </row>
    <row r="667" spans="1:7">
      <c r="A667" s="35">
        <v>4934</v>
      </c>
      <c r="B667" s="36" t="s">
        <v>2228</v>
      </c>
      <c r="C667" s="36" t="s">
        <v>5137</v>
      </c>
      <c r="D667" s="35">
        <v>7629</v>
      </c>
      <c r="E667" s="36" t="s">
        <v>5269</v>
      </c>
      <c r="F667" s="35" t="s">
        <v>5889</v>
      </c>
      <c r="G667" s="35" t="s">
        <v>5890</v>
      </c>
    </row>
    <row r="668" spans="1:7">
      <c r="A668" s="35">
        <v>4935</v>
      </c>
      <c r="B668" s="36" t="s">
        <v>2229</v>
      </c>
      <c r="C668" s="36" t="s">
        <v>5138</v>
      </c>
      <c r="D668" s="35">
        <v>7629</v>
      </c>
      <c r="E668" s="36" t="s">
        <v>5269</v>
      </c>
      <c r="F668" s="35" t="s">
        <v>5889</v>
      </c>
      <c r="G668" s="35" t="s">
        <v>5890</v>
      </c>
    </row>
    <row r="669" spans="1:7">
      <c r="A669" s="35">
        <v>4937</v>
      </c>
      <c r="B669" s="36" t="s">
        <v>2230</v>
      </c>
      <c r="C669" s="36" t="s">
        <v>5139</v>
      </c>
      <c r="D669" s="35">
        <v>7629</v>
      </c>
      <c r="E669" s="36" t="s">
        <v>5269</v>
      </c>
      <c r="F669" s="35" t="s">
        <v>5891</v>
      </c>
      <c r="G669" s="35" t="s">
        <v>5892</v>
      </c>
    </row>
    <row r="670" spans="1:7">
      <c r="A670" s="35">
        <v>4937</v>
      </c>
      <c r="B670" s="36" t="s">
        <v>2281</v>
      </c>
      <c r="C670" s="36" t="s">
        <v>5140</v>
      </c>
      <c r="D670" s="35">
        <v>7629</v>
      </c>
      <c r="E670" s="36" t="s">
        <v>5269</v>
      </c>
      <c r="F670" s="35" t="s">
        <v>5893</v>
      </c>
      <c r="G670" s="35" t="s">
        <v>5894</v>
      </c>
    </row>
    <row r="671" spans="1:7">
      <c r="A671" s="35">
        <v>4938</v>
      </c>
      <c r="B671" s="36" t="s">
        <v>1894</v>
      </c>
      <c r="C671" s="36" t="s">
        <v>5141</v>
      </c>
      <c r="D671" s="35">
        <v>7629</v>
      </c>
      <c r="E671" s="36" t="s">
        <v>5269</v>
      </c>
      <c r="F671" s="35" t="s">
        <v>5895</v>
      </c>
      <c r="G671" s="35" t="s">
        <v>5896</v>
      </c>
    </row>
    <row r="672" spans="1:7">
      <c r="A672" s="35">
        <v>4940</v>
      </c>
      <c r="B672" s="36" t="s">
        <v>2289</v>
      </c>
      <c r="C672" s="36" t="s">
        <v>5142</v>
      </c>
      <c r="D672" s="35">
        <v>7629</v>
      </c>
      <c r="E672" s="36" t="s">
        <v>5269</v>
      </c>
      <c r="F672" s="35" t="s">
        <v>5895</v>
      </c>
      <c r="G672" s="35" t="s">
        <v>5896</v>
      </c>
    </row>
    <row r="673" spans="1:7">
      <c r="A673" s="35">
        <v>4944</v>
      </c>
      <c r="B673" s="36" t="s">
        <v>1899</v>
      </c>
      <c r="C673" s="36" t="s">
        <v>5143</v>
      </c>
      <c r="D673" s="35">
        <v>7629</v>
      </c>
      <c r="E673" s="36" t="s">
        <v>5269</v>
      </c>
      <c r="F673" s="35" t="s">
        <v>5897</v>
      </c>
      <c r="G673" s="35" t="s">
        <v>5898</v>
      </c>
    </row>
    <row r="674" spans="1:7">
      <c r="A674" s="35">
        <v>4945</v>
      </c>
      <c r="B674" s="36" t="s">
        <v>1907</v>
      </c>
      <c r="C674" s="36" t="s">
        <v>5144</v>
      </c>
      <c r="D674" s="35">
        <v>7629</v>
      </c>
      <c r="E674" s="36" t="s">
        <v>5269</v>
      </c>
      <c r="F674" s="35" t="s">
        <v>5899</v>
      </c>
      <c r="G674" s="35" t="s">
        <v>5900</v>
      </c>
    </row>
    <row r="675" spans="1:7">
      <c r="A675" s="35">
        <v>4947</v>
      </c>
      <c r="B675" s="36" t="s">
        <v>2285</v>
      </c>
      <c r="C675" s="36" t="s">
        <v>5145</v>
      </c>
      <c r="D675" s="35">
        <v>7629</v>
      </c>
      <c r="E675" s="36" t="s">
        <v>5269</v>
      </c>
      <c r="F675" s="35" t="s">
        <v>5901</v>
      </c>
      <c r="G675" s="35" t="s">
        <v>5902</v>
      </c>
    </row>
    <row r="676" spans="1:7">
      <c r="A676" s="35">
        <v>4948</v>
      </c>
      <c r="B676" s="36" t="s">
        <v>2291</v>
      </c>
      <c r="C676" s="36" t="s">
        <v>5146</v>
      </c>
      <c r="D676" s="35">
        <v>7629</v>
      </c>
      <c r="E676" s="36" t="s">
        <v>5269</v>
      </c>
      <c r="F676" s="35" t="s">
        <v>5903</v>
      </c>
      <c r="G676" s="35" t="s">
        <v>5904</v>
      </c>
    </row>
    <row r="677" spans="1:7">
      <c r="A677" s="35">
        <v>4949</v>
      </c>
      <c r="B677" s="36" t="s">
        <v>2292</v>
      </c>
      <c r="C677" s="36" t="s">
        <v>5147</v>
      </c>
      <c r="D677" s="35">
        <v>7629</v>
      </c>
      <c r="E677" s="36" t="s">
        <v>5269</v>
      </c>
      <c r="F677" s="35" t="s">
        <v>5905</v>
      </c>
      <c r="G677" s="35" t="s">
        <v>5906</v>
      </c>
    </row>
    <row r="678" spans="1:7">
      <c r="A678" s="35">
        <v>4950</v>
      </c>
      <c r="B678" s="36" t="s">
        <v>2331</v>
      </c>
      <c r="C678" s="36" t="s">
        <v>5148</v>
      </c>
      <c r="D678" s="35">
        <v>7629</v>
      </c>
      <c r="E678" s="36" t="s">
        <v>5269</v>
      </c>
      <c r="F678" s="35" t="s">
        <v>5907</v>
      </c>
      <c r="G678" s="35" t="s">
        <v>5908</v>
      </c>
    </row>
    <row r="679" spans="1:7">
      <c r="A679" s="35">
        <v>4951</v>
      </c>
      <c r="B679" s="36" t="s">
        <v>2335</v>
      </c>
      <c r="C679" s="36" t="s">
        <v>5149</v>
      </c>
      <c r="D679" s="35">
        <v>7629</v>
      </c>
      <c r="E679" s="36" t="s">
        <v>5269</v>
      </c>
      <c r="F679" s="35" t="s">
        <v>5909</v>
      </c>
      <c r="G679" s="35" t="s">
        <v>5910</v>
      </c>
    </row>
    <row r="680" spans="1:7">
      <c r="A680" s="35">
        <v>4952</v>
      </c>
      <c r="B680" s="36" t="s">
        <v>2336</v>
      </c>
      <c r="C680" s="36" t="s">
        <v>5150</v>
      </c>
      <c r="D680" s="35">
        <v>7629</v>
      </c>
      <c r="E680" s="36" t="s">
        <v>5269</v>
      </c>
      <c r="F680" s="35" t="s">
        <v>5911</v>
      </c>
      <c r="G680" s="35" t="s">
        <v>5912</v>
      </c>
    </row>
    <row r="681" spans="1:7">
      <c r="A681" s="35">
        <v>4953</v>
      </c>
      <c r="B681" s="36" t="s">
        <v>2337</v>
      </c>
      <c r="C681" s="36" t="s">
        <v>5151</v>
      </c>
      <c r="D681" s="35">
        <v>7629</v>
      </c>
      <c r="E681" s="36" t="s">
        <v>5269</v>
      </c>
      <c r="F681" s="35" t="s">
        <v>5913</v>
      </c>
      <c r="G681" s="35" t="s">
        <v>5914</v>
      </c>
    </row>
    <row r="682" spans="1:7">
      <c r="A682" s="35">
        <v>4954</v>
      </c>
      <c r="B682" s="36" t="s">
        <v>1934</v>
      </c>
      <c r="C682" s="36" t="s">
        <v>5152</v>
      </c>
      <c r="D682" s="35">
        <v>7629</v>
      </c>
      <c r="E682" s="36" t="s">
        <v>5269</v>
      </c>
      <c r="F682" s="35" t="s">
        <v>5915</v>
      </c>
      <c r="G682" s="35" t="s">
        <v>5916</v>
      </c>
    </row>
    <row r="683" spans="1:7">
      <c r="A683" s="35">
        <v>4955</v>
      </c>
      <c r="B683" s="36" t="s">
        <v>2150</v>
      </c>
      <c r="C683" s="36" t="s">
        <v>5153</v>
      </c>
      <c r="D683" s="35">
        <v>7629</v>
      </c>
      <c r="E683" s="36" t="s">
        <v>5269</v>
      </c>
      <c r="F683" s="35" t="s">
        <v>5917</v>
      </c>
      <c r="G683" s="35" t="s">
        <v>5918</v>
      </c>
    </row>
    <row r="684" spans="1:7">
      <c r="A684" s="35">
        <v>4956</v>
      </c>
      <c r="B684" s="36" t="s">
        <v>2155</v>
      </c>
      <c r="C684" s="36" t="s">
        <v>5154</v>
      </c>
      <c r="D684" s="35">
        <v>7629</v>
      </c>
      <c r="E684" s="36" t="s">
        <v>5269</v>
      </c>
      <c r="F684" s="35" t="s">
        <v>5917</v>
      </c>
      <c r="G684" s="35" t="s">
        <v>5918</v>
      </c>
    </row>
    <row r="685" spans="1:7">
      <c r="A685" s="35">
        <v>4969</v>
      </c>
      <c r="B685" s="36" t="s">
        <v>1677</v>
      </c>
      <c r="C685" s="36" t="s">
        <v>5157</v>
      </c>
      <c r="D685" s="35">
        <v>7629</v>
      </c>
      <c r="E685" s="36" t="s">
        <v>5269</v>
      </c>
      <c r="F685" s="35" t="s">
        <v>5921</v>
      </c>
      <c r="G685" s="35" t="s">
        <v>5922</v>
      </c>
    </row>
    <row r="686" spans="1:7">
      <c r="A686" s="35">
        <v>4971</v>
      </c>
      <c r="B686" s="36" t="s">
        <v>1683</v>
      </c>
      <c r="C686" s="36" t="s">
        <v>5159</v>
      </c>
      <c r="D686" s="35">
        <v>7629</v>
      </c>
      <c r="E686" s="36" t="s">
        <v>5269</v>
      </c>
      <c r="F686" s="35" t="s">
        <v>5925</v>
      </c>
      <c r="G686" s="35" t="s">
        <v>5926</v>
      </c>
    </row>
    <row r="687" spans="1:7">
      <c r="A687" s="35">
        <v>4973</v>
      </c>
      <c r="B687" s="36" t="s">
        <v>2056</v>
      </c>
      <c r="C687" s="36" t="s">
        <v>5161</v>
      </c>
      <c r="D687" s="35">
        <v>7629</v>
      </c>
      <c r="E687" s="36" t="s">
        <v>5269</v>
      </c>
      <c r="F687" s="35" t="s">
        <v>5630</v>
      </c>
      <c r="G687" s="35" t="s">
        <v>5631</v>
      </c>
    </row>
    <row r="688" spans="1:7">
      <c r="A688" s="35">
        <v>4974</v>
      </c>
      <c r="B688" s="36" t="s">
        <v>2057</v>
      </c>
      <c r="C688" s="36" t="s">
        <v>881</v>
      </c>
      <c r="D688" s="35">
        <v>7629</v>
      </c>
      <c r="E688" s="36" t="s">
        <v>5269</v>
      </c>
      <c r="F688" s="35" t="s">
        <v>5320</v>
      </c>
      <c r="G688" s="35" t="s">
        <v>5321</v>
      </c>
    </row>
    <row r="689" spans="1:7">
      <c r="A689" s="35">
        <v>4975</v>
      </c>
      <c r="B689" s="36" t="s">
        <v>2058</v>
      </c>
      <c r="C689" s="36" t="s">
        <v>5162</v>
      </c>
      <c r="D689" s="35">
        <v>7629</v>
      </c>
      <c r="E689" s="36" t="s">
        <v>5269</v>
      </c>
      <c r="F689" s="35" t="s">
        <v>5927</v>
      </c>
      <c r="G689" s="35" t="s">
        <v>5928</v>
      </c>
    </row>
    <row r="690" spans="1:7">
      <c r="A690" s="35">
        <v>4976</v>
      </c>
      <c r="B690" s="36" t="s">
        <v>2059</v>
      </c>
      <c r="C690" s="36" t="s">
        <v>5163</v>
      </c>
      <c r="D690" s="35">
        <v>7629</v>
      </c>
      <c r="E690" s="36" t="s">
        <v>5269</v>
      </c>
      <c r="F690" s="35" t="s">
        <v>5929</v>
      </c>
      <c r="G690" s="35" t="s">
        <v>5930</v>
      </c>
    </row>
    <row r="691" spans="1:7">
      <c r="A691" s="35">
        <v>4977</v>
      </c>
      <c r="B691" s="36" t="s">
        <v>2060</v>
      </c>
      <c r="C691" s="36" t="s">
        <v>5164</v>
      </c>
      <c r="D691" s="35">
        <v>7629</v>
      </c>
      <c r="E691" s="36" t="s">
        <v>5269</v>
      </c>
      <c r="F691" s="35" t="s">
        <v>5931</v>
      </c>
      <c r="G691" s="35" t="s">
        <v>5932</v>
      </c>
    </row>
    <row r="692" spans="1:7">
      <c r="A692" s="35">
        <v>4978</v>
      </c>
      <c r="B692" s="36" t="s">
        <v>1991</v>
      </c>
      <c r="C692" s="36" t="s">
        <v>5165</v>
      </c>
      <c r="D692" s="35">
        <v>7629</v>
      </c>
      <c r="E692" s="36" t="s">
        <v>5269</v>
      </c>
      <c r="F692" s="35" t="s">
        <v>5931</v>
      </c>
      <c r="G692" s="35" t="s">
        <v>5932</v>
      </c>
    </row>
    <row r="693" spans="1:7">
      <c r="A693" s="35">
        <v>4979</v>
      </c>
      <c r="B693" s="36" t="s">
        <v>2237</v>
      </c>
      <c r="C693" s="36" t="s">
        <v>5166</v>
      </c>
      <c r="D693" s="35">
        <v>7629</v>
      </c>
      <c r="E693" s="36" t="s">
        <v>5269</v>
      </c>
      <c r="F693" s="35" t="s">
        <v>5933</v>
      </c>
      <c r="G693" s="35" t="s">
        <v>5934</v>
      </c>
    </row>
    <row r="694" spans="1:7">
      <c r="A694" s="35">
        <v>4984</v>
      </c>
      <c r="B694" s="36" t="s">
        <v>2244</v>
      </c>
      <c r="C694" s="36" t="s">
        <v>5167</v>
      </c>
      <c r="D694" s="35">
        <v>7629</v>
      </c>
      <c r="E694" s="36" t="s">
        <v>5269</v>
      </c>
      <c r="F694" s="35" t="s">
        <v>5933</v>
      </c>
      <c r="G694" s="35" t="s">
        <v>5934</v>
      </c>
    </row>
    <row r="695" spans="1:7">
      <c r="A695" s="35">
        <v>4985</v>
      </c>
      <c r="B695" s="36" t="s">
        <v>1768</v>
      </c>
      <c r="C695" s="36" t="s">
        <v>5168</v>
      </c>
      <c r="D695" s="35">
        <v>7629</v>
      </c>
      <c r="E695" s="36" t="s">
        <v>5269</v>
      </c>
      <c r="F695" s="35" t="s">
        <v>5935</v>
      </c>
      <c r="G695" s="35" t="s">
        <v>5936</v>
      </c>
    </row>
    <row r="696" spans="1:7">
      <c r="A696" s="35">
        <v>4988</v>
      </c>
      <c r="B696" s="36" t="s">
        <v>1793</v>
      </c>
      <c r="C696" s="36" t="s">
        <v>5169</v>
      </c>
      <c r="D696" s="35">
        <v>7629</v>
      </c>
      <c r="E696" s="36" t="s">
        <v>5269</v>
      </c>
      <c r="F696" s="35" t="s">
        <v>5935</v>
      </c>
      <c r="G696" s="35" t="s">
        <v>5936</v>
      </c>
    </row>
    <row r="697" spans="1:7">
      <c r="A697" s="35">
        <v>4989</v>
      </c>
      <c r="B697" s="36" t="s">
        <v>1650</v>
      </c>
      <c r="C697" s="36" t="s">
        <v>5170</v>
      </c>
      <c r="D697" s="35">
        <v>7629</v>
      </c>
      <c r="E697" s="36" t="s">
        <v>5269</v>
      </c>
      <c r="F697" s="35" t="s">
        <v>5937</v>
      </c>
      <c r="G697" s="35" t="s">
        <v>5938</v>
      </c>
    </row>
    <row r="698" spans="1:7">
      <c r="A698" s="35">
        <v>4990</v>
      </c>
      <c r="B698" s="36" t="s">
        <v>1651</v>
      </c>
      <c r="C698" s="36" t="s">
        <v>5171</v>
      </c>
      <c r="D698" s="35">
        <v>7629</v>
      </c>
      <c r="E698" s="36" t="s">
        <v>5269</v>
      </c>
      <c r="F698" s="35" t="s">
        <v>5939</v>
      </c>
      <c r="G698" s="35" t="s">
        <v>5940</v>
      </c>
    </row>
    <row r="699" spans="1:7">
      <c r="A699" s="35">
        <v>4991</v>
      </c>
      <c r="B699" s="36" t="s">
        <v>1659</v>
      </c>
      <c r="C699" s="36" t="s">
        <v>5172</v>
      </c>
      <c r="D699" s="35">
        <v>7629</v>
      </c>
      <c r="E699" s="36" t="s">
        <v>5269</v>
      </c>
      <c r="F699" s="35" t="s">
        <v>5941</v>
      </c>
      <c r="G699" s="35" t="s">
        <v>5942</v>
      </c>
    </row>
    <row r="700" spans="1:7">
      <c r="A700" s="35">
        <v>4992</v>
      </c>
      <c r="B700" s="36" t="s">
        <v>1664</v>
      </c>
      <c r="C700" s="36" t="s">
        <v>5173</v>
      </c>
      <c r="D700" s="35">
        <v>7629</v>
      </c>
      <c r="E700" s="36" t="s">
        <v>5269</v>
      </c>
      <c r="F700" s="35" t="s">
        <v>5943</v>
      </c>
      <c r="G700" s="35" t="s">
        <v>5944</v>
      </c>
    </row>
    <row r="701" spans="1:7">
      <c r="A701" s="35">
        <v>4993</v>
      </c>
      <c r="B701" s="36" t="s">
        <v>1665</v>
      </c>
      <c r="C701" s="36" t="s">
        <v>5174</v>
      </c>
      <c r="D701" s="35">
        <v>7629</v>
      </c>
      <c r="E701" s="36" t="s">
        <v>5269</v>
      </c>
      <c r="F701" s="35" t="s">
        <v>5945</v>
      </c>
      <c r="G701" s="35" t="s">
        <v>5946</v>
      </c>
    </row>
    <row r="702" spans="1:7">
      <c r="A702" s="35">
        <v>4994</v>
      </c>
      <c r="B702" s="36" t="s">
        <v>1835</v>
      </c>
      <c r="C702" s="36" t="s">
        <v>5175</v>
      </c>
      <c r="D702" s="35">
        <v>7629</v>
      </c>
      <c r="E702" s="36" t="s">
        <v>5269</v>
      </c>
      <c r="F702" s="35" t="s">
        <v>5947</v>
      </c>
      <c r="G702" s="35" t="s">
        <v>5948</v>
      </c>
    </row>
    <row r="703" spans="1:7">
      <c r="A703" s="35">
        <v>4997</v>
      </c>
      <c r="B703" s="36" t="s">
        <v>1843</v>
      </c>
      <c r="C703" s="36" t="s">
        <v>5176</v>
      </c>
      <c r="D703" s="35">
        <v>7629</v>
      </c>
      <c r="E703" s="36" t="s">
        <v>5269</v>
      </c>
      <c r="F703" s="35" t="s">
        <v>5949</v>
      </c>
      <c r="G703" s="35" t="s">
        <v>5764</v>
      </c>
    </row>
    <row r="704" spans="1:7">
      <c r="A704" s="35">
        <v>5000</v>
      </c>
      <c r="B704" s="36" t="s">
        <v>1635</v>
      </c>
      <c r="C704" s="36" t="s">
        <v>5177</v>
      </c>
      <c r="D704" s="35">
        <v>7629</v>
      </c>
      <c r="E704" s="36" t="s">
        <v>5269</v>
      </c>
      <c r="F704" s="35" t="s">
        <v>5935</v>
      </c>
      <c r="G704" s="35" t="s">
        <v>5936</v>
      </c>
    </row>
    <row r="705" spans="1:7">
      <c r="A705" s="35">
        <v>5003</v>
      </c>
      <c r="B705" s="36" t="s">
        <v>1723</v>
      </c>
      <c r="C705" s="36" t="s">
        <v>5178</v>
      </c>
      <c r="D705" s="35">
        <v>7629</v>
      </c>
      <c r="E705" s="36" t="s">
        <v>5269</v>
      </c>
      <c r="F705" s="35" t="s">
        <v>5586</v>
      </c>
      <c r="G705" s="35" t="s">
        <v>5587</v>
      </c>
    </row>
    <row r="706" spans="1:7">
      <c r="A706" s="35">
        <v>5005</v>
      </c>
      <c r="B706" s="36" t="s">
        <v>1716</v>
      </c>
      <c r="C706" s="36" t="s">
        <v>5179</v>
      </c>
      <c r="D706" s="35">
        <v>7629</v>
      </c>
      <c r="E706" s="36" t="s">
        <v>5269</v>
      </c>
      <c r="F706" s="35" t="s">
        <v>5584</v>
      </c>
      <c r="G706" s="35" t="s">
        <v>5585</v>
      </c>
    </row>
    <row r="707" spans="1:7">
      <c r="A707" s="35">
        <v>5013</v>
      </c>
      <c r="B707" s="36" t="s">
        <v>1736</v>
      </c>
      <c r="C707" s="36" t="s">
        <v>5180</v>
      </c>
      <c r="D707" s="35">
        <v>7629</v>
      </c>
      <c r="E707" s="36" t="s">
        <v>5269</v>
      </c>
      <c r="F707" s="35" t="s">
        <v>5952</v>
      </c>
      <c r="G707" s="35" t="s">
        <v>5953</v>
      </c>
    </row>
    <row r="708" spans="1:7">
      <c r="A708" s="35">
        <v>5045</v>
      </c>
      <c r="B708" s="36" t="s">
        <v>1994</v>
      </c>
      <c r="C708" s="36" t="s">
        <v>1003</v>
      </c>
      <c r="D708" s="35">
        <v>7629</v>
      </c>
      <c r="E708" s="36" t="s">
        <v>5269</v>
      </c>
      <c r="F708" s="35" t="s">
        <v>5964</v>
      </c>
      <c r="G708" s="35" t="s">
        <v>5965</v>
      </c>
    </row>
    <row r="709" spans="1:7">
      <c r="A709" s="35">
        <v>5046</v>
      </c>
      <c r="B709" s="36" t="s">
        <v>1995</v>
      </c>
      <c r="C709" s="36" t="s">
        <v>1004</v>
      </c>
      <c r="D709" s="35">
        <v>7629</v>
      </c>
      <c r="E709" s="36" t="s">
        <v>5269</v>
      </c>
      <c r="F709" s="35" t="s">
        <v>5964</v>
      </c>
      <c r="G709" s="35" t="s">
        <v>5965</v>
      </c>
    </row>
    <row r="710" spans="1:7">
      <c r="A710" s="35">
        <v>5047</v>
      </c>
      <c r="B710" s="36" t="s">
        <v>1998</v>
      </c>
      <c r="C710" s="36" t="s">
        <v>5188</v>
      </c>
      <c r="D710" s="35">
        <v>7629</v>
      </c>
      <c r="E710" s="36" t="s">
        <v>5269</v>
      </c>
      <c r="F710" s="35" t="s">
        <v>5966</v>
      </c>
      <c r="G710" s="35" t="s">
        <v>5967</v>
      </c>
    </row>
    <row r="711" spans="1:7">
      <c r="A711" s="35">
        <v>5048</v>
      </c>
      <c r="B711" s="36" t="s">
        <v>1999</v>
      </c>
      <c r="C711" s="36" t="s">
        <v>5189</v>
      </c>
      <c r="D711" s="35">
        <v>7629</v>
      </c>
      <c r="E711" s="36" t="s">
        <v>5269</v>
      </c>
      <c r="F711" s="35" t="s">
        <v>5968</v>
      </c>
      <c r="G711" s="35" t="s">
        <v>5969</v>
      </c>
    </row>
    <row r="712" spans="1:7">
      <c r="A712" s="35">
        <v>5061</v>
      </c>
      <c r="B712" s="36" t="s">
        <v>1642</v>
      </c>
      <c r="C712" s="36" t="s">
        <v>5190</v>
      </c>
      <c r="D712" s="35">
        <v>7629</v>
      </c>
      <c r="E712" s="36" t="s">
        <v>5269</v>
      </c>
      <c r="F712" s="35" t="s">
        <v>5966</v>
      </c>
      <c r="G712" s="35" t="s">
        <v>5967</v>
      </c>
    </row>
    <row r="713" spans="1:7">
      <c r="A713" s="35">
        <v>5135</v>
      </c>
      <c r="B713" s="36" t="s">
        <v>2470</v>
      </c>
      <c r="C713" s="36" t="s">
        <v>5192</v>
      </c>
      <c r="D713" s="35">
        <v>7629</v>
      </c>
      <c r="E713" s="36" t="s">
        <v>5269</v>
      </c>
      <c r="F713" s="35" t="s">
        <v>5658</v>
      </c>
      <c r="G713" s="35" t="s">
        <v>5659</v>
      </c>
    </row>
    <row r="714" spans="1:7">
      <c r="A714" s="35">
        <v>5456</v>
      </c>
      <c r="B714" s="36" t="s">
        <v>2798</v>
      </c>
      <c r="C714" s="36" t="s">
        <v>5200</v>
      </c>
      <c r="D714" s="35">
        <v>7629</v>
      </c>
      <c r="E714" s="36" t="s">
        <v>5269</v>
      </c>
      <c r="F714" s="35" t="s">
        <v>5978</v>
      </c>
      <c r="G714" s="35" t="s">
        <v>5979</v>
      </c>
    </row>
    <row r="715" spans="1:7">
      <c r="A715" s="35">
        <v>6438</v>
      </c>
      <c r="B715" s="36" t="s">
        <v>2834</v>
      </c>
      <c r="C715" s="36" t="s">
        <v>5218</v>
      </c>
      <c r="D715" s="35">
        <v>7629</v>
      </c>
      <c r="E715" s="36" t="s">
        <v>5269</v>
      </c>
      <c r="F715" s="35" t="s">
        <v>5998</v>
      </c>
      <c r="G715" s="35" t="s">
        <v>5999</v>
      </c>
    </row>
    <row r="716" spans="1:7">
      <c r="A716" s="35">
        <v>6444</v>
      </c>
      <c r="B716" s="36" t="s">
        <v>2846</v>
      </c>
      <c r="C716" s="36" t="s">
        <v>5224</v>
      </c>
      <c r="D716" s="35">
        <v>7629</v>
      </c>
      <c r="E716" s="36" t="s">
        <v>5269</v>
      </c>
      <c r="F716" s="35" t="s">
        <v>5905</v>
      </c>
      <c r="G716" s="35" t="s">
        <v>5906</v>
      </c>
    </row>
    <row r="717" spans="1:7">
      <c r="A717" s="35">
        <v>6796</v>
      </c>
      <c r="B717" s="36" t="s">
        <v>2858</v>
      </c>
      <c r="C717" s="36" t="s">
        <v>5229</v>
      </c>
      <c r="D717" s="35">
        <v>7629</v>
      </c>
      <c r="E717" s="36" t="s">
        <v>5269</v>
      </c>
      <c r="F717" s="35" t="s">
        <v>5913</v>
      </c>
      <c r="G717" s="35" t="s">
        <v>5914</v>
      </c>
    </row>
    <row r="718" spans="1:7">
      <c r="A718" s="35">
        <v>6800</v>
      </c>
      <c r="B718" s="36" t="s">
        <v>2856</v>
      </c>
      <c r="C718" s="36" t="s">
        <v>5230</v>
      </c>
      <c r="D718" s="35">
        <v>7629</v>
      </c>
      <c r="E718" s="36" t="s">
        <v>5269</v>
      </c>
      <c r="F718" s="35" t="s">
        <v>5915</v>
      </c>
      <c r="G718" s="35" t="s">
        <v>5916</v>
      </c>
    </row>
    <row r="719" spans="1:7">
      <c r="A719" s="35">
        <v>6801</v>
      </c>
      <c r="B719" s="36" t="s">
        <v>2860</v>
      </c>
      <c r="C719" s="36" t="s">
        <v>5231</v>
      </c>
      <c r="D719" s="35">
        <v>7629</v>
      </c>
      <c r="E719" s="36" t="s">
        <v>5269</v>
      </c>
      <c r="F719" s="35" t="s">
        <v>5921</v>
      </c>
      <c r="G719" s="35" t="s">
        <v>5922</v>
      </c>
    </row>
    <row r="720" spans="1:7">
      <c r="A720" s="35" t="s">
        <v>169</v>
      </c>
      <c r="B720" s="36" t="s">
        <v>2830</v>
      </c>
      <c r="C720" s="36" t="s">
        <v>5256</v>
      </c>
      <c r="D720" s="35">
        <v>7629</v>
      </c>
      <c r="E720" s="36" t="s">
        <v>5269</v>
      </c>
      <c r="F720" s="35" t="s">
        <v>6024</v>
      </c>
      <c r="G720" s="35" t="s">
        <v>6025</v>
      </c>
    </row>
    <row r="721" spans="1:7">
      <c r="A721" s="35" t="s">
        <v>169</v>
      </c>
      <c r="B721" s="36" t="s">
        <v>2879</v>
      </c>
      <c r="C721" s="36" t="s">
        <v>5257</v>
      </c>
      <c r="D721" s="35">
        <v>7629</v>
      </c>
      <c r="E721" s="36" t="s">
        <v>5269</v>
      </c>
      <c r="F721" s="35" t="s">
        <v>6026</v>
      </c>
      <c r="G721" s="35" t="s">
        <v>6027</v>
      </c>
    </row>
    <row r="722" spans="1:7">
      <c r="A722" s="35" t="s">
        <v>169</v>
      </c>
      <c r="B722" s="36" t="s">
        <v>2963</v>
      </c>
      <c r="C722" s="36" t="s">
        <v>819</v>
      </c>
      <c r="D722" s="35">
        <v>7629</v>
      </c>
      <c r="E722" s="36" t="s">
        <v>5269</v>
      </c>
      <c r="F722" s="35" t="s">
        <v>6028</v>
      </c>
      <c r="G722" s="35" t="s">
        <v>6029</v>
      </c>
    </row>
    <row r="723" spans="1:7">
      <c r="A723" s="35" t="s">
        <v>2969</v>
      </c>
      <c r="B723" s="36" t="s">
        <v>2970</v>
      </c>
      <c r="C723" s="36" t="s">
        <v>5258</v>
      </c>
      <c r="D723" s="35">
        <v>7629</v>
      </c>
      <c r="E723" s="36" t="s">
        <v>5269</v>
      </c>
      <c r="F723" s="35" t="s">
        <v>6030</v>
      </c>
      <c r="G723" s="35" t="s">
        <v>6031</v>
      </c>
    </row>
    <row r="724" spans="1:7">
      <c r="A724" s="35" t="s">
        <v>2934</v>
      </c>
      <c r="B724" s="36" t="s">
        <v>2935</v>
      </c>
      <c r="C724" s="36" t="s">
        <v>5259</v>
      </c>
      <c r="D724" s="35">
        <v>7629</v>
      </c>
      <c r="E724" s="36" t="s">
        <v>5269</v>
      </c>
      <c r="F724" s="35" t="s">
        <v>6032</v>
      </c>
      <c r="G724" s="35" t="s">
        <v>6033</v>
      </c>
    </row>
    <row r="725" spans="1:7">
      <c r="A725" s="35" t="s">
        <v>2757</v>
      </c>
      <c r="B725" s="36" t="s">
        <v>2758</v>
      </c>
      <c r="C725" s="36" t="s">
        <v>5260</v>
      </c>
      <c r="D725" s="35">
        <v>7629</v>
      </c>
      <c r="E725" s="36" t="s">
        <v>5269</v>
      </c>
      <c r="F725" s="35" t="s">
        <v>6034</v>
      </c>
      <c r="G725" s="35" t="s">
        <v>6035</v>
      </c>
    </row>
    <row r="726" spans="1:7">
      <c r="A726" s="35" t="s">
        <v>2791</v>
      </c>
      <c r="B726" s="36" t="s">
        <v>2792</v>
      </c>
      <c r="C726" s="36" t="s">
        <v>5261</v>
      </c>
      <c r="D726" s="35">
        <v>7629</v>
      </c>
      <c r="E726" s="36" t="s">
        <v>5269</v>
      </c>
      <c r="F726" s="35" t="s">
        <v>6036</v>
      </c>
      <c r="G726" s="35" t="s">
        <v>6037</v>
      </c>
    </row>
    <row r="727" spans="1:7">
      <c r="A727" s="35" t="s">
        <v>2752</v>
      </c>
      <c r="B727" s="36" t="s">
        <v>2753</v>
      </c>
      <c r="C727" s="36" t="s">
        <v>5262</v>
      </c>
      <c r="D727" s="35">
        <v>7629</v>
      </c>
      <c r="E727" s="36" t="s">
        <v>5269</v>
      </c>
      <c r="F727" s="35" t="s">
        <v>6038</v>
      </c>
      <c r="G727" s="35" t="s">
        <v>6039</v>
      </c>
    </row>
    <row r="728" spans="1:7">
      <c r="A728" s="35" t="s">
        <v>2754</v>
      </c>
      <c r="B728" s="36" t="s">
        <v>2755</v>
      </c>
      <c r="C728" s="36" t="s">
        <v>5263</v>
      </c>
      <c r="D728" s="35">
        <v>7629</v>
      </c>
      <c r="E728" s="36" t="s">
        <v>5269</v>
      </c>
      <c r="F728" s="35" t="s">
        <v>6040</v>
      </c>
      <c r="G728" s="35" t="s">
        <v>6041</v>
      </c>
    </row>
    <row r="729" spans="1:7">
      <c r="A729" s="35" t="s">
        <v>2754</v>
      </c>
      <c r="B729" s="36" t="s">
        <v>2756</v>
      </c>
      <c r="C729" s="36" t="s">
        <v>5264</v>
      </c>
      <c r="D729" s="35">
        <v>7629</v>
      </c>
      <c r="E729" s="36" t="s">
        <v>5269</v>
      </c>
      <c r="F729" s="35" t="s">
        <v>5296</v>
      </c>
      <c r="G729" s="35" t="s">
        <v>5297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BE27-68BB-2747-A1BF-47FF48C02ACF}">
  <dimension ref="A1:K714"/>
  <sheetViews>
    <sheetView workbookViewId="0">
      <selection activeCell="I29" sqref="I29"/>
    </sheetView>
  </sheetViews>
  <sheetFormatPr baseColWidth="10" defaultRowHeight="15"/>
  <sheetData>
    <row r="1" spans="1:11" ht="54">
      <c r="A1" s="4" t="s">
        <v>0</v>
      </c>
      <c r="B1" s="4" t="s">
        <v>1</v>
      </c>
      <c r="C1" s="5" t="s">
        <v>6</v>
      </c>
      <c r="D1" s="4" t="s">
        <v>2</v>
      </c>
      <c r="E1" s="4" t="s">
        <v>198</v>
      </c>
      <c r="F1" s="4" t="s">
        <v>3</v>
      </c>
      <c r="G1" s="4" t="s">
        <v>4</v>
      </c>
      <c r="H1" s="4" t="s">
        <v>5</v>
      </c>
      <c r="I1" s="6" t="s">
        <v>8</v>
      </c>
      <c r="J1" s="7" t="s">
        <v>7</v>
      </c>
      <c r="K1" s="8" t="s">
        <v>9</v>
      </c>
    </row>
    <row r="2" spans="1:11" ht="22">
      <c r="A2" s="10">
        <v>348</v>
      </c>
      <c r="B2" s="11" t="s">
        <v>513</v>
      </c>
      <c r="C2" s="10" t="s">
        <v>511</v>
      </c>
      <c r="D2" s="12" t="s">
        <v>11</v>
      </c>
      <c r="E2" s="10" t="s">
        <v>11</v>
      </c>
      <c r="F2" s="10" t="s">
        <v>96</v>
      </c>
      <c r="G2" s="10" t="s">
        <v>226</v>
      </c>
      <c r="H2" s="10" t="s">
        <v>226</v>
      </c>
      <c r="I2" s="10" t="s">
        <v>206</v>
      </c>
      <c r="J2" s="13">
        <v>76.797000000000011</v>
      </c>
      <c r="K2" s="14"/>
    </row>
    <row r="3" spans="1:11" ht="22">
      <c r="A3" s="10">
        <v>1300</v>
      </c>
      <c r="B3" s="11" t="s">
        <v>855</v>
      </c>
      <c r="C3" s="10" t="s">
        <v>562</v>
      </c>
      <c r="D3" s="12" t="s">
        <v>11</v>
      </c>
      <c r="E3" s="10" t="s">
        <v>11</v>
      </c>
      <c r="F3" s="10" t="s">
        <v>347</v>
      </c>
      <c r="G3" s="10" t="s">
        <v>226</v>
      </c>
      <c r="H3" s="10" t="s">
        <v>1557</v>
      </c>
      <c r="I3" s="10" t="s">
        <v>291</v>
      </c>
      <c r="J3" s="13">
        <v>746.60039999999992</v>
      </c>
      <c r="K3" s="14"/>
    </row>
    <row r="4" spans="1:11" ht="22">
      <c r="A4" s="10">
        <v>1304</v>
      </c>
      <c r="B4" s="11" t="s">
        <v>902</v>
      </c>
      <c r="C4" s="10" t="s">
        <v>562</v>
      </c>
      <c r="D4" s="12" t="s">
        <v>11</v>
      </c>
      <c r="E4" s="10" t="s">
        <v>11</v>
      </c>
      <c r="F4" s="10" t="s">
        <v>347</v>
      </c>
      <c r="G4" s="10" t="s">
        <v>226</v>
      </c>
      <c r="H4" s="10" t="s">
        <v>1557</v>
      </c>
      <c r="I4" s="10" t="s">
        <v>291</v>
      </c>
      <c r="J4" s="13">
        <v>622.16700000000003</v>
      </c>
      <c r="K4" s="14"/>
    </row>
    <row r="5" spans="1:11" ht="22">
      <c r="A5" s="10">
        <v>1314</v>
      </c>
      <c r="B5" s="11" t="s">
        <v>904</v>
      </c>
      <c r="C5" s="10" t="s">
        <v>564</v>
      </c>
      <c r="D5" s="12" t="s">
        <v>11</v>
      </c>
      <c r="E5" s="10" t="s">
        <v>11</v>
      </c>
      <c r="F5" s="10" t="s">
        <v>301</v>
      </c>
      <c r="G5" s="10" t="s">
        <v>208</v>
      </c>
      <c r="H5" s="10" t="s">
        <v>311</v>
      </c>
      <c r="I5" s="10" t="s">
        <v>291</v>
      </c>
      <c r="J5" s="13">
        <v>824.0652</v>
      </c>
      <c r="K5" s="14"/>
    </row>
    <row r="6" spans="1:11" ht="22">
      <c r="A6" s="10">
        <v>1315</v>
      </c>
      <c r="B6" s="11" t="s">
        <v>565</v>
      </c>
      <c r="C6" s="10" t="s">
        <v>564</v>
      </c>
      <c r="D6" s="12" t="s">
        <v>11</v>
      </c>
      <c r="E6" s="10" t="s">
        <v>11</v>
      </c>
      <c r="F6" s="10" t="s">
        <v>301</v>
      </c>
      <c r="G6" s="10" t="s">
        <v>208</v>
      </c>
      <c r="H6" s="10" t="s">
        <v>311</v>
      </c>
      <c r="I6" s="10" t="s">
        <v>291</v>
      </c>
      <c r="J6" s="13">
        <v>686.721</v>
      </c>
      <c r="K6" s="14"/>
    </row>
    <row r="7" spans="1:11" ht="22">
      <c r="A7" s="10">
        <v>1316</v>
      </c>
      <c r="B7" s="11" t="s">
        <v>566</v>
      </c>
      <c r="C7" s="10" t="s">
        <v>564</v>
      </c>
      <c r="D7" s="12" t="s">
        <v>11</v>
      </c>
      <c r="E7" s="10" t="s">
        <v>11</v>
      </c>
      <c r="F7" s="10" t="s">
        <v>301</v>
      </c>
      <c r="G7" s="10" t="s">
        <v>208</v>
      </c>
      <c r="H7" s="10" t="s">
        <v>311</v>
      </c>
      <c r="I7" s="10" t="s">
        <v>291</v>
      </c>
      <c r="J7" s="13">
        <v>824.0652</v>
      </c>
      <c r="K7" s="14"/>
    </row>
    <row r="8" spans="1:11" ht="22">
      <c r="A8" s="10">
        <v>1317</v>
      </c>
      <c r="B8" s="11" t="s">
        <v>567</v>
      </c>
      <c r="C8" s="10" t="s">
        <v>564</v>
      </c>
      <c r="D8" s="12" t="s">
        <v>11</v>
      </c>
      <c r="E8" s="10" t="s">
        <v>11</v>
      </c>
      <c r="F8" s="10" t="s">
        <v>301</v>
      </c>
      <c r="G8" s="10" t="s">
        <v>208</v>
      </c>
      <c r="H8" s="10" t="s">
        <v>311</v>
      </c>
      <c r="I8" s="10" t="s">
        <v>291</v>
      </c>
      <c r="J8" s="13">
        <v>686.721</v>
      </c>
      <c r="K8" s="14"/>
    </row>
    <row r="9" spans="1:11" ht="22">
      <c r="A9" s="10">
        <v>1318</v>
      </c>
      <c r="B9" s="11" t="s">
        <v>905</v>
      </c>
      <c r="C9" s="10" t="s">
        <v>564</v>
      </c>
      <c r="D9" s="12" t="s">
        <v>11</v>
      </c>
      <c r="E9" s="10" t="s">
        <v>11</v>
      </c>
      <c r="F9" s="10" t="s">
        <v>301</v>
      </c>
      <c r="G9" s="10" t="s">
        <v>208</v>
      </c>
      <c r="H9" s="10" t="s">
        <v>311</v>
      </c>
      <c r="I9" s="10" t="s">
        <v>291</v>
      </c>
      <c r="J9" s="13">
        <v>686.721</v>
      </c>
      <c r="K9" s="14"/>
    </row>
    <row r="10" spans="1:11" ht="22">
      <c r="A10" s="10">
        <v>1321</v>
      </c>
      <c r="B10" s="11" t="s">
        <v>906</v>
      </c>
      <c r="C10" s="10" t="s">
        <v>564</v>
      </c>
      <c r="D10" s="12" t="s">
        <v>11</v>
      </c>
      <c r="E10" s="10" t="s">
        <v>11</v>
      </c>
      <c r="F10" s="10" t="s">
        <v>301</v>
      </c>
      <c r="G10" s="10" t="s">
        <v>208</v>
      </c>
      <c r="H10" s="10" t="s">
        <v>311</v>
      </c>
      <c r="I10" s="10" t="s">
        <v>291</v>
      </c>
      <c r="J10" s="13">
        <v>686.721</v>
      </c>
      <c r="K10" s="14"/>
    </row>
    <row r="11" spans="1:11" ht="22">
      <c r="A11" s="10">
        <v>1322</v>
      </c>
      <c r="B11" s="11" t="s">
        <v>568</v>
      </c>
      <c r="C11" s="10" t="s">
        <v>564</v>
      </c>
      <c r="D11" s="12" t="s">
        <v>11</v>
      </c>
      <c r="E11" s="10" t="s">
        <v>11</v>
      </c>
      <c r="F11" s="10" t="s">
        <v>301</v>
      </c>
      <c r="G11" s="10" t="s">
        <v>208</v>
      </c>
      <c r="H11" s="10" t="s">
        <v>311</v>
      </c>
      <c r="I11" s="10" t="s">
        <v>291</v>
      </c>
      <c r="J11" s="13">
        <v>686.721</v>
      </c>
      <c r="K11" s="14"/>
    </row>
    <row r="12" spans="1:11" ht="22">
      <c r="A12" s="10">
        <v>1323</v>
      </c>
      <c r="B12" s="11" t="s">
        <v>569</v>
      </c>
      <c r="C12" s="10" t="s">
        <v>564</v>
      </c>
      <c r="D12" s="12" t="s">
        <v>11</v>
      </c>
      <c r="E12" s="10" t="s">
        <v>11</v>
      </c>
      <c r="F12" s="10" t="s">
        <v>301</v>
      </c>
      <c r="G12" s="10" t="s">
        <v>208</v>
      </c>
      <c r="H12" s="10" t="s">
        <v>311</v>
      </c>
      <c r="I12" s="10" t="s">
        <v>291</v>
      </c>
      <c r="J12" s="13">
        <v>686.721</v>
      </c>
      <c r="K12" s="14"/>
    </row>
    <row r="13" spans="1:11" ht="44">
      <c r="A13" s="10">
        <v>1348</v>
      </c>
      <c r="B13" s="11" t="s">
        <v>459</v>
      </c>
      <c r="C13" s="10" t="s">
        <v>10</v>
      </c>
      <c r="D13" s="24" t="s">
        <v>460</v>
      </c>
      <c r="E13" s="22">
        <v>2850</v>
      </c>
      <c r="F13" s="10" t="s">
        <v>92</v>
      </c>
      <c r="G13" s="10" t="s">
        <v>208</v>
      </c>
      <c r="H13" s="10" t="s">
        <v>461</v>
      </c>
      <c r="I13" s="10" t="s">
        <v>11</v>
      </c>
      <c r="J13" s="13">
        <v>363.95100000000002</v>
      </c>
      <c r="K13" s="14"/>
    </row>
    <row r="14" spans="1:11" ht="22">
      <c r="A14" s="10">
        <v>1387</v>
      </c>
      <c r="B14" s="11" t="s">
        <v>791</v>
      </c>
      <c r="C14" s="10" t="s">
        <v>217</v>
      </c>
      <c r="D14" s="24" t="s">
        <v>11</v>
      </c>
      <c r="E14" s="10" t="s">
        <v>11</v>
      </c>
      <c r="F14" s="22" t="s">
        <v>96</v>
      </c>
      <c r="G14" s="10" t="s">
        <v>213</v>
      </c>
      <c r="H14" s="10" t="s">
        <v>301</v>
      </c>
      <c r="I14" s="10" t="s">
        <v>11</v>
      </c>
      <c r="J14" s="13">
        <v>129.5532</v>
      </c>
      <c r="K14" s="14"/>
    </row>
    <row r="15" spans="1:11" ht="22">
      <c r="A15" s="10">
        <v>1408</v>
      </c>
      <c r="B15" s="11" t="s">
        <v>654</v>
      </c>
      <c r="C15" s="10" t="s">
        <v>217</v>
      </c>
      <c r="D15" s="24" t="s">
        <v>11</v>
      </c>
      <c r="E15" s="10" t="s">
        <v>11</v>
      </c>
      <c r="F15" s="10" t="s">
        <v>106</v>
      </c>
      <c r="G15" s="10" t="s">
        <v>245</v>
      </c>
      <c r="H15" s="10" t="s">
        <v>222</v>
      </c>
      <c r="I15" s="10" t="s">
        <v>11</v>
      </c>
      <c r="J15" s="13">
        <v>150.255</v>
      </c>
      <c r="K15" s="14"/>
    </row>
    <row r="16" spans="1:11" ht="22">
      <c r="A16" s="10">
        <v>1521</v>
      </c>
      <c r="B16" s="11" t="s">
        <v>1556</v>
      </c>
      <c r="C16" s="10" t="s">
        <v>217</v>
      </c>
      <c r="D16" s="12" t="s">
        <v>11</v>
      </c>
      <c r="E16" s="10" t="s">
        <v>11</v>
      </c>
      <c r="F16" s="10" t="s">
        <v>380</v>
      </c>
      <c r="G16" s="10" t="s">
        <v>218</v>
      </c>
      <c r="H16" s="10" t="s">
        <v>218</v>
      </c>
      <c r="I16" s="10" t="s">
        <v>11</v>
      </c>
      <c r="J16" s="13">
        <v>349.92720000000003</v>
      </c>
      <c r="K16" s="14"/>
    </row>
    <row r="17" spans="1:11" ht="22">
      <c r="A17" s="10">
        <v>1990</v>
      </c>
      <c r="B17" s="11" t="s">
        <v>981</v>
      </c>
      <c r="C17" s="10" t="s">
        <v>217</v>
      </c>
      <c r="D17" s="12" t="s">
        <v>11</v>
      </c>
      <c r="E17" s="10" t="s">
        <v>11</v>
      </c>
      <c r="F17" s="10" t="s">
        <v>691</v>
      </c>
      <c r="G17" s="10" t="s">
        <v>220</v>
      </c>
      <c r="H17" s="10" t="s">
        <v>317</v>
      </c>
      <c r="I17" s="10" t="s">
        <v>11</v>
      </c>
      <c r="J17" s="13">
        <v>173.62800000000001</v>
      </c>
      <c r="K17" s="14"/>
    </row>
    <row r="18" spans="1:11" ht="22">
      <c r="A18" s="10">
        <v>2151</v>
      </c>
      <c r="B18" s="11" t="s">
        <v>785</v>
      </c>
      <c r="C18" s="10" t="s">
        <v>217</v>
      </c>
      <c r="D18" s="12" t="s">
        <v>11</v>
      </c>
      <c r="E18" s="10" t="s">
        <v>11</v>
      </c>
      <c r="F18" s="10" t="s">
        <v>96</v>
      </c>
      <c r="G18" s="10" t="s">
        <v>213</v>
      </c>
      <c r="H18" s="10" t="s">
        <v>301</v>
      </c>
      <c r="I18" s="10" t="s">
        <v>11</v>
      </c>
      <c r="J18" s="13">
        <v>110.18700000000001</v>
      </c>
      <c r="K18" s="14"/>
    </row>
    <row r="19" spans="1:11" ht="22">
      <c r="A19" s="10">
        <v>2183</v>
      </c>
      <c r="B19" s="11" t="s">
        <v>786</v>
      </c>
      <c r="C19" s="10" t="s">
        <v>217</v>
      </c>
      <c r="D19" s="12" t="s">
        <v>11</v>
      </c>
      <c r="E19" s="10" t="s">
        <v>11</v>
      </c>
      <c r="F19" s="10" t="s">
        <v>96</v>
      </c>
      <c r="G19" s="10" t="s">
        <v>213</v>
      </c>
      <c r="H19" s="10" t="s">
        <v>301</v>
      </c>
      <c r="I19" s="10" t="s">
        <v>11</v>
      </c>
      <c r="J19" s="13">
        <v>129.5532</v>
      </c>
      <c r="K19" s="14"/>
    </row>
    <row r="20" spans="1:11" ht="22">
      <c r="A20" s="10">
        <v>2185</v>
      </c>
      <c r="B20" s="11" t="s">
        <v>715</v>
      </c>
      <c r="C20" s="10" t="s">
        <v>11</v>
      </c>
      <c r="D20" s="12" t="s">
        <v>11</v>
      </c>
      <c r="E20" s="10" t="s">
        <v>11</v>
      </c>
      <c r="F20" s="10" t="s">
        <v>208</v>
      </c>
      <c r="G20" s="10" t="s">
        <v>92</v>
      </c>
      <c r="H20" s="10" t="s">
        <v>208</v>
      </c>
      <c r="I20" s="10" t="s">
        <v>11</v>
      </c>
      <c r="J20" s="13">
        <v>26.712</v>
      </c>
      <c r="K20" s="14"/>
    </row>
    <row r="21" spans="1:11" ht="22">
      <c r="A21" s="10">
        <v>2223</v>
      </c>
      <c r="B21" s="11" t="s">
        <v>714</v>
      </c>
      <c r="C21" s="10" t="s">
        <v>11</v>
      </c>
      <c r="D21" s="12" t="s">
        <v>11</v>
      </c>
      <c r="E21" s="10" t="s">
        <v>11</v>
      </c>
      <c r="F21" s="10" t="s">
        <v>208</v>
      </c>
      <c r="G21" s="10" t="s">
        <v>92</v>
      </c>
      <c r="H21" s="10" t="s">
        <v>208</v>
      </c>
      <c r="I21" s="10" t="s">
        <v>11</v>
      </c>
      <c r="J21" s="13">
        <v>26.712</v>
      </c>
      <c r="K21" s="14"/>
    </row>
    <row r="22" spans="1:11" ht="22">
      <c r="A22" s="22">
        <v>2224</v>
      </c>
      <c r="B22" s="23" t="s">
        <v>716</v>
      </c>
      <c r="C22" s="10" t="s">
        <v>11</v>
      </c>
      <c r="D22" s="12" t="s">
        <v>11</v>
      </c>
      <c r="E22" s="10" t="s">
        <v>11</v>
      </c>
      <c r="F22" s="10" t="s">
        <v>208</v>
      </c>
      <c r="G22" s="10" t="s">
        <v>92</v>
      </c>
      <c r="H22" s="10" t="s">
        <v>208</v>
      </c>
      <c r="I22" s="10" t="s">
        <v>11</v>
      </c>
      <c r="J22" s="25">
        <v>26.712</v>
      </c>
      <c r="K22" s="19"/>
    </row>
    <row r="23" spans="1:11" ht="22">
      <c r="A23" s="10">
        <v>2571</v>
      </c>
      <c r="B23" s="11" t="s">
        <v>793</v>
      </c>
      <c r="C23" s="10" t="s">
        <v>217</v>
      </c>
      <c r="D23" s="12" t="s">
        <v>11</v>
      </c>
      <c r="E23" s="10" t="s">
        <v>11</v>
      </c>
      <c r="F23" s="10" t="s">
        <v>96</v>
      </c>
      <c r="G23" s="10" t="s">
        <v>213</v>
      </c>
      <c r="H23" s="10" t="s">
        <v>301</v>
      </c>
      <c r="I23" s="10" t="s">
        <v>11</v>
      </c>
      <c r="J23" s="13">
        <v>110.18700000000001</v>
      </c>
      <c r="K23" s="14"/>
    </row>
    <row r="24" spans="1:11" ht="22">
      <c r="A24" s="22">
        <v>2808</v>
      </c>
      <c r="B24" s="23" t="s">
        <v>943</v>
      </c>
      <c r="C24" s="10" t="s">
        <v>217</v>
      </c>
      <c r="D24" s="24" t="s">
        <v>11</v>
      </c>
      <c r="E24" s="22" t="s">
        <v>11</v>
      </c>
      <c r="F24" s="10" t="s">
        <v>96</v>
      </c>
      <c r="G24" s="10" t="s">
        <v>213</v>
      </c>
      <c r="H24" s="10" t="s">
        <v>301</v>
      </c>
      <c r="I24" s="10" t="s">
        <v>11</v>
      </c>
      <c r="J24" s="25">
        <v>110.18700000000001</v>
      </c>
      <c r="K24" s="19"/>
    </row>
    <row r="25" spans="1:11" ht="22">
      <c r="A25" s="22">
        <v>2882</v>
      </c>
      <c r="B25" s="23" t="s">
        <v>401</v>
      </c>
      <c r="C25" s="22" t="s">
        <v>102</v>
      </c>
      <c r="D25" s="24" t="s">
        <v>11</v>
      </c>
      <c r="E25" s="22" t="s">
        <v>11</v>
      </c>
      <c r="F25" s="22" t="s">
        <v>402</v>
      </c>
      <c r="G25" s="22" t="s">
        <v>280</v>
      </c>
      <c r="H25" s="22" t="s">
        <v>280</v>
      </c>
      <c r="I25" s="10" t="s">
        <v>11</v>
      </c>
      <c r="J25" s="25">
        <v>87.927000000000007</v>
      </c>
      <c r="K25" s="19"/>
    </row>
    <row r="26" spans="1:11" ht="22">
      <c r="A26" s="10">
        <v>2883</v>
      </c>
      <c r="B26" s="11" t="s">
        <v>948</v>
      </c>
      <c r="C26" s="10" t="s">
        <v>102</v>
      </c>
      <c r="D26" s="12" t="s">
        <v>11</v>
      </c>
      <c r="E26" s="10" t="s">
        <v>11</v>
      </c>
      <c r="F26" s="10" t="s">
        <v>402</v>
      </c>
      <c r="G26" s="10" t="s">
        <v>280</v>
      </c>
      <c r="H26" s="10" t="s">
        <v>280</v>
      </c>
      <c r="I26" s="10" t="s">
        <v>11</v>
      </c>
      <c r="J26" s="13">
        <v>104.62200000000001</v>
      </c>
      <c r="K26" s="14"/>
    </row>
    <row r="27" spans="1:11" ht="66">
      <c r="A27" s="22">
        <v>4151</v>
      </c>
      <c r="B27" s="23" t="s">
        <v>246</v>
      </c>
      <c r="C27" s="10" t="s">
        <v>217</v>
      </c>
      <c r="D27" s="24" t="s">
        <v>11</v>
      </c>
      <c r="E27" s="22" t="s">
        <v>11</v>
      </c>
      <c r="F27" s="22" t="s">
        <v>222</v>
      </c>
      <c r="G27" s="22" t="s">
        <v>221</v>
      </c>
      <c r="H27" s="22" t="s">
        <v>222</v>
      </c>
      <c r="I27" s="10" t="s">
        <v>11</v>
      </c>
      <c r="J27" s="25">
        <v>107.961</v>
      </c>
      <c r="K27" s="19" t="s">
        <v>219</v>
      </c>
    </row>
    <row r="28" spans="1:11" ht="44">
      <c r="A28" s="10">
        <v>4983</v>
      </c>
      <c r="B28" s="11" t="s">
        <v>856</v>
      </c>
      <c r="C28" s="10" t="s">
        <v>10</v>
      </c>
      <c r="D28" s="12" t="s">
        <v>97</v>
      </c>
      <c r="E28" s="10">
        <v>1650</v>
      </c>
      <c r="F28" s="10" t="s">
        <v>206</v>
      </c>
      <c r="G28" s="10" t="s">
        <v>203</v>
      </c>
      <c r="H28" s="10" t="s">
        <v>374</v>
      </c>
      <c r="I28" s="10" t="s">
        <v>11</v>
      </c>
      <c r="J28" s="13">
        <v>228.16500000000002</v>
      </c>
      <c r="K28" s="14"/>
    </row>
    <row r="29" spans="1:11" ht="22">
      <c r="A29" s="10">
        <v>5175</v>
      </c>
      <c r="B29" s="11" t="s">
        <v>859</v>
      </c>
      <c r="C29" s="10" t="s">
        <v>102</v>
      </c>
      <c r="D29" s="12" t="s">
        <v>11</v>
      </c>
      <c r="E29" s="10" t="s">
        <v>11</v>
      </c>
      <c r="F29" s="10" t="s">
        <v>402</v>
      </c>
      <c r="G29" s="10" t="s">
        <v>280</v>
      </c>
      <c r="H29" s="10" t="s">
        <v>280</v>
      </c>
      <c r="I29" s="10" t="s">
        <v>11</v>
      </c>
      <c r="J29" s="13">
        <v>87.927000000000007</v>
      </c>
      <c r="K29" s="14"/>
    </row>
    <row r="30" spans="1:11" ht="66">
      <c r="A30" s="10">
        <v>5177</v>
      </c>
      <c r="B30" s="11" t="s">
        <v>1576</v>
      </c>
      <c r="C30" s="10" t="s">
        <v>217</v>
      </c>
      <c r="D30" s="12" t="s">
        <v>11</v>
      </c>
      <c r="E30" s="10" t="s">
        <v>11</v>
      </c>
      <c r="F30" s="10" t="s">
        <v>14</v>
      </c>
      <c r="G30" s="10" t="s">
        <v>208</v>
      </c>
      <c r="H30" s="10" t="s">
        <v>229</v>
      </c>
      <c r="I30" s="10" t="s">
        <v>11</v>
      </c>
      <c r="J30" s="13">
        <v>171.40199999999999</v>
      </c>
      <c r="K30" s="14" t="s">
        <v>219</v>
      </c>
    </row>
    <row r="31" spans="1:11" ht="44">
      <c r="A31" s="10">
        <v>5234</v>
      </c>
      <c r="B31" s="11" t="s">
        <v>41</v>
      </c>
      <c r="C31" s="10" t="s">
        <v>10</v>
      </c>
      <c r="D31" s="12" t="s">
        <v>98</v>
      </c>
      <c r="E31" s="12">
        <v>1575</v>
      </c>
      <c r="F31" s="10" t="s">
        <v>85</v>
      </c>
      <c r="G31" s="10" t="s">
        <v>13</v>
      </c>
      <c r="H31" s="10" t="s">
        <v>13</v>
      </c>
      <c r="I31" s="10" t="s">
        <v>11</v>
      </c>
      <c r="J31" s="13">
        <v>250.42500000000001</v>
      </c>
      <c r="K31" s="14" t="s">
        <v>759</v>
      </c>
    </row>
    <row r="32" spans="1:11" ht="44">
      <c r="A32" s="10">
        <v>5235</v>
      </c>
      <c r="B32" s="11" t="s">
        <v>35</v>
      </c>
      <c r="C32" s="10" t="s">
        <v>10</v>
      </c>
      <c r="D32" s="12" t="s">
        <v>98</v>
      </c>
      <c r="E32" s="10">
        <v>1575</v>
      </c>
      <c r="F32" s="10" t="s">
        <v>85</v>
      </c>
      <c r="G32" s="10" t="s">
        <v>13</v>
      </c>
      <c r="H32" s="10" t="s">
        <v>13</v>
      </c>
      <c r="I32" s="10" t="s">
        <v>11</v>
      </c>
      <c r="J32" s="13">
        <v>250.42500000000001</v>
      </c>
      <c r="K32" s="14" t="s">
        <v>759</v>
      </c>
    </row>
    <row r="33" spans="1:11" ht="44">
      <c r="A33" s="10">
        <v>5236</v>
      </c>
      <c r="B33" s="11" t="s">
        <v>36</v>
      </c>
      <c r="C33" s="10" t="s">
        <v>10</v>
      </c>
      <c r="D33" s="12" t="s">
        <v>98</v>
      </c>
      <c r="E33" s="12">
        <v>1575</v>
      </c>
      <c r="F33" s="10" t="s">
        <v>85</v>
      </c>
      <c r="G33" s="10" t="s">
        <v>13</v>
      </c>
      <c r="H33" s="10" t="s">
        <v>13</v>
      </c>
      <c r="I33" s="10" t="s">
        <v>11</v>
      </c>
      <c r="J33" s="13">
        <v>250.42500000000001</v>
      </c>
      <c r="K33" s="14" t="s">
        <v>759</v>
      </c>
    </row>
    <row r="34" spans="1:11" ht="44">
      <c r="A34" s="10">
        <v>5242</v>
      </c>
      <c r="B34" s="11" t="s">
        <v>37</v>
      </c>
      <c r="C34" s="10" t="s">
        <v>10</v>
      </c>
      <c r="D34" s="12" t="s">
        <v>765</v>
      </c>
      <c r="E34" s="10">
        <v>2240</v>
      </c>
      <c r="F34" s="10" t="s">
        <v>85</v>
      </c>
      <c r="G34" s="10" t="s">
        <v>96</v>
      </c>
      <c r="H34" s="10" t="s">
        <v>96</v>
      </c>
      <c r="I34" s="10" t="s">
        <v>11</v>
      </c>
      <c r="J34" s="13">
        <v>366.17700000000002</v>
      </c>
      <c r="K34" s="14" t="s">
        <v>759</v>
      </c>
    </row>
    <row r="35" spans="1:11" ht="44">
      <c r="A35" s="10">
        <v>5244</v>
      </c>
      <c r="B35" s="11" t="s">
        <v>39</v>
      </c>
      <c r="C35" s="10" t="s">
        <v>10</v>
      </c>
      <c r="D35" s="12" t="s">
        <v>765</v>
      </c>
      <c r="E35" s="10">
        <v>2240</v>
      </c>
      <c r="F35" s="10" t="s">
        <v>85</v>
      </c>
      <c r="G35" s="10" t="s">
        <v>96</v>
      </c>
      <c r="H35" s="10" t="s">
        <v>96</v>
      </c>
      <c r="I35" s="10" t="s">
        <v>11</v>
      </c>
      <c r="J35" s="13">
        <v>366.17700000000002</v>
      </c>
      <c r="K35" s="14" t="s">
        <v>759</v>
      </c>
    </row>
    <row r="36" spans="1:11" ht="44">
      <c r="A36" s="10">
        <v>5245</v>
      </c>
      <c r="B36" s="11" t="s">
        <v>40</v>
      </c>
      <c r="C36" s="10" t="s">
        <v>10</v>
      </c>
      <c r="D36" s="12" t="s">
        <v>765</v>
      </c>
      <c r="E36" s="10">
        <v>2240</v>
      </c>
      <c r="F36" s="10" t="s">
        <v>85</v>
      </c>
      <c r="G36" s="10" t="s">
        <v>96</v>
      </c>
      <c r="H36" s="10" t="s">
        <v>96</v>
      </c>
      <c r="I36" s="10" t="s">
        <v>11</v>
      </c>
      <c r="J36" s="13">
        <v>366.17700000000002</v>
      </c>
      <c r="K36" s="14" t="s">
        <v>759</v>
      </c>
    </row>
    <row r="37" spans="1:11" ht="88">
      <c r="A37" s="10">
        <v>5258</v>
      </c>
      <c r="B37" s="11" t="s">
        <v>28</v>
      </c>
      <c r="C37" s="10" t="s">
        <v>10</v>
      </c>
      <c r="D37" s="12" t="s">
        <v>846</v>
      </c>
      <c r="E37" s="12">
        <v>1875</v>
      </c>
      <c r="F37" s="10" t="s">
        <v>85</v>
      </c>
      <c r="G37" s="10" t="s">
        <v>13</v>
      </c>
      <c r="H37" s="10" t="s">
        <v>13</v>
      </c>
      <c r="I37" s="10" t="s">
        <v>11</v>
      </c>
      <c r="J37" s="13">
        <v>321.65699999999998</v>
      </c>
      <c r="K37" s="14" t="s">
        <v>759</v>
      </c>
    </row>
    <row r="38" spans="1:11" ht="88">
      <c r="A38" s="10">
        <v>5259</v>
      </c>
      <c r="B38" s="11" t="s">
        <v>29</v>
      </c>
      <c r="C38" s="10" t="s">
        <v>10</v>
      </c>
      <c r="D38" s="12" t="s">
        <v>846</v>
      </c>
      <c r="E38" s="10">
        <v>1875</v>
      </c>
      <c r="F38" s="10" t="s">
        <v>85</v>
      </c>
      <c r="G38" s="10" t="s">
        <v>13</v>
      </c>
      <c r="H38" s="10" t="s">
        <v>13</v>
      </c>
      <c r="I38" s="10" t="s">
        <v>11</v>
      </c>
      <c r="J38" s="13">
        <v>321.65699999999998</v>
      </c>
      <c r="K38" s="14" t="s">
        <v>759</v>
      </c>
    </row>
    <row r="39" spans="1:11" ht="88">
      <c r="A39" s="10">
        <v>5261</v>
      </c>
      <c r="B39" s="11" t="s">
        <v>30</v>
      </c>
      <c r="C39" s="10" t="s">
        <v>10</v>
      </c>
      <c r="D39" s="12" t="s">
        <v>846</v>
      </c>
      <c r="E39" s="12">
        <v>1875</v>
      </c>
      <c r="F39" s="10" t="s">
        <v>85</v>
      </c>
      <c r="G39" s="10" t="s">
        <v>13</v>
      </c>
      <c r="H39" s="10" t="s">
        <v>13</v>
      </c>
      <c r="I39" s="10" t="s">
        <v>11</v>
      </c>
      <c r="J39" s="13">
        <v>321.65699999999998</v>
      </c>
      <c r="K39" s="14" t="s">
        <v>759</v>
      </c>
    </row>
    <row r="40" spans="1:11" ht="88">
      <c r="A40" s="10">
        <v>5262</v>
      </c>
      <c r="B40" s="11" t="s">
        <v>31</v>
      </c>
      <c r="C40" s="10" t="s">
        <v>10</v>
      </c>
      <c r="D40" s="12" t="s">
        <v>846</v>
      </c>
      <c r="E40" s="10">
        <v>1875</v>
      </c>
      <c r="F40" s="10" t="s">
        <v>85</v>
      </c>
      <c r="G40" s="10" t="s">
        <v>13</v>
      </c>
      <c r="H40" s="10" t="s">
        <v>13</v>
      </c>
      <c r="I40" s="10" t="s">
        <v>11</v>
      </c>
      <c r="J40" s="13">
        <v>321.65699999999998</v>
      </c>
      <c r="K40" s="14" t="s">
        <v>759</v>
      </c>
    </row>
    <row r="41" spans="1:11" ht="66">
      <c r="A41" s="10">
        <v>5267</v>
      </c>
      <c r="B41" s="11" t="s">
        <v>32</v>
      </c>
      <c r="C41" s="10" t="s">
        <v>10</v>
      </c>
      <c r="D41" s="12" t="s">
        <v>868</v>
      </c>
      <c r="E41" s="12">
        <v>3000</v>
      </c>
      <c r="F41" s="10" t="s">
        <v>85</v>
      </c>
      <c r="G41" s="10" t="s">
        <v>226</v>
      </c>
      <c r="H41" s="10" t="s">
        <v>12</v>
      </c>
      <c r="I41" s="10" t="s">
        <v>11</v>
      </c>
      <c r="J41" s="13">
        <v>500.85</v>
      </c>
      <c r="K41" s="14" t="s">
        <v>759</v>
      </c>
    </row>
    <row r="42" spans="1:11" ht="66">
      <c r="A42" s="10">
        <v>5268</v>
      </c>
      <c r="B42" s="11" t="s">
        <v>33</v>
      </c>
      <c r="C42" s="10" t="s">
        <v>10</v>
      </c>
      <c r="D42" s="12" t="s">
        <v>868</v>
      </c>
      <c r="E42" s="10">
        <v>3000</v>
      </c>
      <c r="F42" s="10" t="s">
        <v>85</v>
      </c>
      <c r="G42" s="10" t="s">
        <v>96</v>
      </c>
      <c r="H42" s="10" t="s">
        <v>12</v>
      </c>
      <c r="I42" s="10" t="s">
        <v>11</v>
      </c>
      <c r="J42" s="13">
        <v>500.85</v>
      </c>
      <c r="K42" s="14" t="s">
        <v>759</v>
      </c>
    </row>
    <row r="43" spans="1:11" ht="66">
      <c r="A43" s="10">
        <v>5269</v>
      </c>
      <c r="B43" s="11" t="s">
        <v>34</v>
      </c>
      <c r="C43" s="10" t="s">
        <v>10</v>
      </c>
      <c r="D43" s="12" t="s">
        <v>868</v>
      </c>
      <c r="E43" s="12">
        <v>3000</v>
      </c>
      <c r="F43" s="10" t="s">
        <v>85</v>
      </c>
      <c r="G43" s="10" t="s">
        <v>226</v>
      </c>
      <c r="H43" s="10" t="s">
        <v>12</v>
      </c>
      <c r="I43" s="10" t="s">
        <v>11</v>
      </c>
      <c r="J43" s="13">
        <v>500.85</v>
      </c>
      <c r="K43" s="14" t="s">
        <v>759</v>
      </c>
    </row>
    <row r="44" spans="1:11" ht="66">
      <c r="A44" s="10">
        <v>5270</v>
      </c>
      <c r="B44" s="11" t="s">
        <v>1565</v>
      </c>
      <c r="C44" s="10" t="s">
        <v>10</v>
      </c>
      <c r="D44" s="12" t="s">
        <v>868</v>
      </c>
      <c r="E44" s="12">
        <v>3000</v>
      </c>
      <c r="F44" s="10" t="s">
        <v>85</v>
      </c>
      <c r="G44" s="10" t="s">
        <v>226</v>
      </c>
      <c r="H44" s="10" t="s">
        <v>12</v>
      </c>
      <c r="I44" s="10" t="s">
        <v>11</v>
      </c>
      <c r="J44" s="13">
        <v>500.85</v>
      </c>
      <c r="K44" s="14" t="s">
        <v>759</v>
      </c>
    </row>
    <row r="45" spans="1:11" ht="66">
      <c r="A45" s="10">
        <v>5275</v>
      </c>
      <c r="B45" s="11" t="s">
        <v>142</v>
      </c>
      <c r="C45" s="10" t="s">
        <v>10</v>
      </c>
      <c r="D45" s="12" t="s">
        <v>847</v>
      </c>
      <c r="E45" s="12">
        <v>3450</v>
      </c>
      <c r="F45" s="10" t="s">
        <v>85</v>
      </c>
      <c r="G45" s="10" t="s">
        <v>14</v>
      </c>
      <c r="H45" s="10" t="s">
        <v>15</v>
      </c>
      <c r="I45" s="10" t="s">
        <v>11</v>
      </c>
      <c r="J45" s="13">
        <v>521.99700000000007</v>
      </c>
      <c r="K45" s="14" t="s">
        <v>759</v>
      </c>
    </row>
    <row r="46" spans="1:11" ht="66">
      <c r="A46" s="10">
        <v>5276</v>
      </c>
      <c r="B46" s="11" t="s">
        <v>143</v>
      </c>
      <c r="C46" s="10" t="s">
        <v>10</v>
      </c>
      <c r="D46" s="12" t="s">
        <v>847</v>
      </c>
      <c r="E46" s="10">
        <v>3450</v>
      </c>
      <c r="F46" s="10" t="s">
        <v>85</v>
      </c>
      <c r="G46" s="10" t="s">
        <v>14</v>
      </c>
      <c r="H46" s="10" t="s">
        <v>15</v>
      </c>
      <c r="I46" s="10" t="s">
        <v>11</v>
      </c>
      <c r="J46" s="13">
        <v>521.99700000000007</v>
      </c>
      <c r="K46" s="14" t="s">
        <v>759</v>
      </c>
    </row>
    <row r="47" spans="1:11" ht="44">
      <c r="A47" s="10">
        <v>5283</v>
      </c>
      <c r="B47" s="11" t="s">
        <v>16</v>
      </c>
      <c r="C47" s="10" t="s">
        <v>10</v>
      </c>
      <c r="D47" s="12" t="s">
        <v>766</v>
      </c>
      <c r="E47" s="12">
        <v>2220</v>
      </c>
      <c r="F47" s="10" t="s">
        <v>85</v>
      </c>
      <c r="G47" s="10" t="s">
        <v>84</v>
      </c>
      <c r="H47" s="10" t="s">
        <v>84</v>
      </c>
      <c r="I47" s="10" t="s">
        <v>11</v>
      </c>
      <c r="J47" s="13">
        <v>332.78699999999998</v>
      </c>
      <c r="K47" s="14" t="s">
        <v>759</v>
      </c>
    </row>
    <row r="48" spans="1:11" ht="44">
      <c r="A48" s="10">
        <v>5284</v>
      </c>
      <c r="B48" s="11" t="s">
        <v>17</v>
      </c>
      <c r="C48" s="10" t="s">
        <v>10</v>
      </c>
      <c r="D48" s="12" t="s">
        <v>766</v>
      </c>
      <c r="E48" s="12">
        <v>2220</v>
      </c>
      <c r="F48" s="10" t="s">
        <v>85</v>
      </c>
      <c r="G48" s="10" t="s">
        <v>84</v>
      </c>
      <c r="H48" s="10" t="s">
        <v>84</v>
      </c>
      <c r="I48" s="10" t="s">
        <v>11</v>
      </c>
      <c r="J48" s="13">
        <v>332.78699999999998</v>
      </c>
      <c r="K48" s="14" t="s">
        <v>759</v>
      </c>
    </row>
    <row r="49" spans="1:11" ht="44">
      <c r="A49" s="10">
        <v>5285</v>
      </c>
      <c r="B49" s="11" t="s">
        <v>18</v>
      </c>
      <c r="C49" s="10" t="s">
        <v>10</v>
      </c>
      <c r="D49" s="12" t="s">
        <v>766</v>
      </c>
      <c r="E49" s="12">
        <v>2220</v>
      </c>
      <c r="F49" s="10" t="s">
        <v>85</v>
      </c>
      <c r="G49" s="10" t="s">
        <v>84</v>
      </c>
      <c r="H49" s="10" t="s">
        <v>84</v>
      </c>
      <c r="I49" s="10" t="s">
        <v>11</v>
      </c>
      <c r="J49" s="13">
        <v>332.78699999999998</v>
      </c>
      <c r="K49" s="14" t="s">
        <v>759</v>
      </c>
    </row>
    <row r="50" spans="1:11" ht="44">
      <c r="A50" s="10">
        <v>5291</v>
      </c>
      <c r="B50" s="11" t="s">
        <v>19</v>
      </c>
      <c r="C50" s="10" t="s">
        <v>10</v>
      </c>
      <c r="D50" s="12" t="s">
        <v>1499</v>
      </c>
      <c r="E50" s="12">
        <v>3540</v>
      </c>
      <c r="F50" s="10" t="s">
        <v>85</v>
      </c>
      <c r="G50" s="10" t="s">
        <v>12</v>
      </c>
      <c r="H50" s="10" t="s">
        <v>12</v>
      </c>
      <c r="I50" s="10" t="s">
        <v>11</v>
      </c>
      <c r="J50" s="13">
        <v>444.08699999999999</v>
      </c>
      <c r="K50" s="14" t="s">
        <v>759</v>
      </c>
    </row>
    <row r="51" spans="1:11" ht="44">
      <c r="A51" s="10">
        <v>5292</v>
      </c>
      <c r="B51" s="11" t="s">
        <v>20</v>
      </c>
      <c r="C51" s="10" t="s">
        <v>10</v>
      </c>
      <c r="D51" s="12" t="s">
        <v>1499</v>
      </c>
      <c r="E51" s="12">
        <v>3540</v>
      </c>
      <c r="F51" s="10" t="s">
        <v>85</v>
      </c>
      <c r="G51" s="10" t="s">
        <v>12</v>
      </c>
      <c r="H51" s="10" t="s">
        <v>12</v>
      </c>
      <c r="I51" s="10" t="s">
        <v>11</v>
      </c>
      <c r="J51" s="13">
        <v>444.08699999999999</v>
      </c>
      <c r="K51" s="14" t="s">
        <v>759</v>
      </c>
    </row>
    <row r="52" spans="1:11" ht="44">
      <c r="A52" s="10">
        <v>5293</v>
      </c>
      <c r="B52" s="11" t="s">
        <v>21</v>
      </c>
      <c r="C52" s="10" t="s">
        <v>10</v>
      </c>
      <c r="D52" s="12" t="s">
        <v>1499</v>
      </c>
      <c r="E52" s="12">
        <v>3540</v>
      </c>
      <c r="F52" s="10" t="s">
        <v>85</v>
      </c>
      <c r="G52" s="10" t="s">
        <v>12</v>
      </c>
      <c r="H52" s="10" t="s">
        <v>12</v>
      </c>
      <c r="I52" s="10" t="s">
        <v>11</v>
      </c>
      <c r="J52" s="13">
        <v>444.08699999999999</v>
      </c>
      <c r="K52" s="14" t="s">
        <v>759</v>
      </c>
    </row>
    <row r="53" spans="1:11" ht="88">
      <c r="A53" s="10">
        <v>5307</v>
      </c>
      <c r="B53" s="11" t="s">
        <v>22</v>
      </c>
      <c r="C53" s="10" t="s">
        <v>10</v>
      </c>
      <c r="D53" s="12" t="s">
        <v>767</v>
      </c>
      <c r="E53" s="12">
        <v>2475</v>
      </c>
      <c r="F53" s="10" t="s">
        <v>85</v>
      </c>
      <c r="G53" s="10" t="s">
        <v>84</v>
      </c>
      <c r="H53" s="10" t="s">
        <v>84</v>
      </c>
      <c r="I53" s="10" t="s">
        <v>11</v>
      </c>
      <c r="J53" s="13">
        <v>399.56700000000001</v>
      </c>
      <c r="K53" s="14" t="s">
        <v>759</v>
      </c>
    </row>
    <row r="54" spans="1:11" ht="88">
      <c r="A54" s="10">
        <v>5308</v>
      </c>
      <c r="B54" s="11" t="s">
        <v>23</v>
      </c>
      <c r="C54" s="10" t="s">
        <v>10</v>
      </c>
      <c r="D54" s="12" t="s">
        <v>767</v>
      </c>
      <c r="E54" s="10">
        <v>2475</v>
      </c>
      <c r="F54" s="10" t="s">
        <v>85</v>
      </c>
      <c r="G54" s="10" t="s">
        <v>84</v>
      </c>
      <c r="H54" s="10" t="s">
        <v>84</v>
      </c>
      <c r="I54" s="10" t="s">
        <v>11</v>
      </c>
      <c r="J54" s="13">
        <v>399.56700000000001</v>
      </c>
      <c r="K54" s="14" t="s">
        <v>759</v>
      </c>
    </row>
    <row r="55" spans="1:11" ht="88">
      <c r="A55" s="10">
        <v>5309</v>
      </c>
      <c r="B55" s="11" t="s">
        <v>24</v>
      </c>
      <c r="C55" s="10" t="s">
        <v>10</v>
      </c>
      <c r="D55" s="12" t="s">
        <v>767</v>
      </c>
      <c r="E55" s="12">
        <v>2475</v>
      </c>
      <c r="F55" s="10" t="s">
        <v>85</v>
      </c>
      <c r="G55" s="10" t="s">
        <v>84</v>
      </c>
      <c r="H55" s="10" t="s">
        <v>84</v>
      </c>
      <c r="I55" s="10" t="s">
        <v>11</v>
      </c>
      <c r="J55" s="13">
        <v>399.56700000000001</v>
      </c>
      <c r="K55" s="14" t="s">
        <v>759</v>
      </c>
    </row>
    <row r="56" spans="1:11" ht="88">
      <c r="A56" s="10">
        <v>5317</v>
      </c>
      <c r="B56" s="11" t="s">
        <v>25</v>
      </c>
      <c r="C56" s="10" t="s">
        <v>10</v>
      </c>
      <c r="D56" s="12" t="s">
        <v>842</v>
      </c>
      <c r="E56" s="12">
        <v>3150</v>
      </c>
      <c r="F56" s="10" t="s">
        <v>85</v>
      </c>
      <c r="G56" s="10" t="s">
        <v>12</v>
      </c>
      <c r="H56" s="10" t="s">
        <v>12</v>
      </c>
      <c r="I56" s="10" t="s">
        <v>11</v>
      </c>
      <c r="J56" s="13">
        <v>584.32500000000005</v>
      </c>
      <c r="K56" s="14" t="s">
        <v>759</v>
      </c>
    </row>
    <row r="57" spans="1:11" ht="88">
      <c r="A57" s="10">
        <v>5318</v>
      </c>
      <c r="B57" s="11" t="s">
        <v>26</v>
      </c>
      <c r="C57" s="10" t="s">
        <v>10</v>
      </c>
      <c r="D57" s="12" t="s">
        <v>842</v>
      </c>
      <c r="E57" s="10">
        <v>3150</v>
      </c>
      <c r="F57" s="10" t="s">
        <v>85</v>
      </c>
      <c r="G57" s="10" t="s">
        <v>12</v>
      </c>
      <c r="H57" s="10" t="s">
        <v>12</v>
      </c>
      <c r="I57" s="10" t="s">
        <v>11</v>
      </c>
      <c r="J57" s="13">
        <v>584.32500000000005</v>
      </c>
      <c r="K57" s="14" t="s">
        <v>759</v>
      </c>
    </row>
    <row r="58" spans="1:11" ht="88">
      <c r="A58" s="10">
        <v>5319</v>
      </c>
      <c r="B58" s="11" t="s">
        <v>27</v>
      </c>
      <c r="C58" s="10" t="s">
        <v>10</v>
      </c>
      <c r="D58" s="12" t="s">
        <v>842</v>
      </c>
      <c r="E58" s="12">
        <v>3150</v>
      </c>
      <c r="F58" s="10" t="s">
        <v>85</v>
      </c>
      <c r="G58" s="10" t="s">
        <v>12</v>
      </c>
      <c r="H58" s="10" t="s">
        <v>12</v>
      </c>
      <c r="I58" s="10" t="s">
        <v>11</v>
      </c>
      <c r="J58" s="13">
        <v>584.32500000000005</v>
      </c>
      <c r="K58" s="14" t="s">
        <v>759</v>
      </c>
    </row>
    <row r="59" spans="1:11" ht="44">
      <c r="A59" s="10">
        <v>5337</v>
      </c>
      <c r="B59" s="11" t="s">
        <v>42</v>
      </c>
      <c r="C59" s="10" t="s">
        <v>10</v>
      </c>
      <c r="D59" s="12" t="s">
        <v>334</v>
      </c>
      <c r="E59" s="12">
        <v>1500</v>
      </c>
      <c r="F59" s="10" t="s">
        <v>87</v>
      </c>
      <c r="G59" s="10" t="s">
        <v>86</v>
      </c>
      <c r="H59" s="10" t="s">
        <v>85</v>
      </c>
      <c r="I59" s="10" t="s">
        <v>11</v>
      </c>
      <c r="J59" s="13">
        <v>184.30754170089037</v>
      </c>
      <c r="K59" s="14"/>
    </row>
    <row r="60" spans="1:11" ht="44">
      <c r="A60" s="10">
        <v>5338</v>
      </c>
      <c r="B60" s="11" t="s">
        <v>43</v>
      </c>
      <c r="C60" s="10" t="s">
        <v>10</v>
      </c>
      <c r="D60" s="12" t="s">
        <v>334</v>
      </c>
      <c r="E60" s="10">
        <v>1500</v>
      </c>
      <c r="F60" s="10" t="s">
        <v>87</v>
      </c>
      <c r="G60" s="10" t="s">
        <v>86</v>
      </c>
      <c r="H60" s="10" t="s">
        <v>85</v>
      </c>
      <c r="I60" s="10" t="s">
        <v>11</v>
      </c>
      <c r="J60" s="13">
        <v>184.30754170089037</v>
      </c>
      <c r="K60" s="14"/>
    </row>
    <row r="61" spans="1:11" ht="44">
      <c r="A61" s="10">
        <v>5339</v>
      </c>
      <c r="B61" s="11" t="s">
        <v>44</v>
      </c>
      <c r="C61" s="10" t="s">
        <v>10</v>
      </c>
      <c r="D61" s="12" t="s">
        <v>334</v>
      </c>
      <c r="E61" s="12">
        <v>1500</v>
      </c>
      <c r="F61" s="10" t="s">
        <v>87</v>
      </c>
      <c r="G61" s="10" t="s">
        <v>86</v>
      </c>
      <c r="H61" s="10" t="s">
        <v>85</v>
      </c>
      <c r="I61" s="10" t="s">
        <v>11</v>
      </c>
      <c r="J61" s="13">
        <v>184.30754170089037</v>
      </c>
      <c r="K61" s="14"/>
    </row>
    <row r="62" spans="1:11" ht="44">
      <c r="A62" s="10">
        <v>5345</v>
      </c>
      <c r="B62" s="11" t="s">
        <v>45</v>
      </c>
      <c r="C62" s="10" t="s">
        <v>10</v>
      </c>
      <c r="D62" s="12" t="s">
        <v>862</v>
      </c>
      <c r="E62" s="12">
        <v>2250</v>
      </c>
      <c r="F62" s="10" t="s">
        <v>88</v>
      </c>
      <c r="G62" s="10" t="s">
        <v>86</v>
      </c>
      <c r="H62" s="10" t="s">
        <v>85</v>
      </c>
      <c r="I62" s="10" t="s">
        <v>11</v>
      </c>
      <c r="J62" s="13">
        <v>221.48699999999999</v>
      </c>
      <c r="K62" s="14"/>
    </row>
    <row r="63" spans="1:11" ht="44">
      <c r="A63" s="10">
        <v>5346</v>
      </c>
      <c r="B63" s="11" t="s">
        <v>46</v>
      </c>
      <c r="C63" s="10" t="s">
        <v>10</v>
      </c>
      <c r="D63" s="12" t="s">
        <v>862</v>
      </c>
      <c r="E63" s="10">
        <v>2250</v>
      </c>
      <c r="F63" s="10" t="s">
        <v>88</v>
      </c>
      <c r="G63" s="10" t="s">
        <v>86</v>
      </c>
      <c r="H63" s="10" t="s">
        <v>85</v>
      </c>
      <c r="I63" s="10" t="s">
        <v>11</v>
      </c>
      <c r="J63" s="13">
        <v>221.48699999999999</v>
      </c>
      <c r="K63" s="14"/>
    </row>
    <row r="64" spans="1:11" ht="44">
      <c r="A64" s="10">
        <v>5347</v>
      </c>
      <c r="B64" s="11" t="s">
        <v>47</v>
      </c>
      <c r="C64" s="10" t="s">
        <v>10</v>
      </c>
      <c r="D64" s="12" t="s">
        <v>862</v>
      </c>
      <c r="E64" s="12">
        <v>2250</v>
      </c>
      <c r="F64" s="10" t="s">
        <v>88</v>
      </c>
      <c r="G64" s="10" t="s">
        <v>86</v>
      </c>
      <c r="H64" s="10" t="s">
        <v>85</v>
      </c>
      <c r="I64" s="10" t="s">
        <v>11</v>
      </c>
      <c r="J64" s="13">
        <v>221.48699999999999</v>
      </c>
      <c r="K64" s="14"/>
    </row>
    <row r="65" spans="1:11" ht="44">
      <c r="A65" s="10">
        <v>5353</v>
      </c>
      <c r="B65" s="11" t="s">
        <v>48</v>
      </c>
      <c r="C65" s="10" t="s">
        <v>10</v>
      </c>
      <c r="D65" s="12" t="s">
        <v>840</v>
      </c>
      <c r="E65" s="12">
        <v>3000</v>
      </c>
      <c r="F65" s="10" t="s">
        <v>291</v>
      </c>
      <c r="G65" s="10" t="s">
        <v>86</v>
      </c>
      <c r="H65" s="10" t="s">
        <v>85</v>
      </c>
      <c r="I65" s="10" t="s">
        <v>11</v>
      </c>
      <c r="J65" s="13">
        <v>272.685</v>
      </c>
      <c r="K65" s="14"/>
    </row>
    <row r="66" spans="1:11" ht="44">
      <c r="A66" s="10">
        <v>5354</v>
      </c>
      <c r="B66" s="11" t="s">
        <v>49</v>
      </c>
      <c r="C66" s="10" t="s">
        <v>10</v>
      </c>
      <c r="D66" s="12" t="s">
        <v>840</v>
      </c>
      <c r="E66" s="10">
        <v>3000</v>
      </c>
      <c r="F66" s="10" t="s">
        <v>291</v>
      </c>
      <c r="G66" s="10" t="s">
        <v>86</v>
      </c>
      <c r="H66" s="10" t="s">
        <v>85</v>
      </c>
      <c r="I66" s="10" t="s">
        <v>11</v>
      </c>
      <c r="J66" s="13">
        <v>272.685</v>
      </c>
      <c r="K66" s="14"/>
    </row>
    <row r="67" spans="1:11" ht="44">
      <c r="A67" s="10">
        <v>5355</v>
      </c>
      <c r="B67" s="11" t="s">
        <v>50</v>
      </c>
      <c r="C67" s="10" t="s">
        <v>10</v>
      </c>
      <c r="D67" s="12" t="s">
        <v>840</v>
      </c>
      <c r="E67" s="12">
        <v>3000</v>
      </c>
      <c r="F67" s="10" t="s">
        <v>291</v>
      </c>
      <c r="G67" s="10" t="s">
        <v>86</v>
      </c>
      <c r="H67" s="10" t="s">
        <v>85</v>
      </c>
      <c r="I67" s="10" t="s">
        <v>11</v>
      </c>
      <c r="J67" s="13">
        <v>272.685</v>
      </c>
      <c r="K67" s="14"/>
    </row>
    <row r="68" spans="1:11" ht="88">
      <c r="A68" s="10">
        <v>5369</v>
      </c>
      <c r="B68" s="11" t="s">
        <v>51</v>
      </c>
      <c r="C68" s="10" t="s">
        <v>10</v>
      </c>
      <c r="D68" s="12" t="s">
        <v>865</v>
      </c>
      <c r="E68" s="12">
        <v>1725</v>
      </c>
      <c r="F68" s="10" t="s">
        <v>87</v>
      </c>
      <c r="G68" s="10" t="s">
        <v>86</v>
      </c>
      <c r="H68" s="10" t="s">
        <v>85</v>
      </c>
      <c r="I68" s="10" t="s">
        <v>11</v>
      </c>
      <c r="J68" s="13">
        <v>277.137</v>
      </c>
      <c r="K68" s="14"/>
    </row>
    <row r="69" spans="1:11" ht="88">
      <c r="A69" s="10">
        <v>5370</v>
      </c>
      <c r="B69" s="11" t="s">
        <v>52</v>
      </c>
      <c r="C69" s="10" t="s">
        <v>10</v>
      </c>
      <c r="D69" s="12" t="s">
        <v>865</v>
      </c>
      <c r="E69" s="10">
        <v>1725</v>
      </c>
      <c r="F69" s="10" t="s">
        <v>87</v>
      </c>
      <c r="G69" s="10" t="s">
        <v>86</v>
      </c>
      <c r="H69" s="10" t="s">
        <v>85</v>
      </c>
      <c r="I69" s="10" t="s">
        <v>11</v>
      </c>
      <c r="J69" s="13">
        <v>277.137</v>
      </c>
      <c r="K69" s="14"/>
    </row>
    <row r="70" spans="1:11" ht="88">
      <c r="A70" s="10">
        <v>5371</v>
      </c>
      <c r="B70" s="11" t="s">
        <v>53</v>
      </c>
      <c r="C70" s="10" t="s">
        <v>10</v>
      </c>
      <c r="D70" s="12" t="s">
        <v>865</v>
      </c>
      <c r="E70" s="12">
        <v>1725</v>
      </c>
      <c r="F70" s="10" t="s">
        <v>87</v>
      </c>
      <c r="G70" s="10" t="s">
        <v>86</v>
      </c>
      <c r="H70" s="10" t="s">
        <v>85</v>
      </c>
      <c r="I70" s="10" t="s">
        <v>11</v>
      </c>
      <c r="J70" s="13">
        <v>277.137</v>
      </c>
      <c r="K70" s="14"/>
    </row>
    <row r="71" spans="1:11" ht="88">
      <c r="A71" s="10">
        <v>5377</v>
      </c>
      <c r="B71" s="11" t="s">
        <v>54</v>
      </c>
      <c r="C71" s="10" t="s">
        <v>10</v>
      </c>
      <c r="D71" s="12" t="s">
        <v>866</v>
      </c>
      <c r="E71" s="12">
        <v>2475</v>
      </c>
      <c r="F71" s="10" t="s">
        <v>88</v>
      </c>
      <c r="G71" s="10" t="s">
        <v>86</v>
      </c>
      <c r="H71" s="10" t="s">
        <v>85</v>
      </c>
      <c r="I71" s="10" t="s">
        <v>11</v>
      </c>
      <c r="J71" s="13">
        <v>310.52699999999999</v>
      </c>
      <c r="K71" s="14"/>
    </row>
    <row r="72" spans="1:11" ht="88">
      <c r="A72" s="10">
        <v>5378</v>
      </c>
      <c r="B72" s="11" t="s">
        <v>55</v>
      </c>
      <c r="C72" s="10" t="s">
        <v>10</v>
      </c>
      <c r="D72" s="12" t="s">
        <v>866</v>
      </c>
      <c r="E72" s="10">
        <v>2475</v>
      </c>
      <c r="F72" s="10" t="s">
        <v>88</v>
      </c>
      <c r="G72" s="10" t="s">
        <v>86</v>
      </c>
      <c r="H72" s="10" t="s">
        <v>85</v>
      </c>
      <c r="I72" s="10" t="s">
        <v>11</v>
      </c>
      <c r="J72" s="13">
        <v>310.52699999999999</v>
      </c>
      <c r="K72" s="14"/>
    </row>
    <row r="73" spans="1:11" ht="88">
      <c r="A73" s="10">
        <v>5379</v>
      </c>
      <c r="B73" s="11" t="s">
        <v>56</v>
      </c>
      <c r="C73" s="10" t="s">
        <v>10</v>
      </c>
      <c r="D73" s="12" t="s">
        <v>867</v>
      </c>
      <c r="E73" s="12">
        <v>2475</v>
      </c>
      <c r="F73" s="10" t="s">
        <v>88</v>
      </c>
      <c r="G73" s="10" t="s">
        <v>86</v>
      </c>
      <c r="H73" s="10" t="s">
        <v>85</v>
      </c>
      <c r="I73" s="10" t="s">
        <v>11</v>
      </c>
      <c r="J73" s="13">
        <v>310.52699999999999</v>
      </c>
      <c r="K73" s="14"/>
    </row>
    <row r="74" spans="1:11" ht="88">
      <c r="A74" s="10">
        <v>5385</v>
      </c>
      <c r="B74" s="11" t="s">
        <v>57</v>
      </c>
      <c r="C74" s="10" t="s">
        <v>10</v>
      </c>
      <c r="D74" s="12" t="s">
        <v>863</v>
      </c>
      <c r="E74" s="12">
        <v>3225</v>
      </c>
      <c r="F74" s="10" t="s">
        <v>291</v>
      </c>
      <c r="G74" s="10" t="s">
        <v>86</v>
      </c>
      <c r="H74" s="10" t="s">
        <v>85</v>
      </c>
      <c r="I74" s="10" t="s">
        <v>11</v>
      </c>
      <c r="J74" s="13">
        <v>366.17700000000002</v>
      </c>
      <c r="K74" s="14"/>
    </row>
    <row r="75" spans="1:11" ht="88">
      <c r="A75" s="10">
        <v>5386</v>
      </c>
      <c r="B75" s="11" t="s">
        <v>58</v>
      </c>
      <c r="C75" s="10" t="s">
        <v>10</v>
      </c>
      <c r="D75" s="12" t="s">
        <v>863</v>
      </c>
      <c r="E75" s="10">
        <v>3225</v>
      </c>
      <c r="F75" s="10" t="s">
        <v>291</v>
      </c>
      <c r="G75" s="10" t="s">
        <v>86</v>
      </c>
      <c r="H75" s="10" t="s">
        <v>85</v>
      </c>
      <c r="I75" s="10" t="s">
        <v>11</v>
      </c>
      <c r="J75" s="13">
        <v>366.17700000000002</v>
      </c>
      <c r="K75" s="14"/>
    </row>
    <row r="76" spans="1:11" ht="88">
      <c r="A76" s="10">
        <v>5387</v>
      </c>
      <c r="B76" s="11" t="s">
        <v>59</v>
      </c>
      <c r="C76" s="10" t="s">
        <v>10</v>
      </c>
      <c r="D76" s="12" t="s">
        <v>864</v>
      </c>
      <c r="E76" s="12">
        <v>3225</v>
      </c>
      <c r="F76" s="10" t="s">
        <v>291</v>
      </c>
      <c r="G76" s="10" t="s">
        <v>86</v>
      </c>
      <c r="H76" s="10" t="s">
        <v>85</v>
      </c>
      <c r="I76" s="10" t="s">
        <v>11</v>
      </c>
      <c r="J76" s="13">
        <v>366.17700000000002</v>
      </c>
      <c r="K76" s="14"/>
    </row>
    <row r="77" spans="1:11" ht="22">
      <c r="A77" s="10">
        <v>5401</v>
      </c>
      <c r="B77" s="11" t="s">
        <v>60</v>
      </c>
      <c r="C77" s="10" t="s">
        <v>10</v>
      </c>
      <c r="D77" s="12" t="s">
        <v>768</v>
      </c>
      <c r="E77" s="12">
        <v>375</v>
      </c>
      <c r="F77" s="10" t="s">
        <v>778</v>
      </c>
      <c r="G77" s="10" t="s">
        <v>203</v>
      </c>
      <c r="H77" s="10" t="s">
        <v>103</v>
      </c>
      <c r="I77" s="10" t="s">
        <v>11</v>
      </c>
      <c r="J77" s="13">
        <v>199.227</v>
      </c>
      <c r="K77" s="14"/>
    </row>
    <row r="78" spans="1:11" ht="22">
      <c r="A78" s="10">
        <v>5402</v>
      </c>
      <c r="B78" s="11" t="s">
        <v>61</v>
      </c>
      <c r="C78" s="10" t="s">
        <v>10</v>
      </c>
      <c r="D78" s="12" t="s">
        <v>768</v>
      </c>
      <c r="E78" s="10">
        <v>375</v>
      </c>
      <c r="F78" s="10" t="s">
        <v>778</v>
      </c>
      <c r="G78" s="10" t="s">
        <v>203</v>
      </c>
      <c r="H78" s="10" t="s">
        <v>103</v>
      </c>
      <c r="I78" s="10" t="s">
        <v>11</v>
      </c>
      <c r="J78" s="13">
        <v>199.227</v>
      </c>
      <c r="K78" s="14"/>
    </row>
    <row r="79" spans="1:11" ht="22">
      <c r="A79" s="10">
        <v>5403</v>
      </c>
      <c r="B79" s="11" t="s">
        <v>62</v>
      </c>
      <c r="C79" s="10" t="s">
        <v>10</v>
      </c>
      <c r="D79" s="12" t="s">
        <v>768</v>
      </c>
      <c r="E79" s="12">
        <v>375</v>
      </c>
      <c r="F79" s="10" t="s">
        <v>778</v>
      </c>
      <c r="G79" s="10" t="s">
        <v>203</v>
      </c>
      <c r="H79" s="10" t="s">
        <v>103</v>
      </c>
      <c r="I79" s="10" t="s">
        <v>11</v>
      </c>
      <c r="J79" s="13">
        <v>199.227</v>
      </c>
      <c r="K79" s="14"/>
    </row>
    <row r="80" spans="1:11" ht="22">
      <c r="A80" s="10">
        <v>5404</v>
      </c>
      <c r="B80" s="11" t="s">
        <v>83</v>
      </c>
      <c r="C80" s="10" t="s">
        <v>10</v>
      </c>
      <c r="D80" s="12" t="s">
        <v>768</v>
      </c>
      <c r="E80" s="10">
        <v>375</v>
      </c>
      <c r="F80" s="10" t="s">
        <v>778</v>
      </c>
      <c r="G80" s="10" t="s">
        <v>203</v>
      </c>
      <c r="H80" s="10" t="s">
        <v>103</v>
      </c>
      <c r="I80" s="10" t="s">
        <v>11</v>
      </c>
      <c r="J80" s="13">
        <v>199.227</v>
      </c>
      <c r="K80" s="14"/>
    </row>
    <row r="81" spans="1:11" ht="22">
      <c r="A81" s="10">
        <v>5405</v>
      </c>
      <c r="B81" s="11" t="s">
        <v>63</v>
      </c>
      <c r="C81" s="10" t="s">
        <v>10</v>
      </c>
      <c r="D81" s="12" t="s">
        <v>768</v>
      </c>
      <c r="E81" s="12">
        <v>375</v>
      </c>
      <c r="F81" s="10" t="s">
        <v>778</v>
      </c>
      <c r="G81" s="10" t="s">
        <v>203</v>
      </c>
      <c r="H81" s="10" t="s">
        <v>103</v>
      </c>
      <c r="I81" s="10" t="s">
        <v>11</v>
      </c>
      <c r="J81" s="13">
        <v>199.227</v>
      </c>
      <c r="K81" s="14"/>
    </row>
    <row r="82" spans="1:11" ht="22">
      <c r="A82" s="10">
        <v>5406</v>
      </c>
      <c r="B82" s="11" t="s">
        <v>64</v>
      </c>
      <c r="C82" s="10" t="s">
        <v>10</v>
      </c>
      <c r="D82" s="12" t="s">
        <v>768</v>
      </c>
      <c r="E82" s="10">
        <v>375</v>
      </c>
      <c r="F82" s="10" t="s">
        <v>778</v>
      </c>
      <c r="G82" s="10" t="s">
        <v>203</v>
      </c>
      <c r="H82" s="10" t="s">
        <v>103</v>
      </c>
      <c r="I82" s="10" t="s">
        <v>11</v>
      </c>
      <c r="J82" s="13">
        <v>199.227</v>
      </c>
      <c r="K82" s="14"/>
    </row>
    <row r="83" spans="1:11" ht="22">
      <c r="A83" s="10">
        <v>5407</v>
      </c>
      <c r="B83" s="11" t="s">
        <v>65</v>
      </c>
      <c r="C83" s="10" t="s">
        <v>10</v>
      </c>
      <c r="D83" s="12" t="s">
        <v>768</v>
      </c>
      <c r="E83" s="12">
        <v>375</v>
      </c>
      <c r="F83" s="10" t="s">
        <v>778</v>
      </c>
      <c r="G83" s="10" t="s">
        <v>203</v>
      </c>
      <c r="H83" s="10" t="s">
        <v>103</v>
      </c>
      <c r="I83" s="10" t="s">
        <v>11</v>
      </c>
      <c r="J83" s="13">
        <v>199.227</v>
      </c>
      <c r="K83" s="14"/>
    </row>
    <row r="84" spans="1:11" ht="22">
      <c r="A84" s="10">
        <v>5408</v>
      </c>
      <c r="B84" s="11" t="s">
        <v>82</v>
      </c>
      <c r="C84" s="10" t="s">
        <v>10</v>
      </c>
      <c r="D84" s="12" t="s">
        <v>768</v>
      </c>
      <c r="E84" s="10">
        <v>375</v>
      </c>
      <c r="F84" s="10" t="s">
        <v>778</v>
      </c>
      <c r="G84" s="10" t="s">
        <v>203</v>
      </c>
      <c r="H84" s="10" t="s">
        <v>103</v>
      </c>
      <c r="I84" s="10" t="s">
        <v>11</v>
      </c>
      <c r="J84" s="13">
        <v>199.227</v>
      </c>
      <c r="K84" s="14"/>
    </row>
    <row r="85" spans="1:11" ht="44">
      <c r="A85" s="10">
        <v>5409</v>
      </c>
      <c r="B85" s="11" t="s">
        <v>66</v>
      </c>
      <c r="C85" s="10" t="s">
        <v>10</v>
      </c>
      <c r="D85" s="12" t="s">
        <v>99</v>
      </c>
      <c r="E85" s="12">
        <v>825</v>
      </c>
      <c r="F85" s="10" t="s">
        <v>779</v>
      </c>
      <c r="G85" s="10" t="s">
        <v>203</v>
      </c>
      <c r="H85" s="10" t="s">
        <v>103</v>
      </c>
      <c r="I85" s="10" t="s">
        <v>11</v>
      </c>
      <c r="J85" s="13">
        <v>212.58300000000003</v>
      </c>
      <c r="K85" s="14"/>
    </row>
    <row r="86" spans="1:11" ht="44">
      <c r="A86" s="10">
        <v>5410</v>
      </c>
      <c r="B86" s="11" t="s">
        <v>67</v>
      </c>
      <c r="C86" s="10" t="s">
        <v>10</v>
      </c>
      <c r="D86" s="12" t="s">
        <v>99</v>
      </c>
      <c r="E86" s="10">
        <v>825</v>
      </c>
      <c r="F86" s="10" t="s">
        <v>779</v>
      </c>
      <c r="G86" s="10" t="s">
        <v>203</v>
      </c>
      <c r="H86" s="10" t="s">
        <v>103</v>
      </c>
      <c r="I86" s="10" t="s">
        <v>11</v>
      </c>
      <c r="J86" s="13">
        <v>212.58300000000003</v>
      </c>
      <c r="K86" s="14"/>
    </row>
    <row r="87" spans="1:11" ht="44">
      <c r="A87" s="10">
        <v>5412</v>
      </c>
      <c r="B87" s="11" t="s">
        <v>81</v>
      </c>
      <c r="C87" s="10" t="s">
        <v>10</v>
      </c>
      <c r="D87" s="12" t="s">
        <v>99</v>
      </c>
      <c r="E87" s="10">
        <v>825</v>
      </c>
      <c r="F87" s="10" t="s">
        <v>779</v>
      </c>
      <c r="G87" s="10" t="s">
        <v>203</v>
      </c>
      <c r="H87" s="10" t="s">
        <v>103</v>
      </c>
      <c r="I87" s="10" t="s">
        <v>11</v>
      </c>
      <c r="J87" s="13">
        <v>212.58300000000003</v>
      </c>
      <c r="K87" s="14"/>
    </row>
    <row r="88" spans="1:11" ht="44">
      <c r="A88" s="10">
        <v>5413</v>
      </c>
      <c r="B88" s="11" t="s">
        <v>69</v>
      </c>
      <c r="C88" s="10" t="s">
        <v>10</v>
      </c>
      <c r="D88" s="12" t="s">
        <v>99</v>
      </c>
      <c r="E88" s="12">
        <v>825</v>
      </c>
      <c r="F88" s="10" t="s">
        <v>779</v>
      </c>
      <c r="G88" s="10" t="s">
        <v>203</v>
      </c>
      <c r="H88" s="10" t="s">
        <v>103</v>
      </c>
      <c r="I88" s="10" t="s">
        <v>11</v>
      </c>
      <c r="J88" s="13">
        <v>212.58300000000003</v>
      </c>
      <c r="K88" s="14"/>
    </row>
    <row r="89" spans="1:11" ht="44">
      <c r="A89" s="10">
        <v>5414</v>
      </c>
      <c r="B89" s="11" t="s">
        <v>70</v>
      </c>
      <c r="C89" s="10" t="s">
        <v>10</v>
      </c>
      <c r="D89" s="12" t="s">
        <v>99</v>
      </c>
      <c r="E89" s="10">
        <v>825</v>
      </c>
      <c r="F89" s="10" t="s">
        <v>779</v>
      </c>
      <c r="G89" s="10" t="s">
        <v>203</v>
      </c>
      <c r="H89" s="10" t="s">
        <v>103</v>
      </c>
      <c r="I89" s="10" t="s">
        <v>11</v>
      </c>
      <c r="J89" s="13">
        <v>212.58300000000003</v>
      </c>
      <c r="K89" s="14"/>
    </row>
    <row r="90" spans="1:11" ht="44">
      <c r="A90" s="10">
        <v>5415</v>
      </c>
      <c r="B90" s="11" t="s">
        <v>71</v>
      </c>
      <c r="C90" s="10" t="s">
        <v>10</v>
      </c>
      <c r="D90" s="12" t="s">
        <v>99</v>
      </c>
      <c r="E90" s="12">
        <v>825</v>
      </c>
      <c r="F90" s="10" t="s">
        <v>779</v>
      </c>
      <c r="G90" s="10" t="s">
        <v>203</v>
      </c>
      <c r="H90" s="10" t="s">
        <v>103</v>
      </c>
      <c r="I90" s="10" t="s">
        <v>11</v>
      </c>
      <c r="J90" s="13">
        <v>212.58300000000003</v>
      </c>
      <c r="K90" s="14"/>
    </row>
    <row r="91" spans="1:11" ht="44">
      <c r="A91" s="10">
        <v>5416</v>
      </c>
      <c r="B91" s="11" t="s">
        <v>80</v>
      </c>
      <c r="C91" s="10" t="s">
        <v>10</v>
      </c>
      <c r="D91" s="12" t="s">
        <v>99</v>
      </c>
      <c r="E91" s="10">
        <v>825</v>
      </c>
      <c r="F91" s="10" t="s">
        <v>779</v>
      </c>
      <c r="G91" s="10" t="s">
        <v>203</v>
      </c>
      <c r="H91" s="10" t="s">
        <v>103</v>
      </c>
      <c r="I91" s="10" t="s">
        <v>11</v>
      </c>
      <c r="J91" s="13">
        <v>212.58300000000003</v>
      </c>
      <c r="K91" s="14"/>
    </row>
    <row r="92" spans="1:11" ht="44">
      <c r="A92" s="10">
        <v>5417</v>
      </c>
      <c r="B92" s="11" t="s">
        <v>72</v>
      </c>
      <c r="C92" s="10" t="s">
        <v>10</v>
      </c>
      <c r="D92" s="12" t="s">
        <v>769</v>
      </c>
      <c r="E92" s="10">
        <v>1200</v>
      </c>
      <c r="F92" s="10" t="s">
        <v>88</v>
      </c>
      <c r="G92" s="10" t="s">
        <v>203</v>
      </c>
      <c r="H92" s="10" t="s">
        <v>103</v>
      </c>
      <c r="I92" s="10" t="s">
        <v>11</v>
      </c>
      <c r="J92" s="13">
        <v>243.10401929631598</v>
      </c>
      <c r="K92" s="14"/>
    </row>
    <row r="93" spans="1:11" ht="44">
      <c r="A93" s="10">
        <v>5418</v>
      </c>
      <c r="B93" s="11" t="s">
        <v>73</v>
      </c>
      <c r="C93" s="10" t="s">
        <v>10</v>
      </c>
      <c r="D93" s="12" t="s">
        <v>769</v>
      </c>
      <c r="E93" s="10">
        <v>1200</v>
      </c>
      <c r="F93" s="10" t="s">
        <v>88</v>
      </c>
      <c r="G93" s="10" t="s">
        <v>203</v>
      </c>
      <c r="H93" s="10" t="s">
        <v>103</v>
      </c>
      <c r="I93" s="10" t="s">
        <v>11</v>
      </c>
      <c r="J93" s="13">
        <v>243.10401929631598</v>
      </c>
      <c r="K93" s="14"/>
    </row>
    <row r="94" spans="1:11" ht="44">
      <c r="A94" s="10">
        <v>5420</v>
      </c>
      <c r="B94" s="11" t="s">
        <v>79</v>
      </c>
      <c r="C94" s="10" t="s">
        <v>10</v>
      </c>
      <c r="D94" s="12" t="s">
        <v>769</v>
      </c>
      <c r="E94" s="10">
        <v>1200</v>
      </c>
      <c r="F94" s="10" t="s">
        <v>88</v>
      </c>
      <c r="G94" s="10" t="s">
        <v>203</v>
      </c>
      <c r="H94" s="10" t="s">
        <v>103</v>
      </c>
      <c r="I94" s="10" t="s">
        <v>11</v>
      </c>
      <c r="J94" s="13">
        <v>243.10401929631598</v>
      </c>
      <c r="K94" s="14"/>
    </row>
    <row r="95" spans="1:11" ht="44">
      <c r="A95" s="10">
        <v>5421</v>
      </c>
      <c r="B95" s="11" t="s">
        <v>75</v>
      </c>
      <c r="C95" s="10" t="s">
        <v>10</v>
      </c>
      <c r="D95" s="12" t="s">
        <v>769</v>
      </c>
      <c r="E95" s="12">
        <v>1200</v>
      </c>
      <c r="F95" s="10" t="s">
        <v>88</v>
      </c>
      <c r="G95" s="10" t="s">
        <v>203</v>
      </c>
      <c r="H95" s="10" t="s">
        <v>103</v>
      </c>
      <c r="I95" s="10" t="s">
        <v>11</v>
      </c>
      <c r="J95" s="13">
        <v>243.10401929631598</v>
      </c>
      <c r="K95" s="14"/>
    </row>
    <row r="96" spans="1:11" ht="44">
      <c r="A96" s="10">
        <v>5422</v>
      </c>
      <c r="B96" s="11" t="s">
        <v>76</v>
      </c>
      <c r="C96" s="10" t="s">
        <v>10</v>
      </c>
      <c r="D96" s="12" t="s">
        <v>769</v>
      </c>
      <c r="E96" s="10">
        <v>1200</v>
      </c>
      <c r="F96" s="10" t="s">
        <v>88</v>
      </c>
      <c r="G96" s="10" t="s">
        <v>203</v>
      </c>
      <c r="H96" s="10" t="s">
        <v>103</v>
      </c>
      <c r="I96" s="10" t="s">
        <v>11</v>
      </c>
      <c r="J96" s="13">
        <v>243.10401929631598</v>
      </c>
      <c r="K96" s="14"/>
    </row>
    <row r="97" spans="1:11" ht="44">
      <c r="A97" s="10">
        <v>5423</v>
      </c>
      <c r="B97" s="11" t="s">
        <v>77</v>
      </c>
      <c r="C97" s="10" t="s">
        <v>10</v>
      </c>
      <c r="D97" s="12" t="s">
        <v>769</v>
      </c>
      <c r="E97" s="12">
        <v>1200</v>
      </c>
      <c r="F97" s="10" t="s">
        <v>88</v>
      </c>
      <c r="G97" s="10" t="s">
        <v>203</v>
      </c>
      <c r="H97" s="10" t="s">
        <v>103</v>
      </c>
      <c r="I97" s="10" t="s">
        <v>11</v>
      </c>
      <c r="J97" s="13">
        <v>243.10401929631598</v>
      </c>
      <c r="K97" s="14"/>
    </row>
    <row r="98" spans="1:11" ht="44">
      <c r="A98" s="10">
        <v>5424</v>
      </c>
      <c r="B98" s="11" t="s">
        <v>78</v>
      </c>
      <c r="C98" s="10" t="s">
        <v>10</v>
      </c>
      <c r="D98" s="12" t="s">
        <v>769</v>
      </c>
      <c r="E98" s="10">
        <v>1200</v>
      </c>
      <c r="F98" s="10" t="s">
        <v>88</v>
      </c>
      <c r="G98" s="10" t="s">
        <v>203</v>
      </c>
      <c r="H98" s="10" t="s">
        <v>103</v>
      </c>
      <c r="I98" s="10" t="s">
        <v>11</v>
      </c>
      <c r="J98" s="13">
        <v>243.10401929631598</v>
      </c>
      <c r="K98" s="14"/>
    </row>
    <row r="99" spans="1:11" ht="44">
      <c r="A99" s="10">
        <v>5433</v>
      </c>
      <c r="B99" s="11" t="s">
        <v>1584</v>
      </c>
      <c r="C99" s="10" t="s">
        <v>10</v>
      </c>
      <c r="D99" s="12" t="s">
        <v>107</v>
      </c>
      <c r="E99" s="12">
        <v>1260</v>
      </c>
      <c r="F99" s="10" t="s">
        <v>415</v>
      </c>
      <c r="G99" s="10" t="s">
        <v>93</v>
      </c>
      <c r="H99" s="10" t="s">
        <v>93</v>
      </c>
      <c r="I99" s="10" t="s">
        <v>11</v>
      </c>
      <c r="J99" s="13">
        <v>290.44</v>
      </c>
      <c r="K99" s="14"/>
    </row>
    <row r="100" spans="1:11" ht="44">
      <c r="A100" s="10">
        <v>5434</v>
      </c>
      <c r="B100" s="11" t="s">
        <v>109</v>
      </c>
      <c r="C100" s="10" t="s">
        <v>10</v>
      </c>
      <c r="D100" s="12" t="s">
        <v>107</v>
      </c>
      <c r="E100" s="12">
        <v>1260</v>
      </c>
      <c r="F100" s="10" t="s">
        <v>415</v>
      </c>
      <c r="G100" s="10" t="s">
        <v>93</v>
      </c>
      <c r="H100" s="10" t="s">
        <v>93</v>
      </c>
      <c r="I100" s="10" t="s">
        <v>11</v>
      </c>
      <c r="J100" s="13">
        <v>290.44</v>
      </c>
      <c r="K100" s="14"/>
    </row>
    <row r="101" spans="1:11" ht="44">
      <c r="A101" s="10">
        <v>5435</v>
      </c>
      <c r="B101" s="11" t="s">
        <v>1585</v>
      </c>
      <c r="C101" s="10" t="s">
        <v>10</v>
      </c>
      <c r="D101" s="12" t="s">
        <v>107</v>
      </c>
      <c r="E101" s="12">
        <v>1260</v>
      </c>
      <c r="F101" s="10" t="s">
        <v>415</v>
      </c>
      <c r="G101" s="10" t="s">
        <v>93</v>
      </c>
      <c r="H101" s="10" t="s">
        <v>93</v>
      </c>
      <c r="I101" s="10" t="s">
        <v>11</v>
      </c>
      <c r="J101" s="13">
        <v>290.44</v>
      </c>
      <c r="K101" s="14"/>
    </row>
    <row r="102" spans="1:11" ht="44">
      <c r="A102" s="10">
        <v>5439</v>
      </c>
      <c r="B102" s="11" t="s">
        <v>1586</v>
      </c>
      <c r="C102" s="10" t="s">
        <v>10</v>
      </c>
      <c r="D102" s="12" t="s">
        <v>1566</v>
      </c>
      <c r="E102" s="12">
        <v>2520</v>
      </c>
      <c r="F102" s="10" t="s">
        <v>415</v>
      </c>
      <c r="G102" s="10" t="s">
        <v>94</v>
      </c>
      <c r="H102" s="10" t="s">
        <v>94</v>
      </c>
      <c r="I102" s="10" t="s">
        <v>11</v>
      </c>
      <c r="J102" s="13">
        <v>385.84000000000003</v>
      </c>
      <c r="K102" s="14"/>
    </row>
    <row r="103" spans="1:11" ht="44">
      <c r="A103" s="10">
        <v>5440</v>
      </c>
      <c r="B103" s="11" t="s">
        <v>1587</v>
      </c>
      <c r="C103" s="10" t="s">
        <v>10</v>
      </c>
      <c r="D103" s="12" t="s">
        <v>1566</v>
      </c>
      <c r="E103" s="12">
        <v>2520</v>
      </c>
      <c r="F103" s="10" t="s">
        <v>415</v>
      </c>
      <c r="G103" s="10" t="s">
        <v>94</v>
      </c>
      <c r="H103" s="10" t="s">
        <v>94</v>
      </c>
      <c r="I103" s="10" t="s">
        <v>11</v>
      </c>
      <c r="J103" s="13">
        <v>385.84000000000003</v>
      </c>
      <c r="K103" s="14"/>
    </row>
    <row r="104" spans="1:11" ht="44">
      <c r="A104" s="10">
        <v>5441</v>
      </c>
      <c r="B104" s="11" t="s">
        <v>1588</v>
      </c>
      <c r="C104" s="10" t="s">
        <v>10</v>
      </c>
      <c r="D104" s="12" t="s">
        <v>1566</v>
      </c>
      <c r="E104" s="12">
        <v>2520</v>
      </c>
      <c r="F104" s="10" t="s">
        <v>415</v>
      </c>
      <c r="G104" s="10" t="s">
        <v>94</v>
      </c>
      <c r="H104" s="10" t="s">
        <v>94</v>
      </c>
      <c r="I104" s="10" t="s">
        <v>11</v>
      </c>
      <c r="J104" s="13">
        <v>385.84000000000003</v>
      </c>
      <c r="K104" s="14"/>
    </row>
    <row r="105" spans="1:11" ht="44">
      <c r="A105" s="10">
        <v>5445</v>
      </c>
      <c r="B105" s="11" t="s">
        <v>1591</v>
      </c>
      <c r="C105" s="10" t="s">
        <v>10</v>
      </c>
      <c r="D105" s="12" t="s">
        <v>107</v>
      </c>
      <c r="E105" s="12">
        <v>1260</v>
      </c>
      <c r="F105" s="10" t="s">
        <v>415</v>
      </c>
      <c r="G105" s="10" t="s">
        <v>95</v>
      </c>
      <c r="H105" s="10" t="s">
        <v>95</v>
      </c>
      <c r="I105" s="10" t="s">
        <v>11</v>
      </c>
      <c r="J105" s="13">
        <v>300.49940000000004</v>
      </c>
      <c r="K105" s="14"/>
    </row>
    <row r="106" spans="1:11" ht="44">
      <c r="A106" s="10">
        <v>5447</v>
      </c>
      <c r="B106" s="11" t="s">
        <v>1593</v>
      </c>
      <c r="C106" s="10" t="s">
        <v>10</v>
      </c>
      <c r="D106" s="12" t="s">
        <v>107</v>
      </c>
      <c r="E106" s="12">
        <v>1260</v>
      </c>
      <c r="F106" s="10" t="s">
        <v>415</v>
      </c>
      <c r="G106" s="10" t="s">
        <v>95</v>
      </c>
      <c r="H106" s="10" t="s">
        <v>95</v>
      </c>
      <c r="I106" s="10" t="s">
        <v>11</v>
      </c>
      <c r="J106" s="13">
        <v>300.49940000000004</v>
      </c>
      <c r="K106" s="14"/>
    </row>
    <row r="107" spans="1:11" ht="44">
      <c r="A107" s="10">
        <v>5451</v>
      </c>
      <c r="B107" s="11" t="s">
        <v>1595</v>
      </c>
      <c r="C107" s="10" t="s">
        <v>10</v>
      </c>
      <c r="D107" s="12" t="s">
        <v>1566</v>
      </c>
      <c r="E107" s="12">
        <v>2520</v>
      </c>
      <c r="F107" s="10" t="s">
        <v>415</v>
      </c>
      <c r="G107" s="10" t="s">
        <v>96</v>
      </c>
      <c r="H107" s="10" t="s">
        <v>96</v>
      </c>
      <c r="I107" s="10" t="s">
        <v>11</v>
      </c>
      <c r="J107" s="13">
        <v>401.74</v>
      </c>
      <c r="K107" s="14"/>
    </row>
    <row r="108" spans="1:11" ht="44">
      <c r="A108" s="10">
        <v>5453</v>
      </c>
      <c r="B108" s="11" t="s">
        <v>1597</v>
      </c>
      <c r="C108" s="10" t="s">
        <v>10</v>
      </c>
      <c r="D108" s="12" t="s">
        <v>1566</v>
      </c>
      <c r="E108" s="12">
        <v>2520</v>
      </c>
      <c r="F108" s="10" t="s">
        <v>415</v>
      </c>
      <c r="G108" s="10" t="s">
        <v>96</v>
      </c>
      <c r="H108" s="10" t="s">
        <v>96</v>
      </c>
      <c r="I108" s="10" t="s">
        <v>11</v>
      </c>
      <c r="J108" s="13">
        <v>401.74</v>
      </c>
      <c r="K108" s="14"/>
    </row>
    <row r="109" spans="1:11" ht="22">
      <c r="A109" s="10">
        <v>5472</v>
      </c>
      <c r="B109" s="11" t="s">
        <v>122</v>
      </c>
      <c r="C109" s="10" t="s">
        <v>102</v>
      </c>
      <c r="D109" s="12" t="s">
        <v>11</v>
      </c>
      <c r="E109" s="10" t="s">
        <v>11</v>
      </c>
      <c r="F109" s="10" t="s">
        <v>101</v>
      </c>
      <c r="G109" s="10" t="s">
        <v>103</v>
      </c>
      <c r="H109" s="10" t="s">
        <v>103</v>
      </c>
      <c r="I109" s="10" t="s">
        <v>91</v>
      </c>
      <c r="J109" s="13">
        <v>122.43</v>
      </c>
      <c r="K109" s="14"/>
    </row>
    <row r="110" spans="1:11" ht="22">
      <c r="A110" s="10">
        <v>5473</v>
      </c>
      <c r="B110" s="11" t="s">
        <v>123</v>
      </c>
      <c r="C110" s="10" t="s">
        <v>102</v>
      </c>
      <c r="D110" s="12" t="s">
        <v>11</v>
      </c>
      <c r="E110" s="12" t="s">
        <v>11</v>
      </c>
      <c r="F110" s="10" t="s">
        <v>101</v>
      </c>
      <c r="G110" s="10" t="s">
        <v>103</v>
      </c>
      <c r="H110" s="10" t="s">
        <v>103</v>
      </c>
      <c r="I110" s="10" t="s">
        <v>91</v>
      </c>
      <c r="J110" s="13">
        <v>122.43</v>
      </c>
      <c r="K110" s="14"/>
    </row>
    <row r="111" spans="1:11" ht="22">
      <c r="A111" s="10">
        <v>5474</v>
      </c>
      <c r="B111" s="11" t="s">
        <v>124</v>
      </c>
      <c r="C111" s="10" t="s">
        <v>102</v>
      </c>
      <c r="D111" s="12" t="s">
        <v>11</v>
      </c>
      <c r="E111" s="10" t="s">
        <v>11</v>
      </c>
      <c r="F111" s="10" t="s">
        <v>101</v>
      </c>
      <c r="G111" s="10" t="s">
        <v>103</v>
      </c>
      <c r="H111" s="10" t="s">
        <v>103</v>
      </c>
      <c r="I111" s="10" t="s">
        <v>91</v>
      </c>
      <c r="J111" s="13">
        <v>122.43</v>
      </c>
      <c r="K111" s="14"/>
    </row>
    <row r="112" spans="1:11" ht="22">
      <c r="A112" s="10">
        <v>5484</v>
      </c>
      <c r="B112" s="11" t="s">
        <v>125</v>
      </c>
      <c r="C112" s="10" t="s">
        <v>316</v>
      </c>
      <c r="D112" s="12" t="s">
        <v>11</v>
      </c>
      <c r="E112" s="10" t="s">
        <v>11</v>
      </c>
      <c r="F112" s="10" t="s">
        <v>90</v>
      </c>
      <c r="G112" s="10" t="s">
        <v>103</v>
      </c>
      <c r="H112" s="10" t="s">
        <v>104</v>
      </c>
      <c r="I112" s="10" t="s">
        <v>91</v>
      </c>
      <c r="J112" s="13">
        <v>533.12700000000007</v>
      </c>
      <c r="K112" s="14"/>
    </row>
    <row r="113" spans="1:11" ht="22">
      <c r="A113" s="10">
        <v>5485</v>
      </c>
      <c r="B113" s="11" t="s">
        <v>126</v>
      </c>
      <c r="C113" s="10" t="s">
        <v>316</v>
      </c>
      <c r="D113" s="12" t="s">
        <v>11</v>
      </c>
      <c r="E113" s="12" t="s">
        <v>11</v>
      </c>
      <c r="F113" s="10" t="s">
        <v>90</v>
      </c>
      <c r="G113" s="10" t="s">
        <v>103</v>
      </c>
      <c r="H113" s="10" t="s">
        <v>104</v>
      </c>
      <c r="I113" s="10" t="s">
        <v>91</v>
      </c>
      <c r="J113" s="13">
        <v>533.12700000000007</v>
      </c>
      <c r="K113" s="14"/>
    </row>
    <row r="114" spans="1:11" ht="22">
      <c r="A114" s="10">
        <v>5486</v>
      </c>
      <c r="B114" s="11" t="s">
        <v>127</v>
      </c>
      <c r="C114" s="10" t="s">
        <v>316</v>
      </c>
      <c r="D114" s="12" t="s">
        <v>11</v>
      </c>
      <c r="E114" s="10" t="s">
        <v>11</v>
      </c>
      <c r="F114" s="10" t="s">
        <v>90</v>
      </c>
      <c r="G114" s="10" t="s">
        <v>103</v>
      </c>
      <c r="H114" s="10" t="s">
        <v>104</v>
      </c>
      <c r="I114" s="10" t="s">
        <v>91</v>
      </c>
      <c r="J114" s="13">
        <v>533.12700000000007</v>
      </c>
      <c r="K114" s="14"/>
    </row>
    <row r="115" spans="1:11" ht="44">
      <c r="A115" s="10">
        <v>5516</v>
      </c>
      <c r="B115" s="11" t="s">
        <v>110</v>
      </c>
      <c r="C115" s="10" t="s">
        <v>10</v>
      </c>
      <c r="D115" s="12" t="s">
        <v>107</v>
      </c>
      <c r="E115" s="10">
        <v>1260</v>
      </c>
      <c r="F115" s="10" t="s">
        <v>301</v>
      </c>
      <c r="G115" s="10" t="s">
        <v>106</v>
      </c>
      <c r="H115" s="10" t="s">
        <v>106</v>
      </c>
      <c r="I115" s="10" t="s">
        <v>91</v>
      </c>
      <c r="J115" s="13">
        <v>199.227</v>
      </c>
      <c r="K115" s="14"/>
    </row>
    <row r="116" spans="1:11" ht="44">
      <c r="A116" s="10">
        <v>5517</v>
      </c>
      <c r="B116" s="11" t="s">
        <v>111</v>
      </c>
      <c r="C116" s="10" t="s">
        <v>10</v>
      </c>
      <c r="D116" s="12" t="s">
        <v>107</v>
      </c>
      <c r="E116" s="12">
        <v>1260</v>
      </c>
      <c r="F116" s="10" t="s">
        <v>301</v>
      </c>
      <c r="G116" s="10" t="s">
        <v>106</v>
      </c>
      <c r="H116" s="10" t="s">
        <v>106</v>
      </c>
      <c r="I116" s="10" t="s">
        <v>91</v>
      </c>
      <c r="J116" s="13">
        <v>199.227</v>
      </c>
      <c r="K116" s="14"/>
    </row>
    <row r="117" spans="1:11" ht="44">
      <c r="A117" s="10">
        <v>5518</v>
      </c>
      <c r="B117" s="11" t="s">
        <v>112</v>
      </c>
      <c r="C117" s="10" t="s">
        <v>10</v>
      </c>
      <c r="D117" s="12" t="s">
        <v>107</v>
      </c>
      <c r="E117" s="10">
        <v>1260</v>
      </c>
      <c r="F117" s="10" t="s">
        <v>301</v>
      </c>
      <c r="G117" s="10" t="s">
        <v>106</v>
      </c>
      <c r="H117" s="10" t="s">
        <v>106</v>
      </c>
      <c r="I117" s="10" t="s">
        <v>91</v>
      </c>
      <c r="J117" s="13">
        <v>199.227</v>
      </c>
      <c r="K117" s="14"/>
    </row>
    <row r="118" spans="1:11" ht="44">
      <c r="A118" s="10">
        <v>5523</v>
      </c>
      <c r="B118" s="11" t="s">
        <v>872</v>
      </c>
      <c r="C118" s="10" t="s">
        <v>10</v>
      </c>
      <c r="D118" s="12" t="s">
        <v>107</v>
      </c>
      <c r="E118" s="10">
        <v>1260</v>
      </c>
      <c r="F118" s="10" t="s">
        <v>301</v>
      </c>
      <c r="G118" s="10" t="s">
        <v>106</v>
      </c>
      <c r="H118" s="10" t="s">
        <v>106</v>
      </c>
      <c r="I118" s="10" t="s">
        <v>91</v>
      </c>
      <c r="J118" s="13">
        <v>221.48699999999999</v>
      </c>
      <c r="K118" s="14"/>
    </row>
    <row r="119" spans="1:11" ht="44">
      <c r="A119" s="10">
        <v>5538</v>
      </c>
      <c r="B119" s="11" t="s">
        <v>113</v>
      </c>
      <c r="C119" s="10" t="s">
        <v>10</v>
      </c>
      <c r="D119" s="12" t="s">
        <v>97</v>
      </c>
      <c r="E119" s="12">
        <v>1540</v>
      </c>
      <c r="F119" s="10" t="s">
        <v>301</v>
      </c>
      <c r="G119" s="10" t="s">
        <v>95</v>
      </c>
      <c r="H119" s="10" t="s">
        <v>95</v>
      </c>
      <c r="I119" s="10" t="s">
        <v>91</v>
      </c>
      <c r="J119" s="13">
        <v>232.61699999999999</v>
      </c>
      <c r="K119" s="14"/>
    </row>
    <row r="120" spans="1:11" ht="44">
      <c r="A120" s="10">
        <v>5539</v>
      </c>
      <c r="B120" s="11" t="s">
        <v>114</v>
      </c>
      <c r="C120" s="10" t="s">
        <v>10</v>
      </c>
      <c r="D120" s="12" t="s">
        <v>97</v>
      </c>
      <c r="E120" s="10">
        <v>1540</v>
      </c>
      <c r="F120" s="10" t="s">
        <v>301</v>
      </c>
      <c r="G120" s="10" t="s">
        <v>95</v>
      </c>
      <c r="H120" s="10" t="s">
        <v>95</v>
      </c>
      <c r="I120" s="10" t="s">
        <v>91</v>
      </c>
      <c r="J120" s="13">
        <v>232.61699999999999</v>
      </c>
      <c r="K120" s="14"/>
    </row>
    <row r="121" spans="1:11" ht="44">
      <c r="A121" s="10">
        <v>5540</v>
      </c>
      <c r="B121" s="11" t="s">
        <v>115</v>
      </c>
      <c r="C121" s="10" t="s">
        <v>10</v>
      </c>
      <c r="D121" s="12" t="s">
        <v>97</v>
      </c>
      <c r="E121" s="12">
        <v>1540</v>
      </c>
      <c r="F121" s="10" t="s">
        <v>301</v>
      </c>
      <c r="G121" s="10" t="s">
        <v>95</v>
      </c>
      <c r="H121" s="10" t="s">
        <v>95</v>
      </c>
      <c r="I121" s="10" t="s">
        <v>91</v>
      </c>
      <c r="J121" s="13">
        <v>232.61699999999999</v>
      </c>
      <c r="K121" s="14"/>
    </row>
    <row r="122" spans="1:11" ht="44">
      <c r="A122" s="10">
        <v>5546</v>
      </c>
      <c r="B122" s="11" t="s">
        <v>873</v>
      </c>
      <c r="C122" s="10" t="s">
        <v>10</v>
      </c>
      <c r="D122" s="12" t="s">
        <v>97</v>
      </c>
      <c r="E122" s="12">
        <v>1540</v>
      </c>
      <c r="F122" s="10" t="s">
        <v>301</v>
      </c>
      <c r="G122" s="10" t="s">
        <v>95</v>
      </c>
      <c r="H122" s="10" t="s">
        <v>95</v>
      </c>
      <c r="I122" s="10" t="s">
        <v>91</v>
      </c>
      <c r="J122" s="13">
        <v>254.87700000000001</v>
      </c>
      <c r="K122" s="14"/>
    </row>
    <row r="123" spans="1:11" ht="22">
      <c r="A123" s="10">
        <v>5547</v>
      </c>
      <c r="B123" s="11" t="s">
        <v>135</v>
      </c>
      <c r="C123" s="10" t="s">
        <v>10</v>
      </c>
      <c r="D123" s="12" t="s">
        <v>784</v>
      </c>
      <c r="E123" s="10">
        <v>280</v>
      </c>
      <c r="F123" s="10" t="s">
        <v>103</v>
      </c>
      <c r="G123" s="10" t="s">
        <v>108</v>
      </c>
      <c r="H123" s="10" t="s">
        <v>108</v>
      </c>
      <c r="I123" s="10" t="s">
        <v>91</v>
      </c>
      <c r="J123" s="13">
        <v>110.18700000000001</v>
      </c>
      <c r="K123" s="14"/>
    </row>
    <row r="124" spans="1:11" ht="22">
      <c r="A124" s="10">
        <v>5548</v>
      </c>
      <c r="B124" s="11" t="s">
        <v>136</v>
      </c>
      <c r="C124" s="10" t="s">
        <v>10</v>
      </c>
      <c r="D124" s="12" t="s">
        <v>784</v>
      </c>
      <c r="E124" s="12">
        <v>280</v>
      </c>
      <c r="F124" s="10" t="s">
        <v>103</v>
      </c>
      <c r="G124" s="10" t="s">
        <v>108</v>
      </c>
      <c r="H124" s="10" t="s">
        <v>108</v>
      </c>
      <c r="I124" s="10" t="s">
        <v>91</v>
      </c>
      <c r="J124" s="13">
        <v>110.18700000000001</v>
      </c>
      <c r="K124" s="14"/>
    </row>
    <row r="125" spans="1:11" ht="22">
      <c r="A125" s="10">
        <v>5549</v>
      </c>
      <c r="B125" s="11" t="s">
        <v>137</v>
      </c>
      <c r="C125" s="10" t="s">
        <v>10</v>
      </c>
      <c r="D125" s="12" t="s">
        <v>784</v>
      </c>
      <c r="E125" s="10">
        <v>280</v>
      </c>
      <c r="F125" s="10" t="s">
        <v>103</v>
      </c>
      <c r="G125" s="10" t="s">
        <v>108</v>
      </c>
      <c r="H125" s="10" t="s">
        <v>108</v>
      </c>
      <c r="I125" s="10" t="s">
        <v>91</v>
      </c>
      <c r="J125" s="13">
        <v>110.18700000000001</v>
      </c>
      <c r="K125" s="14"/>
    </row>
    <row r="126" spans="1:11" ht="44">
      <c r="A126" s="10">
        <v>5555</v>
      </c>
      <c r="B126" s="11" t="s">
        <v>116</v>
      </c>
      <c r="C126" s="10" t="s">
        <v>10</v>
      </c>
      <c r="D126" s="12" t="s">
        <v>107</v>
      </c>
      <c r="E126" s="12">
        <v>1260</v>
      </c>
      <c r="F126" s="10" t="s">
        <v>402</v>
      </c>
      <c r="G126" s="10" t="s">
        <v>106</v>
      </c>
      <c r="H126" s="10" t="s">
        <v>106</v>
      </c>
      <c r="I126" s="10" t="s">
        <v>91</v>
      </c>
      <c r="J126" s="13">
        <v>176.96699999999998</v>
      </c>
      <c r="K126" s="14"/>
    </row>
    <row r="127" spans="1:11" ht="44">
      <c r="A127" s="10">
        <v>5556</v>
      </c>
      <c r="B127" s="11" t="s">
        <v>117</v>
      </c>
      <c r="C127" s="10" t="s">
        <v>10</v>
      </c>
      <c r="D127" s="12" t="s">
        <v>107</v>
      </c>
      <c r="E127" s="10">
        <v>1260</v>
      </c>
      <c r="F127" s="10" t="s">
        <v>402</v>
      </c>
      <c r="G127" s="10" t="s">
        <v>106</v>
      </c>
      <c r="H127" s="10" t="s">
        <v>106</v>
      </c>
      <c r="I127" s="10" t="s">
        <v>91</v>
      </c>
      <c r="J127" s="13">
        <v>176.96699999999998</v>
      </c>
      <c r="K127" s="14"/>
    </row>
    <row r="128" spans="1:11" ht="44">
      <c r="A128" s="10">
        <v>5557</v>
      </c>
      <c r="B128" s="11" t="s">
        <v>118</v>
      </c>
      <c r="C128" s="10" t="s">
        <v>10</v>
      </c>
      <c r="D128" s="12" t="s">
        <v>107</v>
      </c>
      <c r="E128" s="12">
        <v>1260</v>
      </c>
      <c r="F128" s="10" t="s">
        <v>402</v>
      </c>
      <c r="G128" s="10" t="s">
        <v>106</v>
      </c>
      <c r="H128" s="10" t="s">
        <v>106</v>
      </c>
      <c r="I128" s="10" t="s">
        <v>91</v>
      </c>
      <c r="J128" s="13">
        <v>176.96699999999998</v>
      </c>
      <c r="K128" s="14"/>
    </row>
    <row r="129" spans="1:11" ht="44">
      <c r="A129" s="10">
        <v>5563</v>
      </c>
      <c r="B129" s="11" t="s">
        <v>119</v>
      </c>
      <c r="C129" s="10" t="s">
        <v>10</v>
      </c>
      <c r="D129" s="12" t="s">
        <v>97</v>
      </c>
      <c r="E129" s="10">
        <v>1540</v>
      </c>
      <c r="F129" s="10" t="s">
        <v>221</v>
      </c>
      <c r="G129" s="10" t="s">
        <v>95</v>
      </c>
      <c r="H129" s="10" t="s">
        <v>95</v>
      </c>
      <c r="I129" s="10" t="s">
        <v>91</v>
      </c>
      <c r="J129" s="13">
        <v>221.48699999999999</v>
      </c>
      <c r="K129" s="14"/>
    </row>
    <row r="130" spans="1:11" ht="44">
      <c r="A130" s="10">
        <v>5564</v>
      </c>
      <c r="B130" s="11" t="s">
        <v>120</v>
      </c>
      <c r="C130" s="10" t="s">
        <v>10</v>
      </c>
      <c r="D130" s="12" t="s">
        <v>97</v>
      </c>
      <c r="E130" s="12">
        <v>1540</v>
      </c>
      <c r="F130" s="10" t="s">
        <v>221</v>
      </c>
      <c r="G130" s="10" t="s">
        <v>95</v>
      </c>
      <c r="H130" s="10" t="s">
        <v>95</v>
      </c>
      <c r="I130" s="10" t="s">
        <v>91</v>
      </c>
      <c r="J130" s="13">
        <v>221.48699999999999</v>
      </c>
      <c r="K130" s="14"/>
    </row>
    <row r="131" spans="1:11" ht="44">
      <c r="A131" s="10">
        <v>5565</v>
      </c>
      <c r="B131" s="11" t="s">
        <v>121</v>
      </c>
      <c r="C131" s="10" t="s">
        <v>10</v>
      </c>
      <c r="D131" s="12" t="s">
        <v>97</v>
      </c>
      <c r="E131" s="10">
        <v>1540</v>
      </c>
      <c r="F131" s="10" t="s">
        <v>221</v>
      </c>
      <c r="G131" s="10" t="s">
        <v>95</v>
      </c>
      <c r="H131" s="10" t="s">
        <v>95</v>
      </c>
      <c r="I131" s="10" t="s">
        <v>91</v>
      </c>
      <c r="J131" s="13">
        <v>221.48699999999999</v>
      </c>
      <c r="K131" s="14"/>
    </row>
    <row r="132" spans="1:11" ht="88">
      <c r="A132" s="10">
        <v>5587</v>
      </c>
      <c r="B132" s="11" t="s">
        <v>128</v>
      </c>
      <c r="C132" s="10" t="s">
        <v>10</v>
      </c>
      <c r="D132" s="12" t="s">
        <v>107</v>
      </c>
      <c r="E132" s="10">
        <v>1260</v>
      </c>
      <c r="F132" s="10" t="s">
        <v>301</v>
      </c>
      <c r="G132" s="10" t="s">
        <v>106</v>
      </c>
      <c r="H132" s="10" t="s">
        <v>106</v>
      </c>
      <c r="I132" s="10" t="s">
        <v>91</v>
      </c>
      <c r="J132" s="13">
        <v>210.357</v>
      </c>
      <c r="K132" s="14" t="s">
        <v>105</v>
      </c>
    </row>
    <row r="133" spans="1:11" ht="88">
      <c r="A133" s="10">
        <v>5588</v>
      </c>
      <c r="B133" s="11" t="s">
        <v>129</v>
      </c>
      <c r="C133" s="10" t="s">
        <v>10</v>
      </c>
      <c r="D133" s="12" t="s">
        <v>107</v>
      </c>
      <c r="E133" s="12">
        <v>1260</v>
      </c>
      <c r="F133" s="10" t="s">
        <v>301</v>
      </c>
      <c r="G133" s="10" t="s">
        <v>106</v>
      </c>
      <c r="H133" s="10" t="s">
        <v>106</v>
      </c>
      <c r="I133" s="10" t="s">
        <v>91</v>
      </c>
      <c r="J133" s="13">
        <v>210.357</v>
      </c>
      <c r="K133" s="14" t="s">
        <v>105</v>
      </c>
    </row>
    <row r="134" spans="1:11" ht="88">
      <c r="A134" s="10">
        <v>5589</v>
      </c>
      <c r="B134" s="11" t="s">
        <v>130</v>
      </c>
      <c r="C134" s="10" t="s">
        <v>10</v>
      </c>
      <c r="D134" s="12" t="s">
        <v>107</v>
      </c>
      <c r="E134" s="10">
        <v>1260</v>
      </c>
      <c r="F134" s="10" t="s">
        <v>301</v>
      </c>
      <c r="G134" s="10" t="s">
        <v>106</v>
      </c>
      <c r="H134" s="10" t="s">
        <v>106</v>
      </c>
      <c r="I134" s="10" t="s">
        <v>91</v>
      </c>
      <c r="J134" s="13">
        <v>210.357</v>
      </c>
      <c r="K134" s="14" t="s">
        <v>105</v>
      </c>
    </row>
    <row r="135" spans="1:11" ht="88">
      <c r="A135" s="10">
        <v>5594</v>
      </c>
      <c r="B135" s="11" t="s">
        <v>870</v>
      </c>
      <c r="C135" s="10" t="s">
        <v>10</v>
      </c>
      <c r="D135" s="12" t="s">
        <v>107</v>
      </c>
      <c r="E135" s="10">
        <v>1260</v>
      </c>
      <c r="F135" s="10" t="s">
        <v>301</v>
      </c>
      <c r="G135" s="10" t="s">
        <v>106</v>
      </c>
      <c r="H135" s="10" t="s">
        <v>106</v>
      </c>
      <c r="I135" s="10" t="s">
        <v>91</v>
      </c>
      <c r="J135" s="13">
        <v>232.61699999999999</v>
      </c>
      <c r="K135" s="14" t="s">
        <v>105</v>
      </c>
    </row>
    <row r="136" spans="1:11" ht="88">
      <c r="A136" s="10">
        <v>5595</v>
      </c>
      <c r="B136" s="11" t="s">
        <v>131</v>
      </c>
      <c r="C136" s="10" t="s">
        <v>10</v>
      </c>
      <c r="D136" s="12" t="s">
        <v>861</v>
      </c>
      <c r="E136" s="12">
        <v>1540</v>
      </c>
      <c r="F136" s="10" t="s">
        <v>301</v>
      </c>
      <c r="G136" s="10" t="s">
        <v>95</v>
      </c>
      <c r="H136" s="10" t="s">
        <v>95</v>
      </c>
      <c r="I136" s="10" t="s">
        <v>91</v>
      </c>
      <c r="J136" s="13">
        <v>239.29500000000002</v>
      </c>
      <c r="K136" s="14" t="s">
        <v>105</v>
      </c>
    </row>
    <row r="137" spans="1:11" ht="88">
      <c r="A137" s="10">
        <v>5596</v>
      </c>
      <c r="B137" s="11" t="s">
        <v>132</v>
      </c>
      <c r="C137" s="10" t="s">
        <v>10</v>
      </c>
      <c r="D137" s="12" t="s">
        <v>97</v>
      </c>
      <c r="E137" s="10">
        <v>1540</v>
      </c>
      <c r="F137" s="10" t="s">
        <v>301</v>
      </c>
      <c r="G137" s="10" t="s">
        <v>95</v>
      </c>
      <c r="H137" s="10" t="s">
        <v>95</v>
      </c>
      <c r="I137" s="10" t="s">
        <v>91</v>
      </c>
      <c r="J137" s="13">
        <v>239.29500000000002</v>
      </c>
      <c r="K137" s="14" t="s">
        <v>105</v>
      </c>
    </row>
    <row r="138" spans="1:11" ht="88">
      <c r="A138" s="10">
        <v>5597</v>
      </c>
      <c r="B138" s="11" t="s">
        <v>133</v>
      </c>
      <c r="C138" s="10" t="s">
        <v>10</v>
      </c>
      <c r="D138" s="12" t="s">
        <v>861</v>
      </c>
      <c r="E138" s="12">
        <v>1540</v>
      </c>
      <c r="F138" s="10" t="s">
        <v>301</v>
      </c>
      <c r="G138" s="10" t="s">
        <v>95</v>
      </c>
      <c r="H138" s="10" t="s">
        <v>95</v>
      </c>
      <c r="I138" s="10" t="s">
        <v>91</v>
      </c>
      <c r="J138" s="13">
        <v>239.29500000000002</v>
      </c>
      <c r="K138" s="14" t="s">
        <v>105</v>
      </c>
    </row>
    <row r="139" spans="1:11" ht="88">
      <c r="A139" s="10">
        <v>5602</v>
      </c>
      <c r="B139" s="11" t="s">
        <v>871</v>
      </c>
      <c r="C139" s="10" t="s">
        <v>10</v>
      </c>
      <c r="D139" s="12" t="s">
        <v>861</v>
      </c>
      <c r="E139" s="12">
        <v>1540</v>
      </c>
      <c r="F139" s="10" t="s">
        <v>301</v>
      </c>
      <c r="G139" s="10" t="s">
        <v>95</v>
      </c>
      <c r="H139" s="10" t="s">
        <v>95</v>
      </c>
      <c r="I139" s="10" t="s">
        <v>91</v>
      </c>
      <c r="J139" s="13">
        <v>261.55500000000001</v>
      </c>
      <c r="K139" s="14" t="s">
        <v>105</v>
      </c>
    </row>
    <row r="140" spans="1:11" ht="66">
      <c r="A140" s="10">
        <v>5666</v>
      </c>
      <c r="B140" s="11" t="s">
        <v>740</v>
      </c>
      <c r="C140" s="10" t="s">
        <v>10</v>
      </c>
      <c r="D140" s="12" t="s">
        <v>848</v>
      </c>
      <c r="E140" s="12">
        <v>1800</v>
      </c>
      <c r="F140" s="10" t="s">
        <v>281</v>
      </c>
      <c r="G140" s="10" t="s">
        <v>85</v>
      </c>
      <c r="H140" s="10" t="s">
        <v>104</v>
      </c>
      <c r="I140" s="10" t="s">
        <v>11</v>
      </c>
      <c r="J140" s="13">
        <v>239.29500000000002</v>
      </c>
      <c r="K140" s="14"/>
    </row>
    <row r="141" spans="1:11" ht="66">
      <c r="A141" s="10">
        <v>5667</v>
      </c>
      <c r="B141" s="11" t="s">
        <v>741</v>
      </c>
      <c r="C141" s="10" t="s">
        <v>10</v>
      </c>
      <c r="D141" s="12" t="s">
        <v>848</v>
      </c>
      <c r="E141" s="10">
        <v>1800</v>
      </c>
      <c r="F141" s="10" t="s">
        <v>281</v>
      </c>
      <c r="G141" s="10" t="s">
        <v>85</v>
      </c>
      <c r="H141" s="10" t="s">
        <v>104</v>
      </c>
      <c r="I141" s="10" t="s">
        <v>11</v>
      </c>
      <c r="J141" s="13">
        <v>239.29500000000002</v>
      </c>
      <c r="K141" s="14"/>
    </row>
    <row r="142" spans="1:11" ht="66">
      <c r="A142" s="10">
        <v>5669</v>
      </c>
      <c r="B142" s="11" t="s">
        <v>743</v>
      </c>
      <c r="C142" s="10" t="s">
        <v>10</v>
      </c>
      <c r="D142" s="12" t="s">
        <v>848</v>
      </c>
      <c r="E142" s="10">
        <v>1800</v>
      </c>
      <c r="F142" s="10" t="s">
        <v>281</v>
      </c>
      <c r="G142" s="10" t="s">
        <v>85</v>
      </c>
      <c r="H142" s="10" t="s">
        <v>104</v>
      </c>
      <c r="I142" s="10" t="s">
        <v>11</v>
      </c>
      <c r="J142" s="13">
        <v>239.29500000000002</v>
      </c>
      <c r="K142" s="14"/>
    </row>
    <row r="143" spans="1:11" ht="66">
      <c r="A143" s="10">
        <v>5670</v>
      </c>
      <c r="B143" s="11" t="s">
        <v>744</v>
      </c>
      <c r="C143" s="10" t="s">
        <v>10</v>
      </c>
      <c r="D143" s="12" t="s">
        <v>848</v>
      </c>
      <c r="E143" s="12">
        <v>1800</v>
      </c>
      <c r="F143" s="10" t="s">
        <v>281</v>
      </c>
      <c r="G143" s="10" t="s">
        <v>85</v>
      </c>
      <c r="H143" s="10" t="s">
        <v>104</v>
      </c>
      <c r="I143" s="10" t="s">
        <v>11</v>
      </c>
      <c r="J143" s="13">
        <v>239.29500000000002</v>
      </c>
      <c r="K143" s="14"/>
    </row>
    <row r="144" spans="1:11" ht="66">
      <c r="A144" s="10">
        <v>5671</v>
      </c>
      <c r="B144" s="11" t="s">
        <v>745</v>
      </c>
      <c r="C144" s="10" t="s">
        <v>10</v>
      </c>
      <c r="D144" s="12" t="s">
        <v>848</v>
      </c>
      <c r="E144" s="10">
        <v>1800</v>
      </c>
      <c r="F144" s="10" t="s">
        <v>281</v>
      </c>
      <c r="G144" s="10" t="s">
        <v>85</v>
      </c>
      <c r="H144" s="10" t="s">
        <v>104</v>
      </c>
      <c r="I144" s="10" t="s">
        <v>11</v>
      </c>
      <c r="J144" s="13">
        <v>239.29500000000002</v>
      </c>
      <c r="K144" s="14"/>
    </row>
    <row r="145" spans="1:11" ht="66">
      <c r="A145" s="10">
        <v>5672</v>
      </c>
      <c r="B145" s="11" t="s">
        <v>746</v>
      </c>
      <c r="C145" s="10" t="s">
        <v>10</v>
      </c>
      <c r="D145" s="12" t="s">
        <v>758</v>
      </c>
      <c r="E145" s="12">
        <v>2100</v>
      </c>
      <c r="F145" s="10" t="s">
        <v>281</v>
      </c>
      <c r="G145" s="10" t="s">
        <v>85</v>
      </c>
      <c r="H145" s="10" t="s">
        <v>291</v>
      </c>
      <c r="I145" s="10" t="s">
        <v>11</v>
      </c>
      <c r="J145" s="13">
        <v>261.55500000000001</v>
      </c>
      <c r="K145" s="14"/>
    </row>
    <row r="146" spans="1:11" ht="66">
      <c r="A146" s="10">
        <v>5673</v>
      </c>
      <c r="B146" s="11" t="s">
        <v>747</v>
      </c>
      <c r="C146" s="10" t="s">
        <v>10</v>
      </c>
      <c r="D146" s="12" t="s">
        <v>758</v>
      </c>
      <c r="E146" s="10">
        <v>2100</v>
      </c>
      <c r="F146" s="10" t="s">
        <v>281</v>
      </c>
      <c r="G146" s="10" t="s">
        <v>85</v>
      </c>
      <c r="H146" s="10" t="s">
        <v>291</v>
      </c>
      <c r="I146" s="10" t="s">
        <v>11</v>
      </c>
      <c r="J146" s="13">
        <v>261.55500000000001</v>
      </c>
      <c r="K146" s="14"/>
    </row>
    <row r="147" spans="1:11" ht="66">
      <c r="A147" s="10">
        <v>5674</v>
      </c>
      <c r="B147" s="11" t="s">
        <v>748</v>
      </c>
      <c r="C147" s="10" t="s">
        <v>10</v>
      </c>
      <c r="D147" s="12" t="s">
        <v>758</v>
      </c>
      <c r="E147" s="12">
        <v>2100</v>
      </c>
      <c r="F147" s="10" t="s">
        <v>281</v>
      </c>
      <c r="G147" s="10" t="s">
        <v>85</v>
      </c>
      <c r="H147" s="10" t="s">
        <v>291</v>
      </c>
      <c r="I147" s="10" t="s">
        <v>11</v>
      </c>
      <c r="J147" s="13">
        <v>261.55500000000001</v>
      </c>
      <c r="K147" s="14"/>
    </row>
    <row r="148" spans="1:11" ht="66">
      <c r="A148" s="10">
        <v>5675</v>
      </c>
      <c r="B148" s="11" t="s">
        <v>749</v>
      </c>
      <c r="C148" s="10" t="s">
        <v>10</v>
      </c>
      <c r="D148" s="12" t="s">
        <v>758</v>
      </c>
      <c r="E148" s="10">
        <v>2100</v>
      </c>
      <c r="F148" s="10" t="s">
        <v>281</v>
      </c>
      <c r="G148" s="10" t="s">
        <v>85</v>
      </c>
      <c r="H148" s="10" t="s">
        <v>291</v>
      </c>
      <c r="I148" s="10" t="s">
        <v>11</v>
      </c>
      <c r="J148" s="13">
        <v>261.55500000000001</v>
      </c>
      <c r="K148" s="14"/>
    </row>
    <row r="149" spans="1:11" ht="66">
      <c r="A149" s="10">
        <v>5676</v>
      </c>
      <c r="B149" s="11" t="s">
        <v>750</v>
      </c>
      <c r="C149" s="10" t="s">
        <v>10</v>
      </c>
      <c r="D149" s="12" t="s">
        <v>758</v>
      </c>
      <c r="E149" s="12">
        <v>2100</v>
      </c>
      <c r="F149" s="10" t="s">
        <v>281</v>
      </c>
      <c r="G149" s="10" t="s">
        <v>85</v>
      </c>
      <c r="H149" s="10" t="s">
        <v>291</v>
      </c>
      <c r="I149" s="10" t="s">
        <v>11</v>
      </c>
      <c r="J149" s="13">
        <v>261.55500000000001</v>
      </c>
      <c r="K149" s="14"/>
    </row>
    <row r="150" spans="1:11" ht="66">
      <c r="A150" s="10">
        <v>5677</v>
      </c>
      <c r="B150" s="11" t="s">
        <v>751</v>
      </c>
      <c r="C150" s="10" t="s">
        <v>10</v>
      </c>
      <c r="D150" s="12" t="s">
        <v>758</v>
      </c>
      <c r="E150" s="10">
        <v>2025</v>
      </c>
      <c r="F150" s="10" t="s">
        <v>281</v>
      </c>
      <c r="G150" s="10" t="s">
        <v>85</v>
      </c>
      <c r="H150" s="10" t="s">
        <v>291</v>
      </c>
      <c r="I150" s="10" t="s">
        <v>11</v>
      </c>
      <c r="J150" s="13">
        <v>261.55500000000001</v>
      </c>
      <c r="K150" s="14"/>
    </row>
    <row r="151" spans="1:11" ht="66">
      <c r="A151" s="10">
        <v>5678</v>
      </c>
      <c r="B151" s="11" t="s">
        <v>752</v>
      </c>
      <c r="C151" s="10" t="s">
        <v>10</v>
      </c>
      <c r="D151" s="12" t="s">
        <v>849</v>
      </c>
      <c r="E151" s="12">
        <v>3150</v>
      </c>
      <c r="F151" s="10" t="s">
        <v>281</v>
      </c>
      <c r="G151" s="10" t="s">
        <v>85</v>
      </c>
      <c r="H151" s="10" t="s">
        <v>206</v>
      </c>
      <c r="I151" s="10" t="s">
        <v>11</v>
      </c>
      <c r="J151" s="13">
        <v>310.52699999999999</v>
      </c>
      <c r="K151" s="14"/>
    </row>
    <row r="152" spans="1:11" ht="66">
      <c r="A152" s="10">
        <v>5679</v>
      </c>
      <c r="B152" s="11" t="s">
        <v>753</v>
      </c>
      <c r="C152" s="10" t="s">
        <v>10</v>
      </c>
      <c r="D152" s="12" t="s">
        <v>849</v>
      </c>
      <c r="E152" s="10">
        <v>3150</v>
      </c>
      <c r="F152" s="10" t="s">
        <v>281</v>
      </c>
      <c r="G152" s="10" t="s">
        <v>85</v>
      </c>
      <c r="H152" s="10" t="s">
        <v>206</v>
      </c>
      <c r="I152" s="10" t="s">
        <v>11</v>
      </c>
      <c r="J152" s="13">
        <v>310.52699999999999</v>
      </c>
      <c r="K152" s="14"/>
    </row>
    <row r="153" spans="1:11" ht="66">
      <c r="A153" s="10">
        <v>5680</v>
      </c>
      <c r="B153" s="11" t="s">
        <v>754</v>
      </c>
      <c r="C153" s="10" t="s">
        <v>10</v>
      </c>
      <c r="D153" s="12" t="s">
        <v>849</v>
      </c>
      <c r="E153" s="12">
        <v>3150</v>
      </c>
      <c r="F153" s="10" t="s">
        <v>281</v>
      </c>
      <c r="G153" s="10" t="s">
        <v>85</v>
      </c>
      <c r="H153" s="10" t="s">
        <v>206</v>
      </c>
      <c r="I153" s="10" t="s">
        <v>11</v>
      </c>
      <c r="J153" s="13">
        <v>310.52699999999999</v>
      </c>
      <c r="K153" s="14"/>
    </row>
    <row r="154" spans="1:11" ht="66">
      <c r="A154" s="10">
        <v>5681</v>
      </c>
      <c r="B154" s="11" t="s">
        <v>755</v>
      </c>
      <c r="C154" s="10" t="s">
        <v>10</v>
      </c>
      <c r="D154" s="12" t="s">
        <v>849</v>
      </c>
      <c r="E154" s="10">
        <v>3150</v>
      </c>
      <c r="F154" s="10" t="s">
        <v>281</v>
      </c>
      <c r="G154" s="10" t="s">
        <v>85</v>
      </c>
      <c r="H154" s="10" t="s">
        <v>206</v>
      </c>
      <c r="I154" s="10" t="s">
        <v>11</v>
      </c>
      <c r="J154" s="13">
        <v>310.52699999999999</v>
      </c>
      <c r="K154" s="14"/>
    </row>
    <row r="155" spans="1:11" ht="66">
      <c r="A155" s="10">
        <v>5682</v>
      </c>
      <c r="B155" s="11" t="s">
        <v>756</v>
      </c>
      <c r="C155" s="10" t="s">
        <v>10</v>
      </c>
      <c r="D155" s="12" t="s">
        <v>849</v>
      </c>
      <c r="E155" s="12">
        <v>3150</v>
      </c>
      <c r="F155" s="10" t="s">
        <v>281</v>
      </c>
      <c r="G155" s="10" t="s">
        <v>85</v>
      </c>
      <c r="H155" s="10" t="s">
        <v>206</v>
      </c>
      <c r="I155" s="10" t="s">
        <v>11</v>
      </c>
      <c r="J155" s="13">
        <v>310.52699999999999</v>
      </c>
      <c r="K155" s="14"/>
    </row>
    <row r="156" spans="1:11" ht="66">
      <c r="A156" s="10">
        <v>5683</v>
      </c>
      <c r="B156" s="11" t="s">
        <v>757</v>
      </c>
      <c r="C156" s="10" t="s">
        <v>10</v>
      </c>
      <c r="D156" s="12" t="s">
        <v>849</v>
      </c>
      <c r="E156" s="10">
        <v>3150</v>
      </c>
      <c r="F156" s="10" t="s">
        <v>281</v>
      </c>
      <c r="G156" s="10" t="s">
        <v>85</v>
      </c>
      <c r="H156" s="10" t="s">
        <v>206</v>
      </c>
      <c r="I156" s="10" t="s">
        <v>11</v>
      </c>
      <c r="J156" s="13">
        <v>310.52699999999999</v>
      </c>
      <c r="K156" s="14"/>
    </row>
    <row r="157" spans="1:11" ht="66">
      <c r="A157" s="10">
        <v>5690</v>
      </c>
      <c r="B157" s="11" t="s">
        <v>773</v>
      </c>
      <c r="C157" s="10" t="s">
        <v>10</v>
      </c>
      <c r="D157" s="12" t="s">
        <v>758</v>
      </c>
      <c r="E157" s="12">
        <v>2100</v>
      </c>
      <c r="F157" s="10" t="s">
        <v>281</v>
      </c>
      <c r="G157" s="10" t="s">
        <v>85</v>
      </c>
      <c r="H157" s="10" t="s">
        <v>291</v>
      </c>
      <c r="I157" s="10" t="s">
        <v>91</v>
      </c>
      <c r="J157" s="13">
        <v>300.51</v>
      </c>
      <c r="K157" s="14"/>
    </row>
    <row r="158" spans="1:11" ht="66">
      <c r="A158" s="10">
        <v>5691</v>
      </c>
      <c r="B158" s="11" t="s">
        <v>774</v>
      </c>
      <c r="C158" s="10" t="s">
        <v>10</v>
      </c>
      <c r="D158" s="12" t="s">
        <v>758</v>
      </c>
      <c r="E158" s="10">
        <v>2100</v>
      </c>
      <c r="F158" s="10" t="s">
        <v>281</v>
      </c>
      <c r="G158" s="10" t="s">
        <v>85</v>
      </c>
      <c r="H158" s="10" t="s">
        <v>291</v>
      </c>
      <c r="I158" s="10" t="s">
        <v>91</v>
      </c>
      <c r="J158" s="13">
        <v>300.51</v>
      </c>
      <c r="K158" s="14"/>
    </row>
    <row r="159" spans="1:11" ht="66">
      <c r="A159" s="10">
        <v>5692</v>
      </c>
      <c r="B159" s="11" t="s">
        <v>798</v>
      </c>
      <c r="C159" s="10" t="s">
        <v>10</v>
      </c>
      <c r="D159" s="12" t="s">
        <v>758</v>
      </c>
      <c r="E159" s="12">
        <v>2100</v>
      </c>
      <c r="F159" s="10" t="s">
        <v>281</v>
      </c>
      <c r="G159" s="10" t="s">
        <v>85</v>
      </c>
      <c r="H159" s="10" t="s">
        <v>291</v>
      </c>
      <c r="I159" s="10" t="s">
        <v>91</v>
      </c>
      <c r="J159" s="13">
        <v>300.51</v>
      </c>
      <c r="K159" s="14"/>
    </row>
    <row r="160" spans="1:11" ht="66">
      <c r="A160" s="10">
        <v>5693</v>
      </c>
      <c r="B160" s="11" t="s">
        <v>775</v>
      </c>
      <c r="C160" s="10" t="s">
        <v>10</v>
      </c>
      <c r="D160" s="12" t="s">
        <v>758</v>
      </c>
      <c r="E160" s="10">
        <v>2100</v>
      </c>
      <c r="F160" s="10" t="s">
        <v>281</v>
      </c>
      <c r="G160" s="10" t="s">
        <v>85</v>
      </c>
      <c r="H160" s="10" t="s">
        <v>291</v>
      </c>
      <c r="I160" s="10" t="s">
        <v>91</v>
      </c>
      <c r="J160" s="13">
        <v>300.51</v>
      </c>
      <c r="K160" s="14"/>
    </row>
    <row r="161" spans="1:11" ht="66">
      <c r="A161" s="10">
        <v>5694</v>
      </c>
      <c r="B161" s="11" t="s">
        <v>776</v>
      </c>
      <c r="C161" s="10" t="s">
        <v>10</v>
      </c>
      <c r="D161" s="12" t="s">
        <v>758</v>
      </c>
      <c r="E161" s="12">
        <v>2100</v>
      </c>
      <c r="F161" s="10" t="s">
        <v>281</v>
      </c>
      <c r="G161" s="10" t="s">
        <v>85</v>
      </c>
      <c r="H161" s="10" t="s">
        <v>291</v>
      </c>
      <c r="I161" s="10" t="s">
        <v>91</v>
      </c>
      <c r="J161" s="13">
        <v>300.51</v>
      </c>
      <c r="K161" s="14"/>
    </row>
    <row r="162" spans="1:11" ht="66">
      <c r="A162" s="10">
        <v>5695</v>
      </c>
      <c r="B162" s="11" t="s">
        <v>777</v>
      </c>
      <c r="C162" s="10" t="s">
        <v>10</v>
      </c>
      <c r="D162" s="12" t="s">
        <v>758</v>
      </c>
      <c r="E162" s="10">
        <v>2100</v>
      </c>
      <c r="F162" s="10" t="s">
        <v>281</v>
      </c>
      <c r="G162" s="10" t="s">
        <v>85</v>
      </c>
      <c r="H162" s="10" t="s">
        <v>291</v>
      </c>
      <c r="I162" s="10" t="s">
        <v>91</v>
      </c>
      <c r="J162" s="13">
        <v>300.51</v>
      </c>
      <c r="K162" s="14"/>
    </row>
    <row r="163" spans="1:11" ht="88">
      <c r="A163" s="10">
        <v>5800</v>
      </c>
      <c r="B163" s="11" t="s">
        <v>140</v>
      </c>
      <c r="C163" s="10" t="s">
        <v>10</v>
      </c>
      <c r="D163" s="12" t="s">
        <v>134</v>
      </c>
      <c r="E163" s="10">
        <v>225</v>
      </c>
      <c r="F163" s="10" t="s">
        <v>96</v>
      </c>
      <c r="G163" s="10" t="s">
        <v>90</v>
      </c>
      <c r="H163" s="10" t="s">
        <v>266</v>
      </c>
      <c r="I163" s="10" t="s">
        <v>91</v>
      </c>
      <c r="J163" s="13">
        <v>132.447</v>
      </c>
      <c r="K163" s="14" t="s">
        <v>105</v>
      </c>
    </row>
    <row r="164" spans="1:11" ht="88">
      <c r="A164" s="10">
        <v>5801</v>
      </c>
      <c r="B164" s="11" t="s">
        <v>141</v>
      </c>
      <c r="C164" s="10" t="s">
        <v>10</v>
      </c>
      <c r="D164" s="12" t="s">
        <v>134</v>
      </c>
      <c r="E164" s="12">
        <v>225</v>
      </c>
      <c r="F164" s="10" t="s">
        <v>96</v>
      </c>
      <c r="G164" s="10" t="s">
        <v>90</v>
      </c>
      <c r="H164" s="10" t="s">
        <v>266</v>
      </c>
      <c r="I164" s="10" t="s">
        <v>91</v>
      </c>
      <c r="J164" s="13">
        <v>158.93639999999999</v>
      </c>
      <c r="K164" s="14" t="s">
        <v>105</v>
      </c>
    </row>
    <row r="165" spans="1:11" ht="88">
      <c r="A165" s="10">
        <v>5802</v>
      </c>
      <c r="B165" s="11" t="s">
        <v>882</v>
      </c>
      <c r="C165" s="10" t="s">
        <v>10</v>
      </c>
      <c r="D165" s="12" t="s">
        <v>134</v>
      </c>
      <c r="E165" s="10">
        <v>225</v>
      </c>
      <c r="F165" s="10" t="s">
        <v>96</v>
      </c>
      <c r="G165" s="10" t="s">
        <v>90</v>
      </c>
      <c r="H165" s="10" t="s">
        <v>266</v>
      </c>
      <c r="I165" s="10" t="s">
        <v>91</v>
      </c>
      <c r="J165" s="13">
        <v>158.93639999999999</v>
      </c>
      <c r="K165" s="14" t="s">
        <v>105</v>
      </c>
    </row>
    <row r="166" spans="1:11" ht="66">
      <c r="A166" s="10">
        <v>5823</v>
      </c>
      <c r="B166" s="11" t="s">
        <v>728</v>
      </c>
      <c r="C166" s="10" t="s">
        <v>10</v>
      </c>
      <c r="D166" s="12" t="s">
        <v>848</v>
      </c>
      <c r="E166" s="12">
        <v>1800</v>
      </c>
      <c r="F166" s="10" t="s">
        <v>266</v>
      </c>
      <c r="G166" s="10" t="s">
        <v>226</v>
      </c>
      <c r="H166" s="10" t="s">
        <v>104</v>
      </c>
      <c r="I166" s="10" t="s">
        <v>11</v>
      </c>
      <c r="J166" s="13">
        <v>199.227</v>
      </c>
      <c r="K166" s="14"/>
    </row>
    <row r="167" spans="1:11" ht="66">
      <c r="A167" s="10">
        <v>5824</v>
      </c>
      <c r="B167" s="11" t="s">
        <v>729</v>
      </c>
      <c r="C167" s="10" t="s">
        <v>10</v>
      </c>
      <c r="D167" s="12" t="s">
        <v>848</v>
      </c>
      <c r="E167" s="10">
        <v>1800</v>
      </c>
      <c r="F167" s="10" t="s">
        <v>266</v>
      </c>
      <c r="G167" s="10" t="s">
        <v>226</v>
      </c>
      <c r="H167" s="10" t="s">
        <v>104</v>
      </c>
      <c r="I167" s="10" t="s">
        <v>11</v>
      </c>
      <c r="J167" s="13">
        <v>199.227</v>
      </c>
      <c r="K167" s="14"/>
    </row>
    <row r="168" spans="1:11" ht="66">
      <c r="A168" s="10">
        <v>5825</v>
      </c>
      <c r="B168" s="11" t="s">
        <v>730</v>
      </c>
      <c r="C168" s="10" t="s">
        <v>10</v>
      </c>
      <c r="D168" s="12" t="s">
        <v>848</v>
      </c>
      <c r="E168" s="12">
        <v>1800</v>
      </c>
      <c r="F168" s="10" t="s">
        <v>266</v>
      </c>
      <c r="G168" s="10" t="s">
        <v>226</v>
      </c>
      <c r="H168" s="10" t="s">
        <v>104</v>
      </c>
      <c r="I168" s="10" t="s">
        <v>11</v>
      </c>
      <c r="J168" s="13">
        <v>199.227</v>
      </c>
      <c r="K168" s="14"/>
    </row>
    <row r="169" spans="1:11" ht="66">
      <c r="A169" s="10">
        <v>5826</v>
      </c>
      <c r="B169" s="11" t="s">
        <v>731</v>
      </c>
      <c r="C169" s="10" t="s">
        <v>10</v>
      </c>
      <c r="D169" s="12" t="s">
        <v>848</v>
      </c>
      <c r="E169" s="10">
        <v>1800</v>
      </c>
      <c r="F169" s="10" t="s">
        <v>266</v>
      </c>
      <c r="G169" s="10" t="s">
        <v>226</v>
      </c>
      <c r="H169" s="10" t="s">
        <v>104</v>
      </c>
      <c r="I169" s="10" t="s">
        <v>11</v>
      </c>
      <c r="J169" s="13">
        <v>199.227</v>
      </c>
      <c r="K169" s="14"/>
    </row>
    <row r="170" spans="1:11" ht="66">
      <c r="A170" s="10">
        <v>5827</v>
      </c>
      <c r="B170" s="11" t="s">
        <v>732</v>
      </c>
      <c r="C170" s="10" t="s">
        <v>10</v>
      </c>
      <c r="D170" s="12" t="s">
        <v>758</v>
      </c>
      <c r="E170" s="12">
        <v>2100</v>
      </c>
      <c r="F170" s="10" t="s">
        <v>266</v>
      </c>
      <c r="G170" s="10" t="s">
        <v>226</v>
      </c>
      <c r="H170" s="10" t="s">
        <v>841</v>
      </c>
      <c r="I170" s="10" t="s">
        <v>11</v>
      </c>
      <c r="J170" s="13">
        <v>210.357</v>
      </c>
      <c r="K170" s="14"/>
    </row>
    <row r="171" spans="1:11" ht="66">
      <c r="A171" s="10">
        <v>5828</v>
      </c>
      <c r="B171" s="11" t="s">
        <v>733</v>
      </c>
      <c r="C171" s="10" t="s">
        <v>10</v>
      </c>
      <c r="D171" s="12" t="s">
        <v>758</v>
      </c>
      <c r="E171" s="10">
        <v>2100</v>
      </c>
      <c r="F171" s="10" t="s">
        <v>266</v>
      </c>
      <c r="G171" s="10" t="s">
        <v>226</v>
      </c>
      <c r="H171" s="10" t="s">
        <v>841</v>
      </c>
      <c r="I171" s="10" t="s">
        <v>11</v>
      </c>
      <c r="J171" s="13">
        <v>210.357</v>
      </c>
      <c r="K171" s="14"/>
    </row>
    <row r="172" spans="1:11" ht="66">
      <c r="A172" s="10">
        <v>5829</v>
      </c>
      <c r="B172" s="11" t="s">
        <v>734</v>
      </c>
      <c r="C172" s="10" t="s">
        <v>10</v>
      </c>
      <c r="D172" s="12" t="s">
        <v>758</v>
      </c>
      <c r="E172" s="12">
        <v>2100</v>
      </c>
      <c r="F172" s="10" t="s">
        <v>266</v>
      </c>
      <c r="G172" s="10" t="s">
        <v>226</v>
      </c>
      <c r="H172" s="10" t="s">
        <v>841</v>
      </c>
      <c r="I172" s="10" t="s">
        <v>11</v>
      </c>
      <c r="J172" s="13">
        <v>210.357</v>
      </c>
      <c r="K172" s="14"/>
    </row>
    <row r="173" spans="1:11" ht="66">
      <c r="A173" s="10">
        <v>5830</v>
      </c>
      <c r="B173" s="11" t="s">
        <v>735</v>
      </c>
      <c r="C173" s="10" t="s">
        <v>10</v>
      </c>
      <c r="D173" s="12" t="s">
        <v>758</v>
      </c>
      <c r="E173" s="10">
        <v>2100</v>
      </c>
      <c r="F173" s="10" t="s">
        <v>266</v>
      </c>
      <c r="G173" s="10" t="s">
        <v>226</v>
      </c>
      <c r="H173" s="10" t="s">
        <v>841</v>
      </c>
      <c r="I173" s="10" t="s">
        <v>11</v>
      </c>
      <c r="J173" s="13">
        <v>210.357</v>
      </c>
      <c r="K173" s="14"/>
    </row>
    <row r="174" spans="1:11" ht="66">
      <c r="A174" s="10">
        <v>5831</v>
      </c>
      <c r="B174" s="11" t="s">
        <v>736</v>
      </c>
      <c r="C174" s="10" t="s">
        <v>10</v>
      </c>
      <c r="D174" s="12" t="s">
        <v>849</v>
      </c>
      <c r="E174" s="12">
        <v>3150</v>
      </c>
      <c r="F174" s="10" t="s">
        <v>266</v>
      </c>
      <c r="G174" s="10" t="s">
        <v>226</v>
      </c>
      <c r="H174" s="10" t="s">
        <v>206</v>
      </c>
      <c r="I174" s="10" t="s">
        <v>11</v>
      </c>
      <c r="J174" s="13">
        <v>245.97300000000001</v>
      </c>
      <c r="K174" s="14"/>
    </row>
    <row r="175" spans="1:11" ht="66">
      <c r="A175" s="10">
        <v>5832</v>
      </c>
      <c r="B175" s="11" t="s">
        <v>737</v>
      </c>
      <c r="C175" s="10" t="s">
        <v>10</v>
      </c>
      <c r="D175" s="12" t="s">
        <v>849</v>
      </c>
      <c r="E175" s="10">
        <v>3150</v>
      </c>
      <c r="F175" s="10" t="s">
        <v>266</v>
      </c>
      <c r="G175" s="10" t="s">
        <v>226</v>
      </c>
      <c r="H175" s="10" t="s">
        <v>206</v>
      </c>
      <c r="I175" s="10" t="s">
        <v>11</v>
      </c>
      <c r="J175" s="13">
        <v>245.97300000000001</v>
      </c>
      <c r="K175" s="14"/>
    </row>
    <row r="176" spans="1:11" ht="66">
      <c r="A176" s="10">
        <v>5833</v>
      </c>
      <c r="B176" s="11" t="s">
        <v>738</v>
      </c>
      <c r="C176" s="10" t="s">
        <v>10</v>
      </c>
      <c r="D176" s="12" t="s">
        <v>849</v>
      </c>
      <c r="E176" s="12">
        <v>3150</v>
      </c>
      <c r="F176" s="10" t="s">
        <v>266</v>
      </c>
      <c r="G176" s="10" t="s">
        <v>226</v>
      </c>
      <c r="H176" s="10" t="s">
        <v>206</v>
      </c>
      <c r="I176" s="10" t="s">
        <v>11</v>
      </c>
      <c r="J176" s="13">
        <v>245.97300000000001</v>
      </c>
      <c r="K176" s="14"/>
    </row>
    <row r="177" spans="1:11" ht="66">
      <c r="A177" s="10">
        <v>5834</v>
      </c>
      <c r="B177" s="11" t="s">
        <v>739</v>
      </c>
      <c r="C177" s="10" t="s">
        <v>10</v>
      </c>
      <c r="D177" s="12" t="s">
        <v>849</v>
      </c>
      <c r="E177" s="10">
        <v>3150</v>
      </c>
      <c r="F177" s="10" t="s">
        <v>266</v>
      </c>
      <c r="G177" s="10" t="s">
        <v>226</v>
      </c>
      <c r="H177" s="10" t="s">
        <v>206</v>
      </c>
      <c r="I177" s="10" t="s">
        <v>11</v>
      </c>
      <c r="J177" s="13">
        <v>245.97300000000001</v>
      </c>
      <c r="K177" s="14"/>
    </row>
    <row r="178" spans="1:11" ht="44">
      <c r="A178" s="10">
        <v>5839</v>
      </c>
      <c r="B178" s="11" t="s">
        <v>151</v>
      </c>
      <c r="C178" s="10" t="s">
        <v>10</v>
      </c>
      <c r="D178" s="12" t="s">
        <v>845</v>
      </c>
      <c r="E178" s="12">
        <v>1575</v>
      </c>
      <c r="F178" s="10" t="s">
        <v>266</v>
      </c>
      <c r="G178" s="10" t="s">
        <v>13</v>
      </c>
      <c r="H178" s="10" t="s">
        <v>13</v>
      </c>
      <c r="I178" s="10" t="s">
        <v>11</v>
      </c>
      <c r="J178" s="13">
        <v>221.48699999999999</v>
      </c>
      <c r="K178" s="14" t="s">
        <v>760</v>
      </c>
    </row>
    <row r="179" spans="1:11" ht="44">
      <c r="A179" s="10">
        <v>5843</v>
      </c>
      <c r="B179" s="11" t="s">
        <v>153</v>
      </c>
      <c r="C179" s="10" t="s">
        <v>10</v>
      </c>
      <c r="D179" s="12" t="s">
        <v>765</v>
      </c>
      <c r="E179" s="12">
        <v>2400</v>
      </c>
      <c r="F179" s="10" t="s">
        <v>266</v>
      </c>
      <c r="G179" s="10" t="s">
        <v>96</v>
      </c>
      <c r="H179" s="10" t="s">
        <v>96</v>
      </c>
      <c r="I179" s="10" t="s">
        <v>11</v>
      </c>
      <c r="J179" s="13">
        <v>324.99600000000004</v>
      </c>
      <c r="K179" s="14" t="s">
        <v>760</v>
      </c>
    </row>
    <row r="180" spans="1:11" ht="66">
      <c r="A180" s="10">
        <v>5855</v>
      </c>
      <c r="B180" s="11" t="s">
        <v>781</v>
      </c>
      <c r="C180" s="10" t="s">
        <v>10</v>
      </c>
      <c r="D180" s="12" t="s">
        <v>860</v>
      </c>
      <c r="E180" s="12">
        <v>2080</v>
      </c>
      <c r="F180" s="10" t="s">
        <v>103</v>
      </c>
      <c r="G180" s="10" t="s">
        <v>95</v>
      </c>
      <c r="H180" s="10" t="s">
        <v>95</v>
      </c>
      <c r="I180" s="10" t="s">
        <v>11</v>
      </c>
      <c r="J180" s="13">
        <v>143.577</v>
      </c>
      <c r="K180" s="14" t="s">
        <v>163</v>
      </c>
    </row>
    <row r="181" spans="1:11" ht="66">
      <c r="A181" s="10">
        <v>5856</v>
      </c>
      <c r="B181" s="11" t="s">
        <v>782</v>
      </c>
      <c r="C181" s="10" t="s">
        <v>10</v>
      </c>
      <c r="D181" s="12" t="s">
        <v>860</v>
      </c>
      <c r="E181" s="10">
        <v>2080</v>
      </c>
      <c r="F181" s="10" t="s">
        <v>103</v>
      </c>
      <c r="G181" s="10" t="s">
        <v>95</v>
      </c>
      <c r="H181" s="10" t="s">
        <v>95</v>
      </c>
      <c r="I181" s="10" t="s">
        <v>11</v>
      </c>
      <c r="J181" s="13">
        <v>143.577</v>
      </c>
      <c r="K181" s="14" t="s">
        <v>163</v>
      </c>
    </row>
    <row r="182" spans="1:11" ht="66">
      <c r="A182" s="10">
        <v>5857</v>
      </c>
      <c r="B182" s="11" t="s">
        <v>783</v>
      </c>
      <c r="C182" s="10" t="s">
        <v>10</v>
      </c>
      <c r="D182" s="12" t="s">
        <v>860</v>
      </c>
      <c r="E182" s="12">
        <v>2080</v>
      </c>
      <c r="F182" s="10" t="s">
        <v>103</v>
      </c>
      <c r="G182" s="10" t="s">
        <v>95</v>
      </c>
      <c r="H182" s="10" t="s">
        <v>95</v>
      </c>
      <c r="I182" s="10" t="s">
        <v>11</v>
      </c>
      <c r="J182" s="13">
        <v>143.577</v>
      </c>
      <c r="K182" s="14" t="s">
        <v>163</v>
      </c>
    </row>
    <row r="183" spans="1:11" ht="88">
      <c r="A183" s="10">
        <v>5874</v>
      </c>
      <c r="B183" s="11" t="s">
        <v>155</v>
      </c>
      <c r="C183" s="10" t="s">
        <v>10</v>
      </c>
      <c r="D183" s="12" t="s">
        <v>846</v>
      </c>
      <c r="E183" s="12">
        <v>1950</v>
      </c>
      <c r="F183" s="10" t="s">
        <v>266</v>
      </c>
      <c r="G183" s="10" t="s">
        <v>13</v>
      </c>
      <c r="H183" s="10" t="s">
        <v>13</v>
      </c>
      <c r="I183" s="10" t="s">
        <v>11</v>
      </c>
      <c r="J183" s="13">
        <v>270.459</v>
      </c>
      <c r="K183" s="14" t="s">
        <v>760</v>
      </c>
    </row>
    <row r="184" spans="1:11" ht="88">
      <c r="A184" s="10">
        <v>5875</v>
      </c>
      <c r="B184" s="11" t="s">
        <v>156</v>
      </c>
      <c r="C184" s="10" t="s">
        <v>10</v>
      </c>
      <c r="D184" s="12" t="s">
        <v>846</v>
      </c>
      <c r="E184" s="12">
        <v>1950</v>
      </c>
      <c r="F184" s="10" t="s">
        <v>266</v>
      </c>
      <c r="G184" s="10" t="s">
        <v>13</v>
      </c>
      <c r="H184" s="10" t="s">
        <v>13</v>
      </c>
      <c r="I184" s="10" t="s">
        <v>11</v>
      </c>
      <c r="J184" s="13">
        <v>270.459</v>
      </c>
      <c r="K184" s="14" t="s">
        <v>760</v>
      </c>
    </row>
    <row r="185" spans="1:11" ht="88">
      <c r="A185" s="10">
        <v>5878</v>
      </c>
      <c r="B185" s="11" t="s">
        <v>157</v>
      </c>
      <c r="C185" s="10" t="s">
        <v>10</v>
      </c>
      <c r="D185" s="12" t="s">
        <v>869</v>
      </c>
      <c r="E185" s="12">
        <v>3000</v>
      </c>
      <c r="F185" s="10" t="s">
        <v>266</v>
      </c>
      <c r="G185" s="10" t="s">
        <v>96</v>
      </c>
      <c r="H185" s="10" t="s">
        <v>12</v>
      </c>
      <c r="I185" s="10" t="s">
        <v>11</v>
      </c>
      <c r="J185" s="13">
        <v>388.43700000000001</v>
      </c>
      <c r="K185" s="14" t="s">
        <v>760</v>
      </c>
    </row>
    <row r="186" spans="1:11" ht="88">
      <c r="A186" s="10">
        <v>5879</v>
      </c>
      <c r="B186" s="11" t="s">
        <v>158</v>
      </c>
      <c r="C186" s="10" t="s">
        <v>10</v>
      </c>
      <c r="D186" s="12" t="s">
        <v>869</v>
      </c>
      <c r="E186" s="10">
        <v>3000</v>
      </c>
      <c r="F186" s="10" t="s">
        <v>266</v>
      </c>
      <c r="G186" s="10" t="s">
        <v>96</v>
      </c>
      <c r="H186" s="10" t="s">
        <v>12</v>
      </c>
      <c r="I186" s="10" t="s">
        <v>11</v>
      </c>
      <c r="J186" s="13">
        <v>388.43700000000001</v>
      </c>
      <c r="K186" s="14" t="s">
        <v>760</v>
      </c>
    </row>
    <row r="187" spans="1:11" ht="44">
      <c r="A187" s="10">
        <v>5895</v>
      </c>
      <c r="B187" s="11" t="s">
        <v>159</v>
      </c>
      <c r="C187" s="10" t="s">
        <v>10</v>
      </c>
      <c r="D187" s="12" t="s">
        <v>772</v>
      </c>
      <c r="E187" s="12">
        <v>900</v>
      </c>
      <c r="F187" s="10" t="s">
        <v>347</v>
      </c>
      <c r="G187" s="10" t="s">
        <v>289</v>
      </c>
      <c r="H187" s="10" t="s">
        <v>289</v>
      </c>
      <c r="I187" s="10" t="s">
        <v>91</v>
      </c>
      <c r="J187" s="13">
        <v>165.83699999999999</v>
      </c>
      <c r="K187" s="14"/>
    </row>
    <row r="188" spans="1:11" ht="44">
      <c r="A188" s="10">
        <v>5896</v>
      </c>
      <c r="B188" s="11" t="s">
        <v>160</v>
      </c>
      <c r="C188" s="10" t="s">
        <v>10</v>
      </c>
      <c r="D188" s="12" t="s">
        <v>772</v>
      </c>
      <c r="E188" s="10">
        <v>900</v>
      </c>
      <c r="F188" s="10" t="s">
        <v>347</v>
      </c>
      <c r="G188" s="10" t="s">
        <v>289</v>
      </c>
      <c r="H188" s="10" t="s">
        <v>289</v>
      </c>
      <c r="I188" s="10" t="s">
        <v>91</v>
      </c>
      <c r="J188" s="13">
        <v>165.83699999999999</v>
      </c>
      <c r="K188" s="14"/>
    </row>
    <row r="189" spans="1:11" ht="44">
      <c r="A189" s="10">
        <v>5897</v>
      </c>
      <c r="B189" s="11" t="s">
        <v>161</v>
      </c>
      <c r="C189" s="10" t="s">
        <v>10</v>
      </c>
      <c r="D189" s="12" t="s">
        <v>772</v>
      </c>
      <c r="E189" s="12">
        <v>900</v>
      </c>
      <c r="F189" s="10" t="s">
        <v>347</v>
      </c>
      <c r="G189" s="10" t="s">
        <v>289</v>
      </c>
      <c r="H189" s="10" t="s">
        <v>289</v>
      </c>
      <c r="I189" s="10" t="s">
        <v>91</v>
      </c>
      <c r="J189" s="13">
        <v>165.83699999999999</v>
      </c>
      <c r="K189" s="14"/>
    </row>
    <row r="190" spans="1:11" ht="44">
      <c r="A190" s="10">
        <v>5901</v>
      </c>
      <c r="B190" s="11" t="s">
        <v>162</v>
      </c>
      <c r="C190" s="10" t="s">
        <v>10</v>
      </c>
      <c r="D190" s="12" t="s">
        <v>772</v>
      </c>
      <c r="E190" s="12">
        <v>900</v>
      </c>
      <c r="F190" s="10" t="s">
        <v>347</v>
      </c>
      <c r="G190" s="10" t="s">
        <v>289</v>
      </c>
      <c r="H190" s="10" t="s">
        <v>289</v>
      </c>
      <c r="I190" s="10" t="s">
        <v>91</v>
      </c>
      <c r="J190" s="13">
        <v>165.83699999999999</v>
      </c>
      <c r="K190" s="14"/>
    </row>
    <row r="191" spans="1:11" ht="44">
      <c r="A191" s="10">
        <v>5910</v>
      </c>
      <c r="B191" s="11" t="s">
        <v>146</v>
      </c>
      <c r="C191" s="10" t="s">
        <v>10</v>
      </c>
      <c r="D191" s="12" t="s">
        <v>771</v>
      </c>
      <c r="E191" s="10">
        <v>900</v>
      </c>
      <c r="F191" s="10" t="s">
        <v>229</v>
      </c>
      <c r="G191" s="10" t="s">
        <v>270</v>
      </c>
      <c r="H191" s="10" t="s">
        <v>270</v>
      </c>
      <c r="I191" s="10" t="s">
        <v>91</v>
      </c>
      <c r="J191" s="13">
        <v>132.447</v>
      </c>
      <c r="K191" s="14"/>
    </row>
    <row r="192" spans="1:11" ht="44">
      <c r="A192" s="10">
        <v>5911</v>
      </c>
      <c r="B192" s="11" t="s">
        <v>147</v>
      </c>
      <c r="C192" s="10" t="s">
        <v>10</v>
      </c>
      <c r="D192" s="12" t="s">
        <v>771</v>
      </c>
      <c r="E192" s="12">
        <v>900</v>
      </c>
      <c r="F192" s="10" t="s">
        <v>229</v>
      </c>
      <c r="G192" s="10" t="s">
        <v>270</v>
      </c>
      <c r="H192" s="10" t="s">
        <v>270</v>
      </c>
      <c r="I192" s="10" t="s">
        <v>91</v>
      </c>
      <c r="J192" s="13">
        <v>132.447</v>
      </c>
      <c r="K192" s="14"/>
    </row>
    <row r="193" spans="1:11" ht="44">
      <c r="A193" s="10">
        <v>5929</v>
      </c>
      <c r="B193" s="11" t="s">
        <v>148</v>
      </c>
      <c r="C193" s="10" t="s">
        <v>10</v>
      </c>
      <c r="D193" s="12" t="s">
        <v>771</v>
      </c>
      <c r="E193" s="10">
        <v>900</v>
      </c>
      <c r="F193" s="10" t="s">
        <v>415</v>
      </c>
      <c r="G193" s="10" t="s">
        <v>270</v>
      </c>
      <c r="H193" s="10" t="s">
        <v>84</v>
      </c>
      <c r="I193" s="10" t="s">
        <v>1407</v>
      </c>
      <c r="J193" s="13">
        <v>132.447</v>
      </c>
      <c r="K193" s="14"/>
    </row>
    <row r="194" spans="1:11" ht="44">
      <c r="A194" s="10">
        <v>5930</v>
      </c>
      <c r="B194" s="11" t="s">
        <v>149</v>
      </c>
      <c r="C194" s="10" t="s">
        <v>10</v>
      </c>
      <c r="D194" s="12" t="s">
        <v>771</v>
      </c>
      <c r="E194" s="12">
        <v>900</v>
      </c>
      <c r="F194" s="10" t="s">
        <v>415</v>
      </c>
      <c r="G194" s="10" t="s">
        <v>270</v>
      </c>
      <c r="H194" s="10" t="s">
        <v>84</v>
      </c>
      <c r="I194" s="10" t="s">
        <v>1407</v>
      </c>
      <c r="J194" s="13">
        <v>132.447</v>
      </c>
      <c r="K194" s="14"/>
    </row>
    <row r="195" spans="1:11" ht="44">
      <c r="A195" s="10">
        <v>5931</v>
      </c>
      <c r="B195" s="11" t="s">
        <v>150</v>
      </c>
      <c r="C195" s="10" t="s">
        <v>10</v>
      </c>
      <c r="D195" s="12" t="s">
        <v>771</v>
      </c>
      <c r="E195" s="10">
        <v>900</v>
      </c>
      <c r="F195" s="10" t="s">
        <v>415</v>
      </c>
      <c r="G195" s="10" t="s">
        <v>270</v>
      </c>
      <c r="H195" s="10" t="s">
        <v>84</v>
      </c>
      <c r="I195" s="10" t="s">
        <v>1407</v>
      </c>
      <c r="J195" s="13">
        <v>132.447</v>
      </c>
      <c r="K195" s="14"/>
    </row>
    <row r="196" spans="1:11" ht="22">
      <c r="A196" s="10">
        <v>5939</v>
      </c>
      <c r="B196" s="11" t="s">
        <v>170</v>
      </c>
      <c r="C196" s="10" t="s">
        <v>10</v>
      </c>
      <c r="D196" s="12" t="s">
        <v>780</v>
      </c>
      <c r="E196" s="12">
        <v>150</v>
      </c>
      <c r="F196" s="10" t="s">
        <v>270</v>
      </c>
      <c r="G196" s="10" t="s">
        <v>266</v>
      </c>
      <c r="H196" s="10" t="s">
        <v>266</v>
      </c>
      <c r="I196" s="10" t="s">
        <v>91</v>
      </c>
      <c r="J196" s="13">
        <v>110.18700000000001</v>
      </c>
      <c r="K196" s="14"/>
    </row>
    <row r="197" spans="1:11" ht="22">
      <c r="A197" s="10">
        <v>5940</v>
      </c>
      <c r="B197" s="11" t="s">
        <v>171</v>
      </c>
      <c r="C197" s="10" t="s">
        <v>10</v>
      </c>
      <c r="D197" s="12" t="s">
        <v>780</v>
      </c>
      <c r="E197" s="10">
        <v>150</v>
      </c>
      <c r="F197" s="10" t="s">
        <v>270</v>
      </c>
      <c r="G197" s="10" t="s">
        <v>266</v>
      </c>
      <c r="H197" s="10" t="s">
        <v>266</v>
      </c>
      <c r="I197" s="10" t="s">
        <v>91</v>
      </c>
      <c r="J197" s="13">
        <v>110.18700000000001</v>
      </c>
      <c r="K197" s="14"/>
    </row>
    <row r="198" spans="1:11" ht="22">
      <c r="A198" s="10">
        <v>5941</v>
      </c>
      <c r="B198" s="11" t="s">
        <v>172</v>
      </c>
      <c r="C198" s="10" t="s">
        <v>10</v>
      </c>
      <c r="D198" s="12" t="s">
        <v>780</v>
      </c>
      <c r="E198" s="12">
        <v>150</v>
      </c>
      <c r="F198" s="10" t="s">
        <v>270</v>
      </c>
      <c r="G198" s="10" t="s">
        <v>266</v>
      </c>
      <c r="H198" s="10" t="s">
        <v>266</v>
      </c>
      <c r="I198" s="10" t="s">
        <v>91</v>
      </c>
      <c r="J198" s="13">
        <v>110.18700000000001</v>
      </c>
      <c r="K198" s="14"/>
    </row>
    <row r="199" spans="1:11" ht="22">
      <c r="A199" s="10">
        <v>5943</v>
      </c>
      <c r="B199" s="11" t="s">
        <v>173</v>
      </c>
      <c r="C199" s="10" t="s">
        <v>10</v>
      </c>
      <c r="D199" s="12" t="s">
        <v>780</v>
      </c>
      <c r="E199" s="12">
        <v>150</v>
      </c>
      <c r="F199" s="10" t="s">
        <v>96</v>
      </c>
      <c r="G199" s="10" t="s">
        <v>266</v>
      </c>
      <c r="H199" s="10" t="s">
        <v>266</v>
      </c>
      <c r="I199" s="10" t="s">
        <v>91</v>
      </c>
      <c r="J199" s="13">
        <v>121.31700000000001</v>
      </c>
      <c r="K199" s="14"/>
    </row>
    <row r="200" spans="1:11" ht="22">
      <c r="A200" s="10">
        <v>5944</v>
      </c>
      <c r="B200" s="11" t="s">
        <v>174</v>
      </c>
      <c r="C200" s="10" t="s">
        <v>10</v>
      </c>
      <c r="D200" s="12" t="s">
        <v>780</v>
      </c>
      <c r="E200" s="10">
        <v>150</v>
      </c>
      <c r="F200" s="10" t="s">
        <v>96</v>
      </c>
      <c r="G200" s="10" t="s">
        <v>266</v>
      </c>
      <c r="H200" s="10" t="s">
        <v>266</v>
      </c>
      <c r="I200" s="10" t="s">
        <v>91</v>
      </c>
      <c r="J200" s="13">
        <v>121.31700000000001</v>
      </c>
      <c r="K200" s="14"/>
    </row>
    <row r="201" spans="1:11" ht="22">
      <c r="A201" s="10">
        <v>5945</v>
      </c>
      <c r="B201" s="11" t="s">
        <v>175</v>
      </c>
      <c r="C201" s="10" t="s">
        <v>10</v>
      </c>
      <c r="D201" s="12" t="s">
        <v>780</v>
      </c>
      <c r="E201" s="12">
        <v>150</v>
      </c>
      <c r="F201" s="10" t="s">
        <v>96</v>
      </c>
      <c r="G201" s="10" t="s">
        <v>266</v>
      </c>
      <c r="H201" s="10" t="s">
        <v>266</v>
      </c>
      <c r="I201" s="10" t="s">
        <v>91</v>
      </c>
      <c r="J201" s="13">
        <v>121.31700000000001</v>
      </c>
      <c r="K201" s="14"/>
    </row>
    <row r="202" spans="1:11" ht="22">
      <c r="A202" s="10">
        <v>5955</v>
      </c>
      <c r="B202" s="11" t="s">
        <v>176</v>
      </c>
      <c r="C202" s="10" t="s">
        <v>10</v>
      </c>
      <c r="D202" s="12" t="s">
        <v>780</v>
      </c>
      <c r="E202" s="12">
        <v>150</v>
      </c>
      <c r="F202" s="10" t="s">
        <v>301</v>
      </c>
      <c r="G202" s="10" t="s">
        <v>266</v>
      </c>
      <c r="H202" s="10" t="s">
        <v>266</v>
      </c>
      <c r="I202" s="10" t="s">
        <v>11</v>
      </c>
      <c r="J202" s="13">
        <v>110.18700000000001</v>
      </c>
      <c r="K202" s="14"/>
    </row>
    <row r="203" spans="1:11" ht="22">
      <c r="A203" s="10">
        <v>5956</v>
      </c>
      <c r="B203" s="11" t="s">
        <v>177</v>
      </c>
      <c r="C203" s="10" t="s">
        <v>10</v>
      </c>
      <c r="D203" s="12" t="s">
        <v>780</v>
      </c>
      <c r="E203" s="10">
        <v>150</v>
      </c>
      <c r="F203" s="10" t="s">
        <v>301</v>
      </c>
      <c r="G203" s="10" t="s">
        <v>266</v>
      </c>
      <c r="H203" s="10" t="s">
        <v>266</v>
      </c>
      <c r="I203" s="10" t="s">
        <v>11</v>
      </c>
      <c r="J203" s="13">
        <v>110.18700000000001</v>
      </c>
      <c r="K203" s="14"/>
    </row>
    <row r="204" spans="1:11" ht="22">
      <c r="A204" s="10">
        <v>5957</v>
      </c>
      <c r="B204" s="11" t="s">
        <v>178</v>
      </c>
      <c r="C204" s="10" t="s">
        <v>10</v>
      </c>
      <c r="D204" s="12" t="s">
        <v>780</v>
      </c>
      <c r="E204" s="12">
        <v>150</v>
      </c>
      <c r="F204" s="10" t="s">
        <v>301</v>
      </c>
      <c r="G204" s="10" t="s">
        <v>266</v>
      </c>
      <c r="H204" s="10" t="s">
        <v>266</v>
      </c>
      <c r="I204" s="10" t="s">
        <v>11</v>
      </c>
      <c r="J204" s="13">
        <v>110.18700000000001</v>
      </c>
      <c r="K204" s="14"/>
    </row>
    <row r="205" spans="1:11" ht="22">
      <c r="A205" s="10">
        <v>5959</v>
      </c>
      <c r="B205" s="11" t="s">
        <v>179</v>
      </c>
      <c r="C205" s="10" t="s">
        <v>10</v>
      </c>
      <c r="D205" s="12" t="s">
        <v>780</v>
      </c>
      <c r="E205" s="12">
        <v>150</v>
      </c>
      <c r="F205" s="10" t="s">
        <v>270</v>
      </c>
      <c r="G205" s="10" t="s">
        <v>266</v>
      </c>
      <c r="H205" s="10" t="s">
        <v>266</v>
      </c>
      <c r="I205" s="10" t="s">
        <v>11</v>
      </c>
      <c r="J205" s="13">
        <v>121.31700000000001</v>
      </c>
      <c r="K205" s="14"/>
    </row>
    <row r="206" spans="1:11" ht="22">
      <c r="A206" s="10">
        <v>5960</v>
      </c>
      <c r="B206" s="11" t="s">
        <v>180</v>
      </c>
      <c r="C206" s="10" t="s">
        <v>10</v>
      </c>
      <c r="D206" s="12" t="s">
        <v>780</v>
      </c>
      <c r="E206" s="10">
        <v>150</v>
      </c>
      <c r="F206" s="10" t="s">
        <v>270</v>
      </c>
      <c r="G206" s="10" t="s">
        <v>266</v>
      </c>
      <c r="H206" s="10" t="s">
        <v>266</v>
      </c>
      <c r="I206" s="10" t="s">
        <v>11</v>
      </c>
      <c r="J206" s="13">
        <v>121.31700000000001</v>
      </c>
      <c r="K206" s="14"/>
    </row>
    <row r="207" spans="1:11" ht="22">
      <c r="A207" s="10">
        <v>5961</v>
      </c>
      <c r="B207" s="11" t="s">
        <v>181</v>
      </c>
      <c r="C207" s="10" t="s">
        <v>10</v>
      </c>
      <c r="D207" s="12" t="s">
        <v>780</v>
      </c>
      <c r="E207" s="12">
        <v>150</v>
      </c>
      <c r="F207" s="10" t="s">
        <v>270</v>
      </c>
      <c r="G207" s="10" t="s">
        <v>266</v>
      </c>
      <c r="H207" s="10" t="s">
        <v>266</v>
      </c>
      <c r="I207" s="10" t="s">
        <v>11</v>
      </c>
      <c r="J207" s="13">
        <v>121.31700000000001</v>
      </c>
      <c r="K207" s="14"/>
    </row>
    <row r="208" spans="1:11" ht="22">
      <c r="A208" s="10">
        <v>5971</v>
      </c>
      <c r="B208" s="11" t="s">
        <v>854</v>
      </c>
      <c r="C208" s="10" t="s">
        <v>10</v>
      </c>
      <c r="D208" s="12" t="s">
        <v>780</v>
      </c>
      <c r="E208" s="12">
        <v>150</v>
      </c>
      <c r="F208" s="10" t="s">
        <v>222</v>
      </c>
      <c r="G208" s="10" t="s">
        <v>266</v>
      </c>
      <c r="H208" s="10" t="s">
        <v>266</v>
      </c>
      <c r="I208" s="10" t="s">
        <v>11</v>
      </c>
      <c r="J208" s="13">
        <v>110.18700000000001</v>
      </c>
      <c r="K208" s="14"/>
    </row>
    <row r="209" spans="1:11" ht="22">
      <c r="A209" s="10">
        <v>5972</v>
      </c>
      <c r="B209" s="11" t="s">
        <v>857</v>
      </c>
      <c r="C209" s="10" t="s">
        <v>10</v>
      </c>
      <c r="D209" s="12" t="s">
        <v>780</v>
      </c>
      <c r="E209" s="10">
        <v>150</v>
      </c>
      <c r="F209" s="10" t="s">
        <v>222</v>
      </c>
      <c r="G209" s="10" t="s">
        <v>266</v>
      </c>
      <c r="H209" s="10" t="s">
        <v>266</v>
      </c>
      <c r="I209" s="10" t="s">
        <v>11</v>
      </c>
      <c r="J209" s="13">
        <v>110.18700000000001</v>
      </c>
      <c r="K209" s="14"/>
    </row>
    <row r="210" spans="1:11" ht="22">
      <c r="A210" s="10">
        <v>5973</v>
      </c>
      <c r="B210" s="11" t="s">
        <v>858</v>
      </c>
      <c r="C210" s="10" t="s">
        <v>10</v>
      </c>
      <c r="D210" s="12" t="s">
        <v>780</v>
      </c>
      <c r="E210" s="12">
        <v>150</v>
      </c>
      <c r="F210" s="10" t="s">
        <v>222</v>
      </c>
      <c r="G210" s="10" t="s">
        <v>266</v>
      </c>
      <c r="H210" s="10" t="s">
        <v>266</v>
      </c>
      <c r="I210" s="10" t="s">
        <v>11</v>
      </c>
      <c r="J210" s="13">
        <v>110.18700000000001</v>
      </c>
      <c r="K210" s="14"/>
    </row>
    <row r="211" spans="1:11" ht="22">
      <c r="A211" s="15">
        <v>5979</v>
      </c>
      <c r="B211" s="16" t="s">
        <v>802</v>
      </c>
      <c r="C211" s="15" t="s">
        <v>10</v>
      </c>
      <c r="D211" s="17" t="s">
        <v>784</v>
      </c>
      <c r="E211" s="17">
        <v>300</v>
      </c>
      <c r="F211" s="15" t="s">
        <v>270</v>
      </c>
      <c r="G211" s="15" t="s">
        <v>266</v>
      </c>
      <c r="H211" s="15" t="s">
        <v>266</v>
      </c>
      <c r="I211" s="15" t="s">
        <v>11</v>
      </c>
      <c r="J211" s="18">
        <v>121.31700000000001</v>
      </c>
      <c r="K211" s="19"/>
    </row>
    <row r="212" spans="1:11" ht="22">
      <c r="A212" s="10">
        <v>5980</v>
      </c>
      <c r="B212" s="11" t="s">
        <v>803</v>
      </c>
      <c r="C212" s="10" t="s">
        <v>10</v>
      </c>
      <c r="D212" s="12" t="s">
        <v>784</v>
      </c>
      <c r="E212" s="10">
        <v>300</v>
      </c>
      <c r="F212" s="10" t="s">
        <v>270</v>
      </c>
      <c r="G212" s="10" t="s">
        <v>266</v>
      </c>
      <c r="H212" s="10" t="s">
        <v>266</v>
      </c>
      <c r="I212" s="10" t="s">
        <v>11</v>
      </c>
      <c r="J212" s="13">
        <v>121.31700000000001</v>
      </c>
      <c r="K212" s="14"/>
    </row>
    <row r="213" spans="1:11" ht="22">
      <c r="A213" s="10">
        <v>5981</v>
      </c>
      <c r="B213" s="11" t="s">
        <v>804</v>
      </c>
      <c r="C213" s="10" t="s">
        <v>10</v>
      </c>
      <c r="D213" s="12" t="s">
        <v>784</v>
      </c>
      <c r="E213" s="12">
        <v>300</v>
      </c>
      <c r="F213" s="10" t="s">
        <v>270</v>
      </c>
      <c r="G213" s="10" t="s">
        <v>266</v>
      </c>
      <c r="H213" s="10" t="s">
        <v>266</v>
      </c>
      <c r="I213" s="10" t="s">
        <v>11</v>
      </c>
      <c r="J213" s="13">
        <v>121.31700000000001</v>
      </c>
      <c r="K213" s="14"/>
    </row>
    <row r="214" spans="1:11" ht="22">
      <c r="A214" s="15">
        <v>6018</v>
      </c>
      <c r="B214" s="16" t="s">
        <v>165</v>
      </c>
      <c r="C214" s="15" t="s">
        <v>102</v>
      </c>
      <c r="D214" s="17" t="s">
        <v>11</v>
      </c>
      <c r="E214" s="15" t="s">
        <v>11</v>
      </c>
      <c r="F214" s="15" t="s">
        <v>96</v>
      </c>
      <c r="G214" s="15" t="s">
        <v>391</v>
      </c>
      <c r="H214" s="15" t="s">
        <v>391</v>
      </c>
      <c r="I214" s="15" t="s">
        <v>206</v>
      </c>
      <c r="J214" s="18">
        <v>76.797000000000011</v>
      </c>
      <c r="K214" s="19"/>
    </row>
    <row r="215" spans="1:11" ht="22">
      <c r="A215" s="10">
        <v>6019</v>
      </c>
      <c r="B215" s="11" t="s">
        <v>166</v>
      </c>
      <c r="C215" s="10" t="s">
        <v>102</v>
      </c>
      <c r="D215" s="12" t="s">
        <v>11</v>
      </c>
      <c r="E215" s="10" t="s">
        <v>11</v>
      </c>
      <c r="F215" s="10" t="s">
        <v>96</v>
      </c>
      <c r="G215" s="10" t="s">
        <v>391</v>
      </c>
      <c r="H215" s="10" t="s">
        <v>391</v>
      </c>
      <c r="I215" s="10" t="s">
        <v>206</v>
      </c>
      <c r="J215" s="13">
        <v>76.797000000000011</v>
      </c>
      <c r="K215" s="14"/>
    </row>
    <row r="216" spans="1:11" ht="22">
      <c r="A216" s="10">
        <v>6020</v>
      </c>
      <c r="B216" s="11" t="s">
        <v>167</v>
      </c>
      <c r="C216" s="10" t="s">
        <v>102</v>
      </c>
      <c r="D216" s="12" t="s">
        <v>11</v>
      </c>
      <c r="E216" s="10" t="s">
        <v>11</v>
      </c>
      <c r="F216" s="10" t="s">
        <v>96</v>
      </c>
      <c r="G216" s="10" t="s">
        <v>391</v>
      </c>
      <c r="H216" s="10" t="s">
        <v>391</v>
      </c>
      <c r="I216" s="10" t="s">
        <v>206</v>
      </c>
      <c r="J216" s="13">
        <v>76.797000000000011</v>
      </c>
      <c r="K216" s="14"/>
    </row>
    <row r="217" spans="1:11" ht="22">
      <c r="A217" s="10">
        <v>6021</v>
      </c>
      <c r="B217" s="11" t="s">
        <v>168</v>
      </c>
      <c r="C217" s="10" t="s">
        <v>102</v>
      </c>
      <c r="D217" s="12" t="s">
        <v>11</v>
      </c>
      <c r="E217" s="10" t="s">
        <v>11</v>
      </c>
      <c r="F217" s="10" t="s">
        <v>96</v>
      </c>
      <c r="G217" s="10" t="s">
        <v>391</v>
      </c>
      <c r="H217" s="10" t="s">
        <v>391</v>
      </c>
      <c r="I217" s="10" t="s">
        <v>206</v>
      </c>
      <c r="J217" s="13">
        <v>92.379000000000005</v>
      </c>
      <c r="K217" s="14"/>
    </row>
    <row r="218" spans="1:11" ht="22">
      <c r="A218" s="10">
        <v>6022</v>
      </c>
      <c r="B218" s="11" t="s">
        <v>892</v>
      </c>
      <c r="C218" s="10" t="s">
        <v>102</v>
      </c>
      <c r="D218" s="12" t="s">
        <v>11</v>
      </c>
      <c r="E218" s="10" t="s">
        <v>11</v>
      </c>
      <c r="F218" s="10" t="s">
        <v>96</v>
      </c>
      <c r="G218" s="10" t="s">
        <v>391</v>
      </c>
      <c r="H218" s="10" t="s">
        <v>391</v>
      </c>
      <c r="I218" s="10" t="s">
        <v>206</v>
      </c>
      <c r="J218" s="13">
        <v>92.379000000000005</v>
      </c>
      <c r="K218" s="14"/>
    </row>
    <row r="219" spans="1:11" ht="44">
      <c r="A219" s="10">
        <v>6024</v>
      </c>
      <c r="B219" s="11" t="s">
        <v>811</v>
      </c>
      <c r="C219" s="10" t="s">
        <v>10</v>
      </c>
      <c r="D219" s="12" t="s">
        <v>771</v>
      </c>
      <c r="E219" s="10">
        <v>900</v>
      </c>
      <c r="F219" s="10" t="s">
        <v>229</v>
      </c>
      <c r="G219" s="10" t="s">
        <v>270</v>
      </c>
      <c r="H219" s="10" t="s">
        <v>270</v>
      </c>
      <c r="I219" s="10" t="s">
        <v>91</v>
      </c>
      <c r="J219" s="13">
        <v>132.447</v>
      </c>
      <c r="K219" s="14"/>
    </row>
    <row r="220" spans="1:11" ht="44">
      <c r="A220" s="10">
        <v>6025</v>
      </c>
      <c r="B220" s="11" t="s">
        <v>197</v>
      </c>
      <c r="C220" s="10" t="s">
        <v>10</v>
      </c>
      <c r="D220" s="12" t="s">
        <v>771</v>
      </c>
      <c r="E220" s="12">
        <v>900</v>
      </c>
      <c r="F220" s="10" t="s">
        <v>229</v>
      </c>
      <c r="G220" s="10" t="s">
        <v>270</v>
      </c>
      <c r="H220" s="10" t="s">
        <v>270</v>
      </c>
      <c r="I220" s="10" t="s">
        <v>91</v>
      </c>
      <c r="J220" s="13">
        <v>132.447</v>
      </c>
      <c r="K220" s="14"/>
    </row>
    <row r="221" spans="1:11" ht="44">
      <c r="A221" s="10">
        <v>6026</v>
      </c>
      <c r="B221" s="11" t="s">
        <v>812</v>
      </c>
      <c r="C221" s="10" t="s">
        <v>10</v>
      </c>
      <c r="D221" s="12" t="s">
        <v>771</v>
      </c>
      <c r="E221" s="10">
        <v>900</v>
      </c>
      <c r="F221" s="10" t="s">
        <v>229</v>
      </c>
      <c r="G221" s="10" t="s">
        <v>270</v>
      </c>
      <c r="H221" s="10" t="s">
        <v>270</v>
      </c>
      <c r="I221" s="10" t="s">
        <v>91</v>
      </c>
      <c r="J221" s="13">
        <v>132.447</v>
      </c>
      <c r="K221" s="14"/>
    </row>
    <row r="222" spans="1:11" ht="44">
      <c r="A222" s="10">
        <v>6027</v>
      </c>
      <c r="B222" s="11" t="s">
        <v>813</v>
      </c>
      <c r="C222" s="10" t="s">
        <v>10</v>
      </c>
      <c r="D222" s="12" t="s">
        <v>771</v>
      </c>
      <c r="E222" s="12">
        <v>900</v>
      </c>
      <c r="F222" s="10" t="s">
        <v>229</v>
      </c>
      <c r="G222" s="10" t="s">
        <v>270</v>
      </c>
      <c r="H222" s="10" t="s">
        <v>270</v>
      </c>
      <c r="I222" s="10" t="s">
        <v>91</v>
      </c>
      <c r="J222" s="13">
        <v>132.447</v>
      </c>
      <c r="K222" s="14"/>
    </row>
    <row r="223" spans="1:11" ht="44">
      <c r="A223" s="10">
        <v>6032</v>
      </c>
      <c r="B223" s="11" t="s">
        <v>814</v>
      </c>
      <c r="C223" s="10" t="s">
        <v>10</v>
      </c>
      <c r="D223" s="12" t="s">
        <v>771</v>
      </c>
      <c r="E223" s="12">
        <v>900</v>
      </c>
      <c r="F223" s="10" t="s">
        <v>415</v>
      </c>
      <c r="G223" s="10" t="s">
        <v>270</v>
      </c>
      <c r="H223" s="10" t="s">
        <v>84</v>
      </c>
      <c r="I223" s="10" t="s">
        <v>1407</v>
      </c>
      <c r="J223" s="13">
        <v>132.447</v>
      </c>
      <c r="K223" s="14"/>
    </row>
    <row r="224" spans="1:11" ht="44">
      <c r="A224" s="10">
        <v>6033</v>
      </c>
      <c r="B224" s="11" t="s">
        <v>183</v>
      </c>
      <c r="C224" s="10" t="s">
        <v>10</v>
      </c>
      <c r="D224" s="12" t="s">
        <v>771</v>
      </c>
      <c r="E224" s="10">
        <v>900</v>
      </c>
      <c r="F224" s="10" t="s">
        <v>415</v>
      </c>
      <c r="G224" s="10" t="s">
        <v>270</v>
      </c>
      <c r="H224" s="10" t="s">
        <v>84</v>
      </c>
      <c r="I224" s="10" t="s">
        <v>1407</v>
      </c>
      <c r="J224" s="13">
        <v>132.447</v>
      </c>
      <c r="K224" s="14"/>
    </row>
    <row r="225" spans="1:11" ht="44">
      <c r="A225" s="10">
        <v>6034</v>
      </c>
      <c r="B225" s="11" t="s">
        <v>815</v>
      </c>
      <c r="C225" s="10" t="s">
        <v>10</v>
      </c>
      <c r="D225" s="12" t="s">
        <v>771</v>
      </c>
      <c r="E225" s="12">
        <v>900</v>
      </c>
      <c r="F225" s="10" t="s">
        <v>415</v>
      </c>
      <c r="G225" s="10" t="s">
        <v>270</v>
      </c>
      <c r="H225" s="10" t="s">
        <v>84</v>
      </c>
      <c r="I225" s="10" t="s">
        <v>1407</v>
      </c>
      <c r="J225" s="13">
        <v>132.447</v>
      </c>
      <c r="K225" s="14"/>
    </row>
    <row r="226" spans="1:11" ht="44">
      <c r="A226" s="10">
        <v>6035</v>
      </c>
      <c r="B226" s="11" t="s">
        <v>816</v>
      </c>
      <c r="C226" s="10" t="s">
        <v>10</v>
      </c>
      <c r="D226" s="12" t="s">
        <v>772</v>
      </c>
      <c r="E226" s="10">
        <v>900</v>
      </c>
      <c r="F226" s="10" t="s">
        <v>415</v>
      </c>
      <c r="G226" s="10" t="s">
        <v>270</v>
      </c>
      <c r="H226" s="10" t="s">
        <v>84</v>
      </c>
      <c r="I226" s="10" t="s">
        <v>1407</v>
      </c>
      <c r="J226" s="13">
        <v>132.447</v>
      </c>
      <c r="K226" s="14"/>
    </row>
    <row r="227" spans="1:11" ht="44">
      <c r="A227" s="10">
        <v>6040</v>
      </c>
      <c r="B227" s="11" t="s">
        <v>808</v>
      </c>
      <c r="C227" s="10" t="s">
        <v>10</v>
      </c>
      <c r="D227" s="12" t="s">
        <v>772</v>
      </c>
      <c r="E227" s="10">
        <v>900</v>
      </c>
      <c r="F227" s="10" t="s">
        <v>347</v>
      </c>
      <c r="G227" s="10" t="s">
        <v>289</v>
      </c>
      <c r="H227" s="10" t="s">
        <v>289</v>
      </c>
      <c r="I227" s="10" t="s">
        <v>91</v>
      </c>
      <c r="J227" s="13">
        <v>165.83699999999999</v>
      </c>
      <c r="K227" s="14"/>
    </row>
    <row r="228" spans="1:11" ht="44">
      <c r="A228" s="10">
        <v>6041</v>
      </c>
      <c r="B228" s="11" t="s">
        <v>809</v>
      </c>
      <c r="C228" s="10" t="s">
        <v>10</v>
      </c>
      <c r="D228" s="12" t="s">
        <v>772</v>
      </c>
      <c r="E228" s="12">
        <v>900</v>
      </c>
      <c r="F228" s="10" t="s">
        <v>347</v>
      </c>
      <c r="G228" s="10" t="s">
        <v>289</v>
      </c>
      <c r="H228" s="10" t="s">
        <v>289</v>
      </c>
      <c r="I228" s="10" t="s">
        <v>91</v>
      </c>
      <c r="J228" s="13">
        <v>165.83699999999999</v>
      </c>
      <c r="K228" s="14"/>
    </row>
    <row r="229" spans="1:11" ht="44">
      <c r="A229" s="10">
        <v>6042</v>
      </c>
      <c r="B229" s="11" t="s">
        <v>810</v>
      </c>
      <c r="C229" s="10" t="s">
        <v>10</v>
      </c>
      <c r="D229" s="12" t="s">
        <v>772</v>
      </c>
      <c r="E229" s="10">
        <v>900</v>
      </c>
      <c r="F229" s="10" t="s">
        <v>347</v>
      </c>
      <c r="G229" s="10" t="s">
        <v>289</v>
      </c>
      <c r="H229" s="10" t="s">
        <v>289</v>
      </c>
      <c r="I229" s="10" t="s">
        <v>91</v>
      </c>
      <c r="J229" s="13">
        <v>165.83699999999999</v>
      </c>
      <c r="K229" s="14"/>
    </row>
    <row r="230" spans="1:11" ht="22">
      <c r="A230" s="10">
        <v>6048</v>
      </c>
      <c r="B230" s="11" t="s">
        <v>820</v>
      </c>
      <c r="C230" s="10" t="s">
        <v>10</v>
      </c>
      <c r="D230" s="12" t="s">
        <v>267</v>
      </c>
      <c r="E230" s="12">
        <v>225</v>
      </c>
      <c r="F230" s="10" t="s">
        <v>414</v>
      </c>
      <c r="G230" s="10" t="s">
        <v>90</v>
      </c>
      <c r="H230" s="10" t="s">
        <v>90</v>
      </c>
      <c r="I230" s="10" t="s">
        <v>91</v>
      </c>
      <c r="J230" s="13">
        <v>110.18700000000001</v>
      </c>
      <c r="K230" s="14"/>
    </row>
    <row r="231" spans="1:11" ht="22">
      <c r="A231" s="10">
        <v>6050</v>
      </c>
      <c r="B231" s="11" t="s">
        <v>821</v>
      </c>
      <c r="C231" s="10" t="s">
        <v>10</v>
      </c>
      <c r="D231" s="12" t="s">
        <v>267</v>
      </c>
      <c r="E231" s="12">
        <v>225</v>
      </c>
      <c r="F231" s="10" t="s">
        <v>414</v>
      </c>
      <c r="G231" s="10" t="s">
        <v>90</v>
      </c>
      <c r="H231" s="10" t="s">
        <v>90</v>
      </c>
      <c r="I231" s="10" t="s">
        <v>91</v>
      </c>
      <c r="J231" s="13">
        <v>131.334</v>
      </c>
      <c r="K231" s="14"/>
    </row>
    <row r="232" spans="1:11" ht="22">
      <c r="A232" s="10">
        <v>6053</v>
      </c>
      <c r="B232" s="11" t="s">
        <v>186</v>
      </c>
      <c r="C232" s="10" t="s">
        <v>10</v>
      </c>
      <c r="D232" s="12" t="s">
        <v>768</v>
      </c>
      <c r="E232" s="12">
        <v>375</v>
      </c>
      <c r="F232" s="10" t="s">
        <v>610</v>
      </c>
      <c r="G232" s="10" t="s">
        <v>222</v>
      </c>
      <c r="H232" s="10" t="s">
        <v>222</v>
      </c>
      <c r="I232" s="10" t="s">
        <v>91</v>
      </c>
      <c r="J232" s="13">
        <v>150.255</v>
      </c>
      <c r="K232" s="14"/>
    </row>
    <row r="233" spans="1:11" ht="44">
      <c r="A233" s="10">
        <v>6057</v>
      </c>
      <c r="B233" s="11" t="s">
        <v>188</v>
      </c>
      <c r="C233" s="10" t="s">
        <v>10</v>
      </c>
      <c r="D233" s="12" t="s">
        <v>851</v>
      </c>
      <c r="E233" s="10">
        <v>2310</v>
      </c>
      <c r="F233" s="10" t="s">
        <v>288</v>
      </c>
      <c r="G233" s="10" t="s">
        <v>289</v>
      </c>
      <c r="H233" s="10" t="s">
        <v>289</v>
      </c>
      <c r="I233" s="10" t="s">
        <v>91</v>
      </c>
      <c r="J233" s="13">
        <v>170.28900000000002</v>
      </c>
      <c r="K233" s="14"/>
    </row>
    <row r="234" spans="1:11" ht="44">
      <c r="A234" s="10">
        <v>6058</v>
      </c>
      <c r="B234" s="11" t="s">
        <v>187</v>
      </c>
      <c r="C234" s="10" t="s">
        <v>10</v>
      </c>
      <c r="D234" s="12" t="s">
        <v>851</v>
      </c>
      <c r="E234" s="12">
        <v>2310</v>
      </c>
      <c r="F234" s="10" t="s">
        <v>288</v>
      </c>
      <c r="G234" s="10" t="s">
        <v>289</v>
      </c>
      <c r="H234" s="10" t="s">
        <v>289</v>
      </c>
      <c r="I234" s="10" t="s">
        <v>91</v>
      </c>
      <c r="J234" s="13">
        <v>170.28900000000002</v>
      </c>
      <c r="K234" s="14"/>
    </row>
    <row r="235" spans="1:11" ht="44">
      <c r="A235" s="10">
        <v>6059</v>
      </c>
      <c r="B235" s="11" t="s">
        <v>189</v>
      </c>
      <c r="C235" s="10" t="s">
        <v>10</v>
      </c>
      <c r="D235" s="12" t="s">
        <v>851</v>
      </c>
      <c r="E235" s="10">
        <v>2310</v>
      </c>
      <c r="F235" s="10" t="s">
        <v>288</v>
      </c>
      <c r="G235" s="10" t="s">
        <v>289</v>
      </c>
      <c r="H235" s="10" t="s">
        <v>289</v>
      </c>
      <c r="I235" s="10" t="s">
        <v>91</v>
      </c>
      <c r="J235" s="13">
        <v>170.28900000000002</v>
      </c>
      <c r="K235" s="14"/>
    </row>
    <row r="236" spans="1:11" ht="44">
      <c r="A236" s="10">
        <v>6060</v>
      </c>
      <c r="B236" s="11" t="s">
        <v>805</v>
      </c>
      <c r="C236" s="10" t="s">
        <v>10</v>
      </c>
      <c r="D236" s="12" t="s">
        <v>851</v>
      </c>
      <c r="E236" s="12">
        <v>2310</v>
      </c>
      <c r="F236" s="10" t="s">
        <v>288</v>
      </c>
      <c r="G236" s="10" t="s">
        <v>289</v>
      </c>
      <c r="H236" s="10" t="s">
        <v>289</v>
      </c>
      <c r="I236" s="10" t="s">
        <v>91</v>
      </c>
      <c r="J236" s="13">
        <v>170.28900000000002</v>
      </c>
      <c r="K236" s="14"/>
    </row>
    <row r="237" spans="1:11" ht="44">
      <c r="A237" s="10">
        <v>6061</v>
      </c>
      <c r="B237" s="11" t="s">
        <v>190</v>
      </c>
      <c r="C237" s="10" t="s">
        <v>10</v>
      </c>
      <c r="D237" s="12" t="s">
        <v>851</v>
      </c>
      <c r="E237" s="10">
        <v>2310</v>
      </c>
      <c r="F237" s="10" t="s">
        <v>288</v>
      </c>
      <c r="G237" s="10" t="s">
        <v>13</v>
      </c>
      <c r="H237" s="10" t="s">
        <v>13</v>
      </c>
      <c r="I237" s="10" t="s">
        <v>91</v>
      </c>
      <c r="J237" s="13">
        <v>170.28900000000002</v>
      </c>
      <c r="K237" s="14"/>
    </row>
    <row r="238" spans="1:11" ht="44">
      <c r="A238" s="10">
        <v>6062</v>
      </c>
      <c r="B238" s="11" t="s">
        <v>806</v>
      </c>
      <c r="C238" s="10" t="s">
        <v>10</v>
      </c>
      <c r="D238" s="12" t="s">
        <v>851</v>
      </c>
      <c r="E238" s="12">
        <v>2310</v>
      </c>
      <c r="F238" s="10" t="s">
        <v>288</v>
      </c>
      <c r="G238" s="10" t="s">
        <v>13</v>
      </c>
      <c r="H238" s="10" t="s">
        <v>13</v>
      </c>
      <c r="I238" s="10" t="s">
        <v>91</v>
      </c>
      <c r="J238" s="13">
        <v>170.28900000000002</v>
      </c>
      <c r="K238" s="14"/>
    </row>
    <row r="239" spans="1:11" ht="44">
      <c r="A239" s="10">
        <v>6063</v>
      </c>
      <c r="B239" s="11" t="s">
        <v>807</v>
      </c>
      <c r="C239" s="10" t="s">
        <v>10</v>
      </c>
      <c r="D239" s="12" t="s">
        <v>851</v>
      </c>
      <c r="E239" s="10">
        <v>2310</v>
      </c>
      <c r="F239" s="10" t="s">
        <v>288</v>
      </c>
      <c r="G239" s="10" t="s">
        <v>13</v>
      </c>
      <c r="H239" s="10" t="s">
        <v>13</v>
      </c>
      <c r="I239" s="10" t="s">
        <v>91</v>
      </c>
      <c r="J239" s="13">
        <v>170.28900000000002</v>
      </c>
      <c r="K239" s="14"/>
    </row>
    <row r="240" spans="1:11" ht="22">
      <c r="A240" s="10">
        <v>6071</v>
      </c>
      <c r="B240" s="11" t="s">
        <v>191</v>
      </c>
      <c r="C240" s="10" t="s">
        <v>10</v>
      </c>
      <c r="D240" s="12" t="s">
        <v>768</v>
      </c>
      <c r="E240" s="12">
        <v>375</v>
      </c>
      <c r="F240" s="10" t="s">
        <v>229</v>
      </c>
      <c r="G240" s="10" t="s">
        <v>280</v>
      </c>
      <c r="H240" s="10" t="s">
        <v>280</v>
      </c>
      <c r="I240" s="10" t="s">
        <v>91</v>
      </c>
      <c r="J240" s="13">
        <v>148.02900000000002</v>
      </c>
      <c r="K240" s="14"/>
    </row>
    <row r="241" spans="1:11" ht="22">
      <c r="A241" s="10">
        <v>6072</v>
      </c>
      <c r="B241" s="11" t="s">
        <v>192</v>
      </c>
      <c r="C241" s="10" t="s">
        <v>10</v>
      </c>
      <c r="D241" s="12" t="s">
        <v>768</v>
      </c>
      <c r="E241" s="10">
        <v>375</v>
      </c>
      <c r="F241" s="10" t="s">
        <v>229</v>
      </c>
      <c r="G241" s="10" t="s">
        <v>280</v>
      </c>
      <c r="H241" s="10" t="s">
        <v>280</v>
      </c>
      <c r="I241" s="10" t="s">
        <v>91</v>
      </c>
      <c r="J241" s="13">
        <v>148.02900000000002</v>
      </c>
      <c r="K241" s="14"/>
    </row>
    <row r="242" spans="1:11" ht="22">
      <c r="A242" s="10">
        <v>6073</v>
      </c>
      <c r="B242" s="11" t="s">
        <v>193</v>
      </c>
      <c r="C242" s="10" t="s">
        <v>10</v>
      </c>
      <c r="D242" s="12" t="s">
        <v>768</v>
      </c>
      <c r="E242" s="12">
        <v>375</v>
      </c>
      <c r="F242" s="10" t="s">
        <v>229</v>
      </c>
      <c r="G242" s="10" t="s">
        <v>280</v>
      </c>
      <c r="H242" s="10" t="s">
        <v>280</v>
      </c>
      <c r="I242" s="10" t="s">
        <v>91</v>
      </c>
      <c r="J242" s="13">
        <v>148.02900000000002</v>
      </c>
      <c r="K242" s="14"/>
    </row>
    <row r="243" spans="1:11" ht="22">
      <c r="A243" s="10">
        <v>6075</v>
      </c>
      <c r="B243" s="11" t="s">
        <v>878</v>
      </c>
      <c r="C243" s="10" t="s">
        <v>10</v>
      </c>
      <c r="D243" s="12" t="s">
        <v>768</v>
      </c>
      <c r="E243" s="12">
        <v>375</v>
      </c>
      <c r="F243" s="10" t="s">
        <v>229</v>
      </c>
      <c r="G243" s="10" t="s">
        <v>280</v>
      </c>
      <c r="H243" s="10" t="s">
        <v>280</v>
      </c>
      <c r="I243" s="10" t="s">
        <v>91</v>
      </c>
      <c r="J243" s="13">
        <v>148.02900000000002</v>
      </c>
      <c r="K243" s="14"/>
    </row>
    <row r="244" spans="1:11" ht="22">
      <c r="A244" s="10">
        <v>6081</v>
      </c>
      <c r="B244" s="11" t="s">
        <v>194</v>
      </c>
      <c r="C244" s="10" t="s">
        <v>10</v>
      </c>
      <c r="D244" s="12" t="s">
        <v>768</v>
      </c>
      <c r="E244" s="10">
        <v>375</v>
      </c>
      <c r="F244" s="10" t="s">
        <v>229</v>
      </c>
      <c r="G244" s="10" t="s">
        <v>280</v>
      </c>
      <c r="H244" s="10" t="s">
        <v>84</v>
      </c>
      <c r="I244" s="10" t="s">
        <v>11</v>
      </c>
      <c r="J244" s="13">
        <v>161.38500000000002</v>
      </c>
      <c r="K244" s="14"/>
    </row>
    <row r="245" spans="1:11" ht="22">
      <c r="A245" s="10">
        <v>6082</v>
      </c>
      <c r="B245" s="11" t="s">
        <v>195</v>
      </c>
      <c r="C245" s="10" t="s">
        <v>10</v>
      </c>
      <c r="D245" s="12" t="s">
        <v>768</v>
      </c>
      <c r="E245" s="12">
        <v>375</v>
      </c>
      <c r="F245" s="10" t="s">
        <v>229</v>
      </c>
      <c r="G245" s="10" t="s">
        <v>280</v>
      </c>
      <c r="H245" s="10" t="s">
        <v>84</v>
      </c>
      <c r="I245" s="10" t="s">
        <v>11</v>
      </c>
      <c r="J245" s="13">
        <v>161.38500000000002</v>
      </c>
      <c r="K245" s="14"/>
    </row>
    <row r="246" spans="1:11" ht="22">
      <c r="A246" s="10">
        <v>6083</v>
      </c>
      <c r="B246" s="11" t="s">
        <v>196</v>
      </c>
      <c r="C246" s="10" t="s">
        <v>10</v>
      </c>
      <c r="D246" s="12" t="s">
        <v>768</v>
      </c>
      <c r="E246" s="10">
        <v>375</v>
      </c>
      <c r="F246" s="10" t="s">
        <v>229</v>
      </c>
      <c r="G246" s="10" t="s">
        <v>280</v>
      </c>
      <c r="H246" s="10" t="s">
        <v>84</v>
      </c>
      <c r="I246" s="10" t="s">
        <v>11</v>
      </c>
      <c r="J246" s="13">
        <v>161.38500000000002</v>
      </c>
      <c r="K246" s="14"/>
    </row>
    <row r="247" spans="1:11" ht="22">
      <c r="A247" s="10">
        <v>6084</v>
      </c>
      <c r="B247" s="11" t="s">
        <v>879</v>
      </c>
      <c r="C247" s="10" t="s">
        <v>10</v>
      </c>
      <c r="D247" s="12" t="s">
        <v>768</v>
      </c>
      <c r="E247" s="12">
        <v>375</v>
      </c>
      <c r="F247" s="10" t="s">
        <v>229</v>
      </c>
      <c r="G247" s="10" t="s">
        <v>280</v>
      </c>
      <c r="H247" s="10" t="s">
        <v>84</v>
      </c>
      <c r="I247" s="10" t="s">
        <v>11</v>
      </c>
      <c r="J247" s="13">
        <v>161.38500000000002</v>
      </c>
      <c r="K247" s="14"/>
    </row>
    <row r="248" spans="1:11" ht="22">
      <c r="A248" s="10">
        <v>6085</v>
      </c>
      <c r="B248" s="11" t="s">
        <v>880</v>
      </c>
      <c r="C248" s="10" t="s">
        <v>10</v>
      </c>
      <c r="D248" s="12" t="s">
        <v>768</v>
      </c>
      <c r="E248" s="10">
        <v>375</v>
      </c>
      <c r="F248" s="10" t="s">
        <v>229</v>
      </c>
      <c r="G248" s="10" t="s">
        <v>92</v>
      </c>
      <c r="H248" s="10" t="s">
        <v>13</v>
      </c>
      <c r="I248" s="10" t="s">
        <v>11</v>
      </c>
      <c r="J248" s="13">
        <v>161.38500000000002</v>
      </c>
      <c r="K248" s="14"/>
    </row>
    <row r="249" spans="1:11" ht="22">
      <c r="A249" s="10">
        <v>6092</v>
      </c>
      <c r="B249" s="11" t="s">
        <v>1019</v>
      </c>
      <c r="C249" s="10" t="s">
        <v>182</v>
      </c>
      <c r="D249" s="12" t="s">
        <v>11</v>
      </c>
      <c r="E249" s="10" t="s">
        <v>11</v>
      </c>
      <c r="F249" s="10" t="s">
        <v>15</v>
      </c>
      <c r="G249" s="10" t="s">
        <v>108</v>
      </c>
      <c r="H249" s="10" t="s">
        <v>108</v>
      </c>
      <c r="I249" s="10" t="s">
        <v>11</v>
      </c>
      <c r="J249" s="13">
        <v>110.18700000000001</v>
      </c>
      <c r="K249" s="14"/>
    </row>
    <row r="250" spans="1:11" ht="44">
      <c r="A250" s="10">
        <v>6114</v>
      </c>
      <c r="B250" s="11" t="s">
        <v>199</v>
      </c>
      <c r="C250" s="10" t="s">
        <v>10</v>
      </c>
      <c r="D250" s="12" t="s">
        <v>853</v>
      </c>
      <c r="E250" s="10">
        <v>1050</v>
      </c>
      <c r="F250" s="10" t="s">
        <v>104</v>
      </c>
      <c r="G250" s="10" t="s">
        <v>203</v>
      </c>
      <c r="H250" s="10" t="s">
        <v>90</v>
      </c>
      <c r="I250" s="10" t="s">
        <v>11</v>
      </c>
      <c r="J250" s="13">
        <v>165.83699999999999</v>
      </c>
      <c r="K250" s="14"/>
    </row>
    <row r="251" spans="1:11" ht="44">
      <c r="A251" s="10">
        <v>6116</v>
      </c>
      <c r="B251" s="11" t="s">
        <v>201</v>
      </c>
      <c r="C251" s="10" t="s">
        <v>10</v>
      </c>
      <c r="D251" s="12" t="s">
        <v>853</v>
      </c>
      <c r="E251" s="10">
        <v>1050</v>
      </c>
      <c r="F251" s="10" t="s">
        <v>104</v>
      </c>
      <c r="G251" s="10" t="s">
        <v>203</v>
      </c>
      <c r="H251" s="10" t="s">
        <v>90</v>
      </c>
      <c r="I251" s="10" t="s">
        <v>11</v>
      </c>
      <c r="J251" s="13">
        <v>165.83699999999999</v>
      </c>
      <c r="K251" s="14"/>
    </row>
    <row r="252" spans="1:11" ht="22">
      <c r="A252" s="10">
        <v>6126</v>
      </c>
      <c r="B252" s="11" t="s">
        <v>832</v>
      </c>
      <c r="C252" s="10" t="s">
        <v>273</v>
      </c>
      <c r="D252" s="12" t="s">
        <v>11</v>
      </c>
      <c r="E252" s="12" t="s">
        <v>11</v>
      </c>
      <c r="F252" s="10" t="s">
        <v>15</v>
      </c>
      <c r="G252" s="10" t="s">
        <v>221</v>
      </c>
      <c r="H252" s="10" t="s">
        <v>222</v>
      </c>
      <c r="I252" s="10" t="s">
        <v>11</v>
      </c>
      <c r="J252" s="13">
        <v>125.76900000000001</v>
      </c>
      <c r="K252" s="14"/>
    </row>
    <row r="253" spans="1:11" ht="22">
      <c r="A253" s="10">
        <v>6127</v>
      </c>
      <c r="B253" s="11" t="s">
        <v>833</v>
      </c>
      <c r="C253" s="10" t="s">
        <v>273</v>
      </c>
      <c r="D253" s="12" t="s">
        <v>11</v>
      </c>
      <c r="E253" s="10" t="s">
        <v>11</v>
      </c>
      <c r="F253" s="10" t="s">
        <v>15</v>
      </c>
      <c r="G253" s="10" t="s">
        <v>221</v>
      </c>
      <c r="H253" s="10" t="s">
        <v>222</v>
      </c>
      <c r="I253" s="10" t="s">
        <v>11</v>
      </c>
      <c r="J253" s="13">
        <v>125.76900000000001</v>
      </c>
      <c r="K253" s="14"/>
    </row>
    <row r="254" spans="1:11" ht="22">
      <c r="A254" s="10">
        <v>6128</v>
      </c>
      <c r="B254" s="11" t="s">
        <v>838</v>
      </c>
      <c r="C254" s="10" t="s">
        <v>102</v>
      </c>
      <c r="D254" s="12" t="s">
        <v>11</v>
      </c>
      <c r="E254" s="12" t="s">
        <v>11</v>
      </c>
      <c r="F254" s="10" t="s">
        <v>15</v>
      </c>
      <c r="G254" s="10" t="s">
        <v>92</v>
      </c>
      <c r="H254" s="10" t="s">
        <v>222</v>
      </c>
      <c r="I254" s="10" t="s">
        <v>11</v>
      </c>
      <c r="J254" s="13">
        <v>154.70699999999999</v>
      </c>
      <c r="K254" s="14"/>
    </row>
    <row r="255" spans="1:11" ht="22">
      <c r="A255" s="10">
        <v>6129</v>
      </c>
      <c r="B255" s="11" t="s">
        <v>839</v>
      </c>
      <c r="C255" s="10" t="s">
        <v>102</v>
      </c>
      <c r="D255" s="12" t="s">
        <v>11</v>
      </c>
      <c r="E255" s="10" t="s">
        <v>11</v>
      </c>
      <c r="F255" s="10" t="s">
        <v>15</v>
      </c>
      <c r="G255" s="10" t="s">
        <v>92</v>
      </c>
      <c r="H255" s="10" t="s">
        <v>222</v>
      </c>
      <c r="I255" s="10" t="s">
        <v>11</v>
      </c>
      <c r="J255" s="13">
        <v>154.70699999999999</v>
      </c>
      <c r="K255" s="14"/>
    </row>
    <row r="256" spans="1:11" ht="22">
      <c r="A256" s="10">
        <v>6130</v>
      </c>
      <c r="B256" s="11" t="s">
        <v>708</v>
      </c>
      <c r="C256" s="10" t="s">
        <v>273</v>
      </c>
      <c r="D256" s="12" t="s">
        <v>11</v>
      </c>
      <c r="E256" s="12" t="s">
        <v>11</v>
      </c>
      <c r="F256" s="10" t="s">
        <v>93</v>
      </c>
      <c r="G256" s="10" t="s">
        <v>222</v>
      </c>
      <c r="H256" s="10" t="s">
        <v>222</v>
      </c>
      <c r="I256" s="10" t="s">
        <v>11</v>
      </c>
      <c r="J256" s="13">
        <v>127.995</v>
      </c>
      <c r="K256" s="14"/>
    </row>
    <row r="257" spans="1:11" ht="22">
      <c r="A257" s="10">
        <v>6131</v>
      </c>
      <c r="B257" s="11" t="s">
        <v>709</v>
      </c>
      <c r="C257" s="10" t="s">
        <v>273</v>
      </c>
      <c r="D257" s="12" t="s">
        <v>11</v>
      </c>
      <c r="E257" s="10" t="s">
        <v>11</v>
      </c>
      <c r="F257" s="10" t="s">
        <v>93</v>
      </c>
      <c r="G257" s="10" t="s">
        <v>222</v>
      </c>
      <c r="H257" s="10" t="s">
        <v>222</v>
      </c>
      <c r="I257" s="10" t="s">
        <v>11</v>
      </c>
      <c r="J257" s="13">
        <v>127.995</v>
      </c>
      <c r="K257" s="14"/>
    </row>
    <row r="258" spans="1:11" ht="22">
      <c r="A258" s="10">
        <v>6132</v>
      </c>
      <c r="B258" s="11" t="s">
        <v>710</v>
      </c>
      <c r="C258" s="10" t="s">
        <v>273</v>
      </c>
      <c r="D258" s="12" t="s">
        <v>11</v>
      </c>
      <c r="E258" s="12" t="s">
        <v>11</v>
      </c>
      <c r="F258" s="10" t="s">
        <v>93</v>
      </c>
      <c r="G258" s="10" t="s">
        <v>222</v>
      </c>
      <c r="H258" s="10" t="s">
        <v>222</v>
      </c>
      <c r="I258" s="10" t="s">
        <v>11</v>
      </c>
      <c r="J258" s="13">
        <v>127.995</v>
      </c>
      <c r="K258" s="14"/>
    </row>
    <row r="259" spans="1:11" ht="22">
      <c r="A259" s="10">
        <v>6133</v>
      </c>
      <c r="B259" s="11" t="s">
        <v>711</v>
      </c>
      <c r="C259" s="10" t="s">
        <v>102</v>
      </c>
      <c r="D259" s="12" t="s">
        <v>11</v>
      </c>
      <c r="E259" s="10" t="s">
        <v>11</v>
      </c>
      <c r="F259" s="10" t="s">
        <v>93</v>
      </c>
      <c r="G259" s="10" t="s">
        <v>222</v>
      </c>
      <c r="H259" s="10" t="s">
        <v>222</v>
      </c>
      <c r="I259" s="10" t="s">
        <v>11</v>
      </c>
      <c r="J259" s="13">
        <v>154.70699999999999</v>
      </c>
      <c r="K259" s="14"/>
    </row>
    <row r="260" spans="1:11" ht="22">
      <c r="A260" s="10">
        <v>6134</v>
      </c>
      <c r="B260" s="11" t="s">
        <v>712</v>
      </c>
      <c r="C260" s="10" t="s">
        <v>102</v>
      </c>
      <c r="D260" s="12" t="s">
        <v>11</v>
      </c>
      <c r="E260" s="12" t="s">
        <v>11</v>
      </c>
      <c r="F260" s="10" t="s">
        <v>93</v>
      </c>
      <c r="G260" s="10" t="s">
        <v>222</v>
      </c>
      <c r="H260" s="10" t="s">
        <v>222</v>
      </c>
      <c r="I260" s="10" t="s">
        <v>11</v>
      </c>
      <c r="J260" s="13">
        <v>154.70699999999999</v>
      </c>
      <c r="K260" s="14"/>
    </row>
    <row r="261" spans="1:11" ht="22">
      <c r="A261" s="10">
        <v>6135</v>
      </c>
      <c r="B261" s="11" t="s">
        <v>713</v>
      </c>
      <c r="C261" s="10" t="s">
        <v>102</v>
      </c>
      <c r="D261" s="12" t="s">
        <v>11</v>
      </c>
      <c r="E261" s="10" t="s">
        <v>11</v>
      </c>
      <c r="F261" s="10" t="s">
        <v>93</v>
      </c>
      <c r="G261" s="10" t="s">
        <v>222</v>
      </c>
      <c r="H261" s="10" t="s">
        <v>222</v>
      </c>
      <c r="I261" s="10" t="s">
        <v>11</v>
      </c>
      <c r="J261" s="13">
        <v>154.70699999999999</v>
      </c>
      <c r="K261" s="14"/>
    </row>
    <row r="262" spans="1:11" ht="22">
      <c r="A262" s="10">
        <v>6136</v>
      </c>
      <c r="B262" s="11" t="s">
        <v>717</v>
      </c>
      <c r="C262" s="10" t="s">
        <v>11</v>
      </c>
      <c r="D262" s="12" t="s">
        <v>11</v>
      </c>
      <c r="E262" s="10" t="s">
        <v>11</v>
      </c>
      <c r="F262" s="10" t="s">
        <v>85</v>
      </c>
      <c r="G262" s="10" t="s">
        <v>103</v>
      </c>
      <c r="H262" s="10" t="s">
        <v>103</v>
      </c>
      <c r="I262" s="10" t="s">
        <v>11</v>
      </c>
      <c r="J262" s="13">
        <v>21.035699999999999</v>
      </c>
      <c r="K262" s="14"/>
    </row>
    <row r="263" spans="1:11" ht="22">
      <c r="A263" s="10">
        <v>6137</v>
      </c>
      <c r="B263" s="11" t="s">
        <v>761</v>
      </c>
      <c r="C263" s="10" t="s">
        <v>11</v>
      </c>
      <c r="D263" s="12" t="s">
        <v>11</v>
      </c>
      <c r="E263" s="10" t="s">
        <v>11</v>
      </c>
      <c r="F263" s="10" t="s">
        <v>85</v>
      </c>
      <c r="G263" s="10" t="s">
        <v>92</v>
      </c>
      <c r="H263" s="10" t="s">
        <v>92</v>
      </c>
      <c r="I263" s="10" t="s">
        <v>11</v>
      </c>
      <c r="J263" s="13">
        <v>22.148700000000002</v>
      </c>
      <c r="K263" s="14"/>
    </row>
    <row r="264" spans="1:11" ht="22">
      <c r="A264" s="10">
        <v>6139</v>
      </c>
      <c r="B264" s="11" t="s">
        <v>721</v>
      </c>
      <c r="C264" s="10" t="s">
        <v>11</v>
      </c>
      <c r="D264" s="12" t="s">
        <v>11</v>
      </c>
      <c r="E264" s="10" t="s">
        <v>11</v>
      </c>
      <c r="F264" s="10" t="s">
        <v>203</v>
      </c>
      <c r="G264" s="10" t="s">
        <v>208</v>
      </c>
      <c r="H264" s="10" t="s">
        <v>208</v>
      </c>
      <c r="I264" s="10" t="s">
        <v>11</v>
      </c>
      <c r="J264" s="13">
        <v>24.107579999999999</v>
      </c>
      <c r="K264" s="14"/>
    </row>
    <row r="265" spans="1:11" ht="22">
      <c r="A265" s="10">
        <v>6140</v>
      </c>
      <c r="B265" s="11" t="s">
        <v>725</v>
      </c>
      <c r="C265" s="10" t="s">
        <v>11</v>
      </c>
      <c r="D265" s="12" t="s">
        <v>11</v>
      </c>
      <c r="E265" s="10" t="s">
        <v>11</v>
      </c>
      <c r="F265" s="10" t="s">
        <v>92</v>
      </c>
      <c r="G265" s="10" t="s">
        <v>208</v>
      </c>
      <c r="H265" s="10" t="s">
        <v>11</v>
      </c>
      <c r="I265" s="10" t="s">
        <v>11</v>
      </c>
      <c r="J265" s="13">
        <v>18.809699999999999</v>
      </c>
      <c r="K265" s="14"/>
    </row>
    <row r="266" spans="1:11" ht="44">
      <c r="A266" s="10">
        <v>6141</v>
      </c>
      <c r="B266" s="11" t="s">
        <v>1012</v>
      </c>
      <c r="C266" s="10" t="s">
        <v>10</v>
      </c>
      <c r="D266" s="12" t="s">
        <v>770</v>
      </c>
      <c r="E266" s="12">
        <v>900</v>
      </c>
      <c r="F266" s="10" t="s">
        <v>15</v>
      </c>
      <c r="G266" s="10" t="s">
        <v>301</v>
      </c>
      <c r="H266" s="10" t="s">
        <v>301</v>
      </c>
      <c r="I266" s="10" t="s">
        <v>11</v>
      </c>
      <c r="J266" s="13">
        <v>165.83699999999999</v>
      </c>
      <c r="K266" s="14"/>
    </row>
    <row r="267" spans="1:11" ht="44">
      <c r="A267" s="10">
        <v>6142</v>
      </c>
      <c r="B267" s="11" t="s">
        <v>1013</v>
      </c>
      <c r="C267" s="10" t="s">
        <v>10</v>
      </c>
      <c r="D267" s="12" t="s">
        <v>770</v>
      </c>
      <c r="E267" s="10">
        <v>900</v>
      </c>
      <c r="F267" s="10" t="s">
        <v>15</v>
      </c>
      <c r="G267" s="10" t="s">
        <v>301</v>
      </c>
      <c r="H267" s="10" t="s">
        <v>301</v>
      </c>
      <c r="I267" s="10" t="s">
        <v>11</v>
      </c>
      <c r="J267" s="13">
        <v>165.83699999999999</v>
      </c>
      <c r="K267" s="14"/>
    </row>
    <row r="268" spans="1:11" ht="22">
      <c r="A268" s="10">
        <v>6181</v>
      </c>
      <c r="B268" s="11" t="s">
        <v>826</v>
      </c>
      <c r="C268" s="10" t="s">
        <v>10</v>
      </c>
      <c r="D268" s="12" t="s">
        <v>134</v>
      </c>
      <c r="E268" s="12">
        <v>225</v>
      </c>
      <c r="F268" s="10" t="s">
        <v>15</v>
      </c>
      <c r="G268" s="10" t="s">
        <v>90</v>
      </c>
      <c r="H268" s="10" t="s">
        <v>90</v>
      </c>
      <c r="I268" s="10" t="s">
        <v>11</v>
      </c>
      <c r="J268" s="13">
        <v>132.447</v>
      </c>
      <c r="K268" s="14"/>
    </row>
    <row r="269" spans="1:11" ht="22">
      <c r="A269" s="10">
        <v>6183</v>
      </c>
      <c r="B269" s="11" t="s">
        <v>718</v>
      </c>
      <c r="C269" s="10" t="s">
        <v>11</v>
      </c>
      <c r="D269" s="12" t="s">
        <v>11</v>
      </c>
      <c r="E269" s="10" t="s">
        <v>11</v>
      </c>
      <c r="F269" s="10" t="s">
        <v>85</v>
      </c>
      <c r="G269" s="10" t="s">
        <v>103</v>
      </c>
      <c r="H269" s="10" t="s">
        <v>103</v>
      </c>
      <c r="I269" s="10" t="s">
        <v>11</v>
      </c>
      <c r="J269" s="13">
        <v>21.035699999999999</v>
      </c>
      <c r="K269" s="14"/>
    </row>
    <row r="270" spans="1:11" ht="22">
      <c r="A270" s="10">
        <v>6184</v>
      </c>
      <c r="B270" s="11" t="s">
        <v>719</v>
      </c>
      <c r="C270" s="10" t="s">
        <v>11</v>
      </c>
      <c r="D270" s="12" t="s">
        <v>11</v>
      </c>
      <c r="E270" s="10" t="s">
        <v>11</v>
      </c>
      <c r="F270" s="10" t="s">
        <v>85</v>
      </c>
      <c r="G270" s="10" t="s">
        <v>103</v>
      </c>
      <c r="H270" s="10" t="s">
        <v>103</v>
      </c>
      <c r="I270" s="10" t="s">
        <v>11</v>
      </c>
      <c r="J270" s="13">
        <v>21.035699999999999</v>
      </c>
      <c r="K270" s="14"/>
    </row>
    <row r="271" spans="1:11" ht="22">
      <c r="A271" s="10">
        <v>6185</v>
      </c>
      <c r="B271" s="11" t="s">
        <v>978</v>
      </c>
      <c r="C271" s="10" t="s">
        <v>11</v>
      </c>
      <c r="D271" s="12" t="s">
        <v>11</v>
      </c>
      <c r="E271" s="10" t="s">
        <v>11</v>
      </c>
      <c r="F271" s="10" t="s">
        <v>85</v>
      </c>
      <c r="G271" s="10" t="s">
        <v>103</v>
      </c>
      <c r="H271" s="10" t="s">
        <v>103</v>
      </c>
      <c r="I271" s="10" t="s">
        <v>11</v>
      </c>
      <c r="J271" s="13">
        <v>25.242840000000001</v>
      </c>
      <c r="K271" s="14"/>
    </row>
    <row r="272" spans="1:11" ht="22">
      <c r="A272" s="10">
        <v>6186</v>
      </c>
      <c r="B272" s="11" t="s">
        <v>720</v>
      </c>
      <c r="C272" s="10" t="s">
        <v>11</v>
      </c>
      <c r="D272" s="12" t="s">
        <v>11</v>
      </c>
      <c r="E272" s="10" t="s">
        <v>11</v>
      </c>
      <c r="F272" s="10" t="s">
        <v>85</v>
      </c>
      <c r="G272" s="10" t="s">
        <v>103</v>
      </c>
      <c r="H272" s="10" t="s">
        <v>103</v>
      </c>
      <c r="I272" s="10" t="s">
        <v>11</v>
      </c>
      <c r="J272" s="13">
        <v>25.242840000000001</v>
      </c>
      <c r="K272" s="14"/>
    </row>
    <row r="273" spans="1:11" ht="22">
      <c r="A273" s="10">
        <v>6187</v>
      </c>
      <c r="B273" s="11" t="s">
        <v>762</v>
      </c>
      <c r="C273" s="10" t="s">
        <v>11</v>
      </c>
      <c r="D273" s="12" t="s">
        <v>11</v>
      </c>
      <c r="E273" s="10" t="s">
        <v>11</v>
      </c>
      <c r="F273" s="10" t="s">
        <v>85</v>
      </c>
      <c r="G273" s="10" t="s">
        <v>92</v>
      </c>
      <c r="H273" s="10" t="s">
        <v>92</v>
      </c>
      <c r="I273" s="10" t="s">
        <v>11</v>
      </c>
      <c r="J273" s="13">
        <v>22.148700000000002</v>
      </c>
      <c r="K273" s="14"/>
    </row>
    <row r="274" spans="1:11" ht="22">
      <c r="A274" s="10">
        <v>6188</v>
      </c>
      <c r="B274" s="11" t="s">
        <v>763</v>
      </c>
      <c r="C274" s="10" t="s">
        <v>11</v>
      </c>
      <c r="D274" s="12" t="s">
        <v>11</v>
      </c>
      <c r="E274" s="10" t="s">
        <v>11</v>
      </c>
      <c r="F274" s="10" t="s">
        <v>85</v>
      </c>
      <c r="G274" s="10" t="s">
        <v>92</v>
      </c>
      <c r="H274" s="10" t="s">
        <v>92</v>
      </c>
      <c r="I274" s="10" t="s">
        <v>11</v>
      </c>
      <c r="J274" s="13">
        <v>22.148700000000002</v>
      </c>
      <c r="K274" s="14"/>
    </row>
    <row r="275" spans="1:11" ht="22">
      <c r="A275" s="10">
        <v>6189</v>
      </c>
      <c r="B275" s="11" t="s">
        <v>979</v>
      </c>
      <c r="C275" s="10" t="s">
        <v>11</v>
      </c>
      <c r="D275" s="12" t="s">
        <v>11</v>
      </c>
      <c r="E275" s="10" t="s">
        <v>11</v>
      </c>
      <c r="F275" s="10" t="s">
        <v>85</v>
      </c>
      <c r="G275" s="10" t="s">
        <v>92</v>
      </c>
      <c r="H275" s="10" t="s">
        <v>92</v>
      </c>
      <c r="I275" s="10" t="s">
        <v>11</v>
      </c>
      <c r="J275" s="13">
        <v>26.578440000000001</v>
      </c>
      <c r="K275" s="14"/>
    </row>
    <row r="276" spans="1:11" ht="22">
      <c r="A276" s="10">
        <v>6190</v>
      </c>
      <c r="B276" s="11" t="s">
        <v>764</v>
      </c>
      <c r="C276" s="10" t="s">
        <v>11</v>
      </c>
      <c r="D276" s="12" t="s">
        <v>11</v>
      </c>
      <c r="E276" s="10" t="s">
        <v>11</v>
      </c>
      <c r="F276" s="10" t="s">
        <v>85</v>
      </c>
      <c r="G276" s="10" t="s">
        <v>92</v>
      </c>
      <c r="H276" s="10" t="s">
        <v>92</v>
      </c>
      <c r="I276" s="10" t="s">
        <v>11</v>
      </c>
      <c r="J276" s="13">
        <v>26.578440000000001</v>
      </c>
      <c r="K276" s="14"/>
    </row>
    <row r="277" spans="1:11" ht="22">
      <c r="A277" s="10">
        <v>6191</v>
      </c>
      <c r="B277" s="11" t="s">
        <v>722</v>
      </c>
      <c r="C277" s="10" t="s">
        <v>11</v>
      </c>
      <c r="D277" s="12" t="s">
        <v>11</v>
      </c>
      <c r="E277" s="10" t="s">
        <v>11</v>
      </c>
      <c r="F277" s="10" t="s">
        <v>203</v>
      </c>
      <c r="G277" s="10" t="s">
        <v>208</v>
      </c>
      <c r="H277" s="10" t="s">
        <v>208</v>
      </c>
      <c r="I277" s="10" t="s">
        <v>11</v>
      </c>
      <c r="J277" s="13">
        <v>24.107579999999999</v>
      </c>
      <c r="K277" s="14"/>
    </row>
    <row r="278" spans="1:11" ht="22">
      <c r="A278" s="10">
        <v>6192</v>
      </c>
      <c r="B278" s="11" t="s">
        <v>723</v>
      </c>
      <c r="C278" s="10" t="s">
        <v>11</v>
      </c>
      <c r="D278" s="12" t="s">
        <v>11</v>
      </c>
      <c r="E278" s="10" t="s">
        <v>11</v>
      </c>
      <c r="F278" s="10" t="s">
        <v>203</v>
      </c>
      <c r="G278" s="10" t="s">
        <v>208</v>
      </c>
      <c r="H278" s="10" t="s">
        <v>208</v>
      </c>
      <c r="I278" s="10" t="s">
        <v>11</v>
      </c>
      <c r="J278" s="13">
        <v>24.107579999999999</v>
      </c>
      <c r="K278" s="14"/>
    </row>
    <row r="279" spans="1:11" ht="22">
      <c r="A279" s="10">
        <v>6193</v>
      </c>
      <c r="B279" s="11" t="s">
        <v>980</v>
      </c>
      <c r="C279" s="10" t="s">
        <v>11</v>
      </c>
      <c r="D279" s="12" t="s">
        <v>11</v>
      </c>
      <c r="E279" s="10" t="s">
        <v>11</v>
      </c>
      <c r="F279" s="10" t="s">
        <v>203</v>
      </c>
      <c r="G279" s="10" t="s">
        <v>208</v>
      </c>
      <c r="H279" s="10" t="s">
        <v>208</v>
      </c>
      <c r="I279" s="10" t="s">
        <v>11</v>
      </c>
      <c r="J279" s="13">
        <v>28.926869999999997</v>
      </c>
      <c r="K279" s="14"/>
    </row>
    <row r="280" spans="1:11" ht="22">
      <c r="A280" s="10">
        <v>6194</v>
      </c>
      <c r="B280" s="11" t="s">
        <v>724</v>
      </c>
      <c r="C280" s="10" t="s">
        <v>11</v>
      </c>
      <c r="D280" s="12" t="s">
        <v>11</v>
      </c>
      <c r="E280" s="10" t="s">
        <v>11</v>
      </c>
      <c r="F280" s="10" t="s">
        <v>203</v>
      </c>
      <c r="G280" s="10" t="s">
        <v>208</v>
      </c>
      <c r="H280" s="10" t="s">
        <v>208</v>
      </c>
      <c r="I280" s="10" t="s">
        <v>11</v>
      </c>
      <c r="J280" s="13">
        <v>28.926869999999997</v>
      </c>
      <c r="K280" s="14"/>
    </row>
    <row r="281" spans="1:11" ht="22">
      <c r="A281" s="10">
        <v>6195</v>
      </c>
      <c r="B281" s="11" t="s">
        <v>726</v>
      </c>
      <c r="C281" s="10" t="s">
        <v>11</v>
      </c>
      <c r="D281" s="12" t="s">
        <v>11</v>
      </c>
      <c r="E281" s="10" t="s">
        <v>11</v>
      </c>
      <c r="F281" s="10" t="s">
        <v>92</v>
      </c>
      <c r="G281" s="10" t="s">
        <v>208</v>
      </c>
      <c r="H281" s="10" t="s">
        <v>11</v>
      </c>
      <c r="I281" s="10" t="s">
        <v>11</v>
      </c>
      <c r="J281" s="13">
        <v>18.809699999999999</v>
      </c>
      <c r="K281" s="14"/>
    </row>
    <row r="282" spans="1:11" ht="22">
      <c r="A282" s="10">
        <v>6196</v>
      </c>
      <c r="B282" s="11" t="s">
        <v>727</v>
      </c>
      <c r="C282" s="10" t="s">
        <v>11</v>
      </c>
      <c r="D282" s="12" t="s">
        <v>11</v>
      </c>
      <c r="E282" s="10" t="s">
        <v>11</v>
      </c>
      <c r="F282" s="10" t="s">
        <v>92</v>
      </c>
      <c r="G282" s="10" t="s">
        <v>208</v>
      </c>
      <c r="H282" s="10" t="s">
        <v>11</v>
      </c>
      <c r="I282" s="10" t="s">
        <v>11</v>
      </c>
      <c r="J282" s="13">
        <v>18.809699999999999</v>
      </c>
      <c r="K282" s="14"/>
    </row>
    <row r="283" spans="1:11" ht="44">
      <c r="A283" s="10">
        <v>6202</v>
      </c>
      <c r="B283" s="11" t="s">
        <v>1500</v>
      </c>
      <c r="C283" s="10" t="s">
        <v>10</v>
      </c>
      <c r="D283" s="12" t="s">
        <v>772</v>
      </c>
      <c r="E283" s="12">
        <v>900</v>
      </c>
      <c r="F283" s="10" t="s">
        <v>281</v>
      </c>
      <c r="G283" s="10" t="s">
        <v>270</v>
      </c>
      <c r="H283" s="10" t="s">
        <v>270</v>
      </c>
      <c r="I283" s="10" t="s">
        <v>11</v>
      </c>
      <c r="J283" s="13">
        <v>147.2764</v>
      </c>
      <c r="K283" s="14"/>
    </row>
    <row r="284" spans="1:11" ht="44">
      <c r="A284" s="10">
        <v>6203</v>
      </c>
      <c r="B284" s="11" t="s">
        <v>1504</v>
      </c>
      <c r="C284" s="10" t="s">
        <v>10</v>
      </c>
      <c r="D284" s="12" t="s">
        <v>772</v>
      </c>
      <c r="E284" s="10">
        <v>900</v>
      </c>
      <c r="F284" s="10" t="s">
        <v>281</v>
      </c>
      <c r="G284" s="10" t="s">
        <v>270</v>
      </c>
      <c r="H284" s="10" t="s">
        <v>270</v>
      </c>
      <c r="I284" s="10" t="s">
        <v>11</v>
      </c>
      <c r="J284" s="13">
        <v>147.2764</v>
      </c>
      <c r="K284" s="14"/>
    </row>
    <row r="285" spans="1:11" ht="44">
      <c r="A285" s="10">
        <v>6204</v>
      </c>
      <c r="B285" s="11" t="s">
        <v>1505</v>
      </c>
      <c r="C285" s="10" t="s">
        <v>10</v>
      </c>
      <c r="D285" s="12" t="s">
        <v>772</v>
      </c>
      <c r="E285" s="12">
        <v>900</v>
      </c>
      <c r="F285" s="10" t="s">
        <v>281</v>
      </c>
      <c r="G285" s="10" t="s">
        <v>270</v>
      </c>
      <c r="H285" s="10" t="s">
        <v>270</v>
      </c>
      <c r="I285" s="10" t="s">
        <v>11</v>
      </c>
      <c r="J285" s="13">
        <v>147.2764</v>
      </c>
      <c r="K285" s="14"/>
    </row>
    <row r="286" spans="1:11" ht="44">
      <c r="A286" s="10">
        <v>6208</v>
      </c>
      <c r="B286" s="11" t="s">
        <v>1506</v>
      </c>
      <c r="C286" s="10" t="s">
        <v>10</v>
      </c>
      <c r="D286" s="12" t="s">
        <v>772</v>
      </c>
      <c r="E286" s="12">
        <v>900</v>
      </c>
      <c r="F286" s="10" t="s">
        <v>281</v>
      </c>
      <c r="G286" s="10" t="s">
        <v>270</v>
      </c>
      <c r="H286" s="10" t="s">
        <v>270</v>
      </c>
      <c r="I286" s="10" t="s">
        <v>11</v>
      </c>
      <c r="J286" s="13">
        <v>147.2764</v>
      </c>
      <c r="K286" s="14"/>
    </row>
    <row r="287" spans="1:11" ht="44">
      <c r="A287" s="10">
        <v>6209</v>
      </c>
      <c r="B287" s="11" t="s">
        <v>1507</v>
      </c>
      <c r="C287" s="10" t="s">
        <v>10</v>
      </c>
      <c r="D287" s="12" t="s">
        <v>772</v>
      </c>
      <c r="E287" s="10">
        <v>900</v>
      </c>
      <c r="F287" s="10" t="s">
        <v>281</v>
      </c>
      <c r="G287" s="10" t="s">
        <v>270</v>
      </c>
      <c r="H287" s="10" t="s">
        <v>270</v>
      </c>
      <c r="I287" s="10" t="s">
        <v>11</v>
      </c>
      <c r="J287" s="13">
        <v>147.2764</v>
      </c>
      <c r="K287" s="14"/>
    </row>
    <row r="288" spans="1:11" ht="44">
      <c r="A288" s="10">
        <v>6210</v>
      </c>
      <c r="B288" s="11" t="s">
        <v>1508</v>
      </c>
      <c r="C288" s="10" t="s">
        <v>10</v>
      </c>
      <c r="D288" s="12" t="s">
        <v>772</v>
      </c>
      <c r="E288" s="12">
        <v>900</v>
      </c>
      <c r="F288" s="10" t="s">
        <v>281</v>
      </c>
      <c r="G288" s="10" t="s">
        <v>270</v>
      </c>
      <c r="H288" s="10" t="s">
        <v>270</v>
      </c>
      <c r="I288" s="10" t="s">
        <v>11</v>
      </c>
      <c r="J288" s="13">
        <v>147.2764</v>
      </c>
      <c r="K288" s="14"/>
    </row>
    <row r="289" spans="1:11" ht="44">
      <c r="A289" s="10">
        <v>6211</v>
      </c>
      <c r="B289" s="11" t="s">
        <v>1509</v>
      </c>
      <c r="C289" s="10" t="s">
        <v>10</v>
      </c>
      <c r="D289" s="12" t="s">
        <v>772</v>
      </c>
      <c r="E289" s="10">
        <v>900</v>
      </c>
      <c r="F289" s="10" t="s">
        <v>281</v>
      </c>
      <c r="G289" s="10" t="s">
        <v>270</v>
      </c>
      <c r="H289" s="10" t="s">
        <v>270</v>
      </c>
      <c r="I289" s="10" t="s">
        <v>11</v>
      </c>
      <c r="J289" s="13">
        <v>147.2764</v>
      </c>
      <c r="K289" s="14"/>
    </row>
    <row r="290" spans="1:11" ht="44">
      <c r="A290" s="10">
        <v>6212</v>
      </c>
      <c r="B290" s="11" t="s">
        <v>1502</v>
      </c>
      <c r="C290" s="10" t="s">
        <v>10</v>
      </c>
      <c r="D290" s="12" t="s">
        <v>772</v>
      </c>
      <c r="E290" s="12">
        <v>900</v>
      </c>
      <c r="F290" s="10" t="s">
        <v>281</v>
      </c>
      <c r="G290" s="10" t="s">
        <v>270</v>
      </c>
      <c r="H290" s="10" t="s">
        <v>270</v>
      </c>
      <c r="I290" s="10" t="s">
        <v>11</v>
      </c>
      <c r="J290" s="13">
        <v>132.447</v>
      </c>
      <c r="K290" s="14"/>
    </row>
    <row r="291" spans="1:11" ht="44">
      <c r="A291" s="10">
        <v>6213</v>
      </c>
      <c r="B291" s="11" t="s">
        <v>1516</v>
      </c>
      <c r="C291" s="10" t="s">
        <v>10</v>
      </c>
      <c r="D291" s="12" t="s">
        <v>772</v>
      </c>
      <c r="E291" s="10">
        <v>900</v>
      </c>
      <c r="F291" s="10" t="s">
        <v>281</v>
      </c>
      <c r="G291" s="10" t="s">
        <v>270</v>
      </c>
      <c r="H291" s="10" t="s">
        <v>270</v>
      </c>
      <c r="I291" s="10" t="s">
        <v>11</v>
      </c>
      <c r="J291" s="13">
        <v>132.447</v>
      </c>
      <c r="K291" s="14"/>
    </row>
    <row r="292" spans="1:11" ht="44">
      <c r="A292" s="10">
        <v>6214</v>
      </c>
      <c r="B292" s="11" t="s">
        <v>1517</v>
      </c>
      <c r="C292" s="10" t="s">
        <v>10</v>
      </c>
      <c r="D292" s="12" t="s">
        <v>772</v>
      </c>
      <c r="E292" s="12">
        <v>900</v>
      </c>
      <c r="F292" s="10" t="s">
        <v>281</v>
      </c>
      <c r="G292" s="10" t="s">
        <v>270</v>
      </c>
      <c r="H292" s="10" t="s">
        <v>270</v>
      </c>
      <c r="I292" s="10" t="s">
        <v>11</v>
      </c>
      <c r="J292" s="13">
        <v>132.447</v>
      </c>
      <c r="K292" s="14"/>
    </row>
    <row r="293" spans="1:11" ht="44">
      <c r="A293" s="10">
        <v>6218</v>
      </c>
      <c r="B293" s="11" t="s">
        <v>1518</v>
      </c>
      <c r="C293" s="10" t="s">
        <v>10</v>
      </c>
      <c r="D293" s="12" t="s">
        <v>772</v>
      </c>
      <c r="E293" s="12">
        <v>900</v>
      </c>
      <c r="F293" s="10" t="s">
        <v>281</v>
      </c>
      <c r="G293" s="10" t="s">
        <v>270</v>
      </c>
      <c r="H293" s="10" t="s">
        <v>270</v>
      </c>
      <c r="I293" s="10" t="s">
        <v>11</v>
      </c>
      <c r="J293" s="13">
        <v>132.447</v>
      </c>
      <c r="K293" s="14"/>
    </row>
    <row r="294" spans="1:11" ht="44">
      <c r="A294" s="10">
        <v>6219</v>
      </c>
      <c r="B294" s="11" t="s">
        <v>1519</v>
      </c>
      <c r="C294" s="10" t="s">
        <v>10</v>
      </c>
      <c r="D294" s="12" t="s">
        <v>772</v>
      </c>
      <c r="E294" s="10">
        <v>900</v>
      </c>
      <c r="F294" s="10" t="s">
        <v>281</v>
      </c>
      <c r="G294" s="10" t="s">
        <v>270</v>
      </c>
      <c r="H294" s="10" t="s">
        <v>270</v>
      </c>
      <c r="I294" s="10" t="s">
        <v>11</v>
      </c>
      <c r="J294" s="13">
        <v>132.447</v>
      </c>
      <c r="K294" s="14"/>
    </row>
    <row r="295" spans="1:11" ht="44">
      <c r="A295" s="10">
        <v>6220</v>
      </c>
      <c r="B295" s="11" t="s">
        <v>1520</v>
      </c>
      <c r="C295" s="10" t="s">
        <v>10</v>
      </c>
      <c r="D295" s="12" t="s">
        <v>772</v>
      </c>
      <c r="E295" s="12">
        <v>900</v>
      </c>
      <c r="F295" s="10" t="s">
        <v>281</v>
      </c>
      <c r="G295" s="10" t="s">
        <v>270</v>
      </c>
      <c r="H295" s="10" t="s">
        <v>270</v>
      </c>
      <c r="I295" s="10" t="s">
        <v>11</v>
      </c>
      <c r="J295" s="13">
        <v>132.447</v>
      </c>
      <c r="K295" s="14"/>
    </row>
    <row r="296" spans="1:11" ht="44">
      <c r="A296" s="10">
        <v>6221</v>
      </c>
      <c r="B296" s="11" t="s">
        <v>1521</v>
      </c>
      <c r="C296" s="10" t="s">
        <v>10</v>
      </c>
      <c r="D296" s="12" t="s">
        <v>772</v>
      </c>
      <c r="E296" s="10">
        <v>900</v>
      </c>
      <c r="F296" s="10" t="s">
        <v>281</v>
      </c>
      <c r="G296" s="10" t="s">
        <v>270</v>
      </c>
      <c r="H296" s="10" t="s">
        <v>270</v>
      </c>
      <c r="I296" s="10" t="s">
        <v>11</v>
      </c>
      <c r="J296" s="13">
        <v>132.447</v>
      </c>
      <c r="K296" s="14"/>
    </row>
    <row r="297" spans="1:11" ht="44">
      <c r="A297" s="10">
        <v>6222</v>
      </c>
      <c r="B297" s="11" t="s">
        <v>794</v>
      </c>
      <c r="C297" s="10" t="s">
        <v>10</v>
      </c>
      <c r="D297" s="12" t="s">
        <v>772</v>
      </c>
      <c r="E297" s="12">
        <v>900</v>
      </c>
      <c r="F297" s="10" t="s">
        <v>843</v>
      </c>
      <c r="G297" s="10" t="s">
        <v>289</v>
      </c>
      <c r="H297" s="10" t="s">
        <v>289</v>
      </c>
      <c r="I297" s="10" t="s">
        <v>11</v>
      </c>
      <c r="J297" s="13">
        <v>266.00700000000001</v>
      </c>
      <c r="K297" s="14"/>
    </row>
    <row r="298" spans="1:11" ht="44">
      <c r="A298" s="10">
        <v>6223</v>
      </c>
      <c r="B298" s="11" t="s">
        <v>795</v>
      </c>
      <c r="C298" s="10" t="s">
        <v>10</v>
      </c>
      <c r="D298" s="12" t="s">
        <v>772</v>
      </c>
      <c r="E298" s="10">
        <v>900</v>
      </c>
      <c r="F298" s="10" t="s">
        <v>843</v>
      </c>
      <c r="G298" s="10" t="s">
        <v>289</v>
      </c>
      <c r="H298" s="10" t="s">
        <v>289</v>
      </c>
      <c r="I298" s="10" t="s">
        <v>11</v>
      </c>
      <c r="J298" s="13">
        <v>266.00700000000001</v>
      </c>
      <c r="K298" s="14"/>
    </row>
    <row r="299" spans="1:11" ht="44">
      <c r="A299" s="10">
        <v>6224</v>
      </c>
      <c r="B299" s="11" t="s">
        <v>796</v>
      </c>
      <c r="C299" s="10" t="s">
        <v>10</v>
      </c>
      <c r="D299" s="12" t="s">
        <v>772</v>
      </c>
      <c r="E299" s="12">
        <v>900</v>
      </c>
      <c r="F299" s="10" t="s">
        <v>843</v>
      </c>
      <c r="G299" s="10" t="s">
        <v>289</v>
      </c>
      <c r="H299" s="10" t="s">
        <v>289</v>
      </c>
      <c r="I299" s="10" t="s">
        <v>11</v>
      </c>
      <c r="J299" s="13">
        <v>266.00700000000001</v>
      </c>
      <c r="K299" s="14"/>
    </row>
    <row r="300" spans="1:11" ht="44">
      <c r="A300" s="10">
        <v>6228</v>
      </c>
      <c r="B300" s="11" t="s">
        <v>797</v>
      </c>
      <c r="C300" s="10" t="s">
        <v>10</v>
      </c>
      <c r="D300" s="12" t="s">
        <v>772</v>
      </c>
      <c r="E300" s="12">
        <v>900</v>
      </c>
      <c r="F300" s="10" t="s">
        <v>843</v>
      </c>
      <c r="G300" s="10" t="s">
        <v>289</v>
      </c>
      <c r="H300" s="10" t="s">
        <v>289</v>
      </c>
      <c r="I300" s="10" t="s">
        <v>11</v>
      </c>
      <c r="J300" s="13">
        <v>266.00700000000001</v>
      </c>
      <c r="K300" s="14"/>
    </row>
    <row r="301" spans="1:11" ht="44">
      <c r="A301" s="10">
        <v>6229</v>
      </c>
      <c r="B301" s="11" t="s">
        <v>799</v>
      </c>
      <c r="C301" s="10" t="s">
        <v>10</v>
      </c>
      <c r="D301" s="12" t="s">
        <v>772</v>
      </c>
      <c r="E301" s="10">
        <v>900</v>
      </c>
      <c r="F301" s="10" t="s">
        <v>843</v>
      </c>
      <c r="G301" s="10" t="s">
        <v>289</v>
      </c>
      <c r="H301" s="10" t="s">
        <v>289</v>
      </c>
      <c r="I301" s="10" t="s">
        <v>11</v>
      </c>
      <c r="J301" s="13">
        <v>266.00700000000001</v>
      </c>
      <c r="K301" s="14"/>
    </row>
    <row r="302" spans="1:11" ht="44">
      <c r="A302" s="10">
        <v>6230</v>
      </c>
      <c r="B302" s="11" t="s">
        <v>800</v>
      </c>
      <c r="C302" s="10" t="s">
        <v>10</v>
      </c>
      <c r="D302" s="12" t="s">
        <v>772</v>
      </c>
      <c r="E302" s="12">
        <v>900</v>
      </c>
      <c r="F302" s="10" t="s">
        <v>843</v>
      </c>
      <c r="G302" s="10" t="s">
        <v>289</v>
      </c>
      <c r="H302" s="10" t="s">
        <v>289</v>
      </c>
      <c r="I302" s="10" t="s">
        <v>11</v>
      </c>
      <c r="J302" s="13">
        <v>266.00700000000001</v>
      </c>
      <c r="K302" s="14"/>
    </row>
    <row r="303" spans="1:11" ht="44">
      <c r="A303" s="10">
        <v>6231</v>
      </c>
      <c r="B303" s="11" t="s">
        <v>801</v>
      </c>
      <c r="C303" s="10" t="s">
        <v>10</v>
      </c>
      <c r="D303" s="12" t="s">
        <v>772</v>
      </c>
      <c r="E303" s="10">
        <v>900</v>
      </c>
      <c r="F303" s="10" t="s">
        <v>843</v>
      </c>
      <c r="G303" s="10" t="s">
        <v>289</v>
      </c>
      <c r="H303" s="10" t="s">
        <v>289</v>
      </c>
      <c r="I303" s="10" t="s">
        <v>11</v>
      </c>
      <c r="J303" s="13">
        <v>266.00700000000001</v>
      </c>
      <c r="K303" s="14"/>
    </row>
    <row r="304" spans="1:11" ht="22">
      <c r="A304" s="10">
        <v>6272</v>
      </c>
      <c r="B304" s="11" t="s">
        <v>827</v>
      </c>
      <c r="C304" s="10" t="s">
        <v>10</v>
      </c>
      <c r="D304" s="12" t="s">
        <v>134</v>
      </c>
      <c r="E304" s="12">
        <v>225</v>
      </c>
      <c r="F304" s="10" t="s">
        <v>15</v>
      </c>
      <c r="G304" s="10" t="s">
        <v>90</v>
      </c>
      <c r="H304" s="10" t="s">
        <v>90</v>
      </c>
      <c r="I304" s="10" t="s">
        <v>11</v>
      </c>
      <c r="J304" s="13">
        <v>132.447</v>
      </c>
      <c r="K304" s="14"/>
    </row>
    <row r="305" spans="1:11" ht="22">
      <c r="A305" s="10">
        <v>6382</v>
      </c>
      <c r="B305" s="11" t="s">
        <v>822</v>
      </c>
      <c r="C305" s="10" t="s">
        <v>10</v>
      </c>
      <c r="D305" s="12" t="s">
        <v>134</v>
      </c>
      <c r="E305" s="12">
        <v>225</v>
      </c>
      <c r="F305" s="10" t="s">
        <v>93</v>
      </c>
      <c r="G305" s="10" t="s">
        <v>90</v>
      </c>
      <c r="H305" s="10" t="s">
        <v>90</v>
      </c>
      <c r="I305" s="10" t="s">
        <v>11</v>
      </c>
      <c r="J305" s="13">
        <v>121.31700000000001</v>
      </c>
      <c r="K305" s="14"/>
    </row>
    <row r="306" spans="1:11" ht="22">
      <c r="A306" s="10">
        <v>6384</v>
      </c>
      <c r="B306" s="11" t="s">
        <v>824</v>
      </c>
      <c r="C306" s="10" t="s">
        <v>10</v>
      </c>
      <c r="D306" s="12" t="s">
        <v>134</v>
      </c>
      <c r="E306" s="12">
        <v>225</v>
      </c>
      <c r="F306" s="10" t="s">
        <v>96</v>
      </c>
      <c r="G306" s="10" t="s">
        <v>90</v>
      </c>
      <c r="H306" s="10" t="s">
        <v>90</v>
      </c>
      <c r="I306" s="10" t="s">
        <v>11</v>
      </c>
      <c r="J306" s="13">
        <v>127.995</v>
      </c>
      <c r="K306" s="14"/>
    </row>
    <row r="307" spans="1:11" ht="22">
      <c r="A307" s="10">
        <v>6386</v>
      </c>
      <c r="B307" s="11" t="s">
        <v>823</v>
      </c>
      <c r="C307" s="10" t="s">
        <v>10</v>
      </c>
      <c r="D307" s="12" t="s">
        <v>134</v>
      </c>
      <c r="E307" s="12">
        <v>225</v>
      </c>
      <c r="F307" s="10" t="s">
        <v>93</v>
      </c>
      <c r="G307" s="10" t="s">
        <v>90</v>
      </c>
      <c r="H307" s="10" t="s">
        <v>90</v>
      </c>
      <c r="I307" s="10" t="s">
        <v>11</v>
      </c>
      <c r="J307" s="13">
        <v>121.31700000000001</v>
      </c>
      <c r="K307" s="14"/>
    </row>
    <row r="308" spans="1:11" ht="22">
      <c r="A308" s="10">
        <v>6388</v>
      </c>
      <c r="B308" s="11" t="s">
        <v>825</v>
      </c>
      <c r="C308" s="10" t="s">
        <v>10</v>
      </c>
      <c r="D308" s="12" t="s">
        <v>134</v>
      </c>
      <c r="E308" s="12">
        <v>225</v>
      </c>
      <c r="F308" s="10" t="s">
        <v>96</v>
      </c>
      <c r="G308" s="10" t="s">
        <v>90</v>
      </c>
      <c r="H308" s="10" t="s">
        <v>90</v>
      </c>
      <c r="I308" s="10" t="s">
        <v>11</v>
      </c>
      <c r="J308" s="13">
        <v>127.995</v>
      </c>
      <c r="K308" s="14"/>
    </row>
    <row r="309" spans="1:11" ht="44">
      <c r="A309" s="10">
        <v>6390</v>
      </c>
      <c r="B309" s="11" t="s">
        <v>1008</v>
      </c>
      <c r="C309" s="10" t="s">
        <v>10</v>
      </c>
      <c r="D309" s="12" t="s">
        <v>770</v>
      </c>
      <c r="E309" s="12">
        <v>900</v>
      </c>
      <c r="F309" s="10" t="s">
        <v>93</v>
      </c>
      <c r="G309" s="10" t="s">
        <v>301</v>
      </c>
      <c r="H309" s="10" t="s">
        <v>301</v>
      </c>
      <c r="I309" s="10" t="s">
        <v>11</v>
      </c>
      <c r="J309" s="13">
        <v>154.70699999999999</v>
      </c>
      <c r="K309" s="14"/>
    </row>
    <row r="310" spans="1:11" ht="44">
      <c r="A310" s="10">
        <v>6392</v>
      </c>
      <c r="B310" s="11" t="s">
        <v>1010</v>
      </c>
      <c r="C310" s="10" t="s">
        <v>10</v>
      </c>
      <c r="D310" s="12" t="s">
        <v>770</v>
      </c>
      <c r="E310" s="12">
        <v>900</v>
      </c>
      <c r="F310" s="10" t="s">
        <v>96</v>
      </c>
      <c r="G310" s="10" t="s">
        <v>301</v>
      </c>
      <c r="H310" s="10" t="s">
        <v>301</v>
      </c>
      <c r="I310" s="10" t="s">
        <v>11</v>
      </c>
      <c r="J310" s="13">
        <v>161.38500000000002</v>
      </c>
      <c r="K310" s="14"/>
    </row>
    <row r="311" spans="1:11" ht="44">
      <c r="A311" s="10">
        <v>6396</v>
      </c>
      <c r="B311" s="11" t="s">
        <v>1009</v>
      </c>
      <c r="C311" s="10" t="s">
        <v>10</v>
      </c>
      <c r="D311" s="12" t="s">
        <v>770</v>
      </c>
      <c r="E311" s="10">
        <v>900</v>
      </c>
      <c r="F311" s="10" t="s">
        <v>93</v>
      </c>
      <c r="G311" s="10" t="s">
        <v>301</v>
      </c>
      <c r="H311" s="10" t="s">
        <v>301</v>
      </c>
      <c r="I311" s="10" t="s">
        <v>11</v>
      </c>
      <c r="J311" s="13">
        <v>154.70699999999999</v>
      </c>
      <c r="K311" s="14"/>
    </row>
    <row r="312" spans="1:11" ht="44">
      <c r="A312" s="10">
        <v>6398</v>
      </c>
      <c r="B312" s="11" t="s">
        <v>1011</v>
      </c>
      <c r="C312" s="10" t="s">
        <v>10</v>
      </c>
      <c r="D312" s="12" t="s">
        <v>770</v>
      </c>
      <c r="E312" s="10">
        <v>900</v>
      </c>
      <c r="F312" s="10" t="s">
        <v>96</v>
      </c>
      <c r="G312" s="10" t="s">
        <v>301</v>
      </c>
      <c r="H312" s="10" t="s">
        <v>301</v>
      </c>
      <c r="I312" s="10" t="s">
        <v>11</v>
      </c>
      <c r="J312" s="13">
        <v>161.38500000000002</v>
      </c>
      <c r="K312" s="14"/>
    </row>
    <row r="313" spans="1:11" ht="22">
      <c r="A313" s="10">
        <v>6399</v>
      </c>
      <c r="B313" s="11" t="s">
        <v>1014</v>
      </c>
      <c r="C313" s="10" t="s">
        <v>182</v>
      </c>
      <c r="D313" s="12" t="s">
        <v>11</v>
      </c>
      <c r="E313" s="12" t="s">
        <v>11</v>
      </c>
      <c r="F313" s="10" t="s">
        <v>93</v>
      </c>
      <c r="G313" s="10" t="s">
        <v>108</v>
      </c>
      <c r="H313" s="10" t="s">
        <v>108</v>
      </c>
      <c r="I313" s="10"/>
      <c r="J313" s="13">
        <v>99.057000000000002</v>
      </c>
      <c r="K313" s="14"/>
    </row>
    <row r="314" spans="1:11" ht="22">
      <c r="A314" s="10">
        <v>6400</v>
      </c>
      <c r="B314" s="11" t="s">
        <v>1016</v>
      </c>
      <c r="C314" s="10" t="s">
        <v>182</v>
      </c>
      <c r="D314" s="12" t="s">
        <v>11</v>
      </c>
      <c r="E314" s="12" t="s">
        <v>11</v>
      </c>
      <c r="F314" s="10" t="s">
        <v>96</v>
      </c>
      <c r="G314" s="10" t="s">
        <v>108</v>
      </c>
      <c r="H314" s="10" t="s">
        <v>108</v>
      </c>
      <c r="I314" s="10"/>
      <c r="J314" s="13">
        <v>105.735</v>
      </c>
      <c r="K314" s="14"/>
    </row>
    <row r="315" spans="1:11" ht="22">
      <c r="A315" s="10">
        <v>6401</v>
      </c>
      <c r="B315" s="11" t="s">
        <v>1015</v>
      </c>
      <c r="C315" s="10" t="s">
        <v>182</v>
      </c>
      <c r="D315" s="12" t="s">
        <v>11</v>
      </c>
      <c r="E315" s="10" t="s">
        <v>11</v>
      </c>
      <c r="F315" s="10" t="s">
        <v>93</v>
      </c>
      <c r="G315" s="10" t="s">
        <v>108</v>
      </c>
      <c r="H315" s="10" t="s">
        <v>108</v>
      </c>
      <c r="I315" s="10" t="s">
        <v>11</v>
      </c>
      <c r="J315" s="13">
        <v>99.057000000000002</v>
      </c>
      <c r="K315" s="14"/>
    </row>
    <row r="316" spans="1:11" ht="22">
      <c r="A316" s="10">
        <v>6402</v>
      </c>
      <c r="B316" s="11" t="s">
        <v>1017</v>
      </c>
      <c r="C316" s="10" t="s">
        <v>182</v>
      </c>
      <c r="D316" s="12" t="s">
        <v>11</v>
      </c>
      <c r="E316" s="10" t="s">
        <v>11</v>
      </c>
      <c r="F316" s="10" t="s">
        <v>96</v>
      </c>
      <c r="G316" s="10" t="s">
        <v>108</v>
      </c>
      <c r="H316" s="10" t="s">
        <v>108</v>
      </c>
      <c r="I316" s="10" t="s">
        <v>11</v>
      </c>
      <c r="J316" s="13">
        <v>105.735</v>
      </c>
      <c r="K316" s="14"/>
    </row>
    <row r="317" spans="1:11" ht="22">
      <c r="A317" s="10">
        <v>6403</v>
      </c>
      <c r="B317" s="11" t="s">
        <v>828</v>
      </c>
      <c r="C317" s="10" t="s">
        <v>273</v>
      </c>
      <c r="D317" s="12" t="s">
        <v>11</v>
      </c>
      <c r="E317" s="12" t="s">
        <v>11</v>
      </c>
      <c r="F317" s="10" t="s">
        <v>93</v>
      </c>
      <c r="G317" s="10" t="s">
        <v>221</v>
      </c>
      <c r="H317" s="10" t="s">
        <v>222</v>
      </c>
      <c r="I317" s="10" t="s">
        <v>11</v>
      </c>
      <c r="J317" s="13">
        <v>116.86500000000001</v>
      </c>
      <c r="K317" s="14"/>
    </row>
    <row r="318" spans="1:11" ht="22">
      <c r="A318" s="10">
        <v>6404</v>
      </c>
      <c r="B318" s="11" t="s">
        <v>830</v>
      </c>
      <c r="C318" s="10" t="s">
        <v>273</v>
      </c>
      <c r="D318" s="12" t="s">
        <v>11</v>
      </c>
      <c r="E318" s="12" t="s">
        <v>11</v>
      </c>
      <c r="F318" s="10" t="s">
        <v>96</v>
      </c>
      <c r="G318" s="10" t="s">
        <v>221</v>
      </c>
      <c r="H318" s="10" t="s">
        <v>222</v>
      </c>
      <c r="I318" s="10" t="s">
        <v>11</v>
      </c>
      <c r="J318" s="13">
        <v>121.31700000000001</v>
      </c>
      <c r="K318" s="14"/>
    </row>
    <row r="319" spans="1:11" ht="22">
      <c r="A319" s="10">
        <v>6405</v>
      </c>
      <c r="B319" s="11" t="s">
        <v>829</v>
      </c>
      <c r="C319" s="10" t="s">
        <v>273</v>
      </c>
      <c r="D319" s="12" t="s">
        <v>11</v>
      </c>
      <c r="E319" s="10" t="s">
        <v>11</v>
      </c>
      <c r="F319" s="10" t="s">
        <v>93</v>
      </c>
      <c r="G319" s="10" t="s">
        <v>221</v>
      </c>
      <c r="H319" s="10" t="s">
        <v>222</v>
      </c>
      <c r="I319" s="10" t="s">
        <v>11</v>
      </c>
      <c r="J319" s="13">
        <v>116.86500000000001</v>
      </c>
      <c r="K319" s="14"/>
    </row>
    <row r="320" spans="1:11" ht="22">
      <c r="A320" s="10">
        <v>6407</v>
      </c>
      <c r="B320" s="11" t="s">
        <v>831</v>
      </c>
      <c r="C320" s="10" t="s">
        <v>273</v>
      </c>
      <c r="D320" s="12" t="s">
        <v>11</v>
      </c>
      <c r="E320" s="10" t="s">
        <v>11</v>
      </c>
      <c r="F320" s="10" t="s">
        <v>96</v>
      </c>
      <c r="G320" s="10" t="s">
        <v>221</v>
      </c>
      <c r="H320" s="10" t="s">
        <v>222</v>
      </c>
      <c r="I320" s="10" t="s">
        <v>11</v>
      </c>
      <c r="J320" s="13">
        <v>121.31700000000001</v>
      </c>
      <c r="K320" s="14"/>
    </row>
    <row r="321" spans="1:11" ht="22">
      <c r="A321" s="10">
        <v>6408</v>
      </c>
      <c r="B321" s="11" t="s">
        <v>834</v>
      </c>
      <c r="C321" s="10" t="s">
        <v>102</v>
      </c>
      <c r="D321" s="12" t="s">
        <v>11</v>
      </c>
      <c r="E321" s="12" t="s">
        <v>11</v>
      </c>
      <c r="F321" s="10" t="s">
        <v>93</v>
      </c>
      <c r="G321" s="10" t="s">
        <v>92</v>
      </c>
      <c r="H321" s="10" t="s">
        <v>222</v>
      </c>
      <c r="I321" s="10" t="s">
        <v>11</v>
      </c>
      <c r="J321" s="13">
        <v>143.577</v>
      </c>
      <c r="K321" s="39"/>
    </row>
    <row r="322" spans="1:11" ht="22">
      <c r="A322" s="20">
        <v>6409</v>
      </c>
      <c r="B322" s="11" t="s">
        <v>836</v>
      </c>
      <c r="C322" s="10" t="s">
        <v>102</v>
      </c>
      <c r="D322" s="12" t="s">
        <v>11</v>
      </c>
      <c r="E322" s="12" t="s">
        <v>11</v>
      </c>
      <c r="F322" s="10" t="s">
        <v>96</v>
      </c>
      <c r="G322" s="10" t="s">
        <v>92</v>
      </c>
      <c r="H322" s="10" t="s">
        <v>222</v>
      </c>
      <c r="I322" s="10" t="s">
        <v>11</v>
      </c>
      <c r="J322" s="13">
        <v>150.255</v>
      </c>
      <c r="K322" s="14"/>
    </row>
    <row r="323" spans="1:11" ht="22">
      <c r="A323" s="20">
        <v>6410</v>
      </c>
      <c r="B323" s="11" t="s">
        <v>835</v>
      </c>
      <c r="C323" s="10" t="s">
        <v>102</v>
      </c>
      <c r="D323" s="12" t="s">
        <v>11</v>
      </c>
      <c r="E323" s="10" t="s">
        <v>11</v>
      </c>
      <c r="F323" s="10" t="s">
        <v>93</v>
      </c>
      <c r="G323" s="10" t="s">
        <v>92</v>
      </c>
      <c r="H323" s="10" t="s">
        <v>222</v>
      </c>
      <c r="I323" s="10" t="s">
        <v>11</v>
      </c>
      <c r="J323" s="13">
        <v>143.577</v>
      </c>
      <c r="K323" s="14"/>
    </row>
    <row r="324" spans="1:11" ht="22">
      <c r="A324" s="20">
        <v>6411</v>
      </c>
      <c r="B324" s="11" t="s">
        <v>837</v>
      </c>
      <c r="C324" s="10" t="s">
        <v>102</v>
      </c>
      <c r="D324" s="12" t="s">
        <v>11</v>
      </c>
      <c r="E324" s="10" t="s">
        <v>11</v>
      </c>
      <c r="F324" s="10" t="s">
        <v>96</v>
      </c>
      <c r="G324" s="10" t="s">
        <v>92</v>
      </c>
      <c r="H324" s="10" t="s">
        <v>222</v>
      </c>
      <c r="I324" s="10" t="s">
        <v>11</v>
      </c>
      <c r="J324" s="13">
        <v>150.255</v>
      </c>
      <c r="K324" s="14"/>
    </row>
    <row r="325" spans="1:11" ht="44">
      <c r="A325" s="10">
        <v>6726</v>
      </c>
      <c r="B325" s="11" t="s">
        <v>991</v>
      </c>
      <c r="C325" s="10" t="s">
        <v>10</v>
      </c>
      <c r="D325" s="12" t="s">
        <v>990</v>
      </c>
      <c r="E325" s="12">
        <v>1425</v>
      </c>
      <c r="F325" s="10" t="s">
        <v>347</v>
      </c>
      <c r="G325" s="10" t="s">
        <v>440</v>
      </c>
      <c r="H325" s="10" t="s">
        <v>440</v>
      </c>
      <c r="I325" s="10" t="s">
        <v>91</v>
      </c>
      <c r="J325" s="13">
        <v>244.86</v>
      </c>
      <c r="K325" s="14"/>
    </row>
    <row r="326" spans="1:11" ht="44">
      <c r="A326" s="10">
        <v>6727</v>
      </c>
      <c r="B326" s="11" t="s">
        <v>992</v>
      </c>
      <c r="C326" s="10" t="s">
        <v>10</v>
      </c>
      <c r="D326" s="12" t="s">
        <v>990</v>
      </c>
      <c r="E326" s="10">
        <v>1425</v>
      </c>
      <c r="F326" s="10" t="s">
        <v>347</v>
      </c>
      <c r="G326" s="10" t="s">
        <v>440</v>
      </c>
      <c r="H326" s="10" t="s">
        <v>440</v>
      </c>
      <c r="I326" s="10" t="s">
        <v>91</v>
      </c>
      <c r="J326" s="13">
        <v>244.86</v>
      </c>
      <c r="K326" s="14"/>
    </row>
    <row r="327" spans="1:11" ht="44">
      <c r="A327" s="10">
        <v>6728</v>
      </c>
      <c r="B327" s="11" t="s">
        <v>993</v>
      </c>
      <c r="C327" s="10" t="s">
        <v>10</v>
      </c>
      <c r="D327" s="12" t="s">
        <v>990</v>
      </c>
      <c r="E327" s="12">
        <v>1425</v>
      </c>
      <c r="F327" s="10" t="s">
        <v>347</v>
      </c>
      <c r="G327" s="10" t="s">
        <v>440</v>
      </c>
      <c r="H327" s="10" t="s">
        <v>440</v>
      </c>
      <c r="I327" s="10" t="s">
        <v>91</v>
      </c>
      <c r="J327" s="13">
        <v>244.86</v>
      </c>
      <c r="K327" s="14"/>
    </row>
    <row r="328" spans="1:11" ht="44">
      <c r="A328" s="10">
        <v>6732</v>
      </c>
      <c r="B328" s="11" t="s">
        <v>994</v>
      </c>
      <c r="C328" s="10" t="s">
        <v>10</v>
      </c>
      <c r="D328" s="12" t="s">
        <v>990</v>
      </c>
      <c r="E328" s="12">
        <v>1425</v>
      </c>
      <c r="F328" s="10" t="s">
        <v>347</v>
      </c>
      <c r="G328" s="10" t="s">
        <v>440</v>
      </c>
      <c r="H328" s="10" t="s">
        <v>440</v>
      </c>
      <c r="I328" s="10" t="s">
        <v>91</v>
      </c>
      <c r="J328" s="13">
        <v>244.86</v>
      </c>
      <c r="K328" s="14"/>
    </row>
    <row r="329" spans="1:11" ht="44">
      <c r="A329" s="10">
        <v>6733</v>
      </c>
      <c r="B329" s="11" t="s">
        <v>995</v>
      </c>
      <c r="C329" s="10" t="s">
        <v>10</v>
      </c>
      <c r="D329" s="12" t="s">
        <v>990</v>
      </c>
      <c r="E329" s="10">
        <v>1425</v>
      </c>
      <c r="F329" s="10" t="s">
        <v>347</v>
      </c>
      <c r="G329" s="10" t="s">
        <v>440</v>
      </c>
      <c r="H329" s="10" t="s">
        <v>440</v>
      </c>
      <c r="I329" s="10" t="s">
        <v>91</v>
      </c>
      <c r="J329" s="13">
        <v>244.86</v>
      </c>
      <c r="K329" s="14"/>
    </row>
    <row r="330" spans="1:11" ht="44">
      <c r="A330" s="10">
        <v>6734</v>
      </c>
      <c r="B330" s="11" t="s">
        <v>996</v>
      </c>
      <c r="C330" s="10" t="s">
        <v>10</v>
      </c>
      <c r="D330" s="12" t="s">
        <v>990</v>
      </c>
      <c r="E330" s="12">
        <v>1425</v>
      </c>
      <c r="F330" s="10" t="s">
        <v>347</v>
      </c>
      <c r="G330" s="10" t="s">
        <v>440</v>
      </c>
      <c r="H330" s="10" t="s">
        <v>440</v>
      </c>
      <c r="I330" s="10" t="s">
        <v>91</v>
      </c>
      <c r="J330" s="13">
        <v>244.86</v>
      </c>
      <c r="K330" s="14"/>
    </row>
    <row r="331" spans="1:11" ht="44">
      <c r="A331" s="10">
        <v>6735</v>
      </c>
      <c r="B331" s="11" t="s">
        <v>997</v>
      </c>
      <c r="C331" s="10" t="s">
        <v>10</v>
      </c>
      <c r="D331" s="12" t="s">
        <v>990</v>
      </c>
      <c r="E331" s="10">
        <v>1425</v>
      </c>
      <c r="F331" s="10" t="s">
        <v>347</v>
      </c>
      <c r="G331" s="10" t="s">
        <v>440</v>
      </c>
      <c r="H331" s="10" t="s">
        <v>440</v>
      </c>
      <c r="I331" s="10" t="s">
        <v>91</v>
      </c>
      <c r="J331" s="13">
        <v>244.86</v>
      </c>
      <c r="K331" s="14"/>
    </row>
    <row r="332" spans="1:11" ht="44">
      <c r="A332" s="10">
        <v>6736</v>
      </c>
      <c r="B332" s="11" t="s">
        <v>982</v>
      </c>
      <c r="C332" s="10" t="s">
        <v>10</v>
      </c>
      <c r="D332" s="12" t="s">
        <v>988</v>
      </c>
      <c r="E332" s="12">
        <v>713</v>
      </c>
      <c r="F332" s="10" t="s">
        <v>14</v>
      </c>
      <c r="G332" s="10" t="s">
        <v>86</v>
      </c>
      <c r="H332" s="10" t="s">
        <v>85</v>
      </c>
      <c r="I332" s="10" t="s">
        <v>11</v>
      </c>
      <c r="J332" s="13">
        <v>165.83699999999999</v>
      </c>
      <c r="K332" s="14"/>
    </row>
    <row r="333" spans="1:11" ht="44">
      <c r="A333" s="10">
        <v>6737</v>
      </c>
      <c r="B333" s="11" t="s">
        <v>983</v>
      </c>
      <c r="C333" s="10" t="s">
        <v>10</v>
      </c>
      <c r="D333" s="12" t="s">
        <v>988</v>
      </c>
      <c r="E333" s="10">
        <v>713</v>
      </c>
      <c r="F333" s="10" t="s">
        <v>14</v>
      </c>
      <c r="G333" s="10" t="s">
        <v>86</v>
      </c>
      <c r="H333" s="10" t="s">
        <v>85</v>
      </c>
      <c r="I333" s="10" t="s">
        <v>11</v>
      </c>
      <c r="J333" s="13">
        <v>165.83699999999999</v>
      </c>
      <c r="K333" s="14"/>
    </row>
    <row r="334" spans="1:11" ht="44">
      <c r="A334" s="10">
        <v>6738</v>
      </c>
      <c r="B334" s="11" t="s">
        <v>984</v>
      </c>
      <c r="C334" s="10" t="s">
        <v>10</v>
      </c>
      <c r="D334" s="12" t="s">
        <v>988</v>
      </c>
      <c r="E334" s="12">
        <v>713</v>
      </c>
      <c r="F334" s="10" t="s">
        <v>14</v>
      </c>
      <c r="G334" s="10" t="s">
        <v>86</v>
      </c>
      <c r="H334" s="10" t="s">
        <v>85</v>
      </c>
      <c r="I334" s="10" t="s">
        <v>11</v>
      </c>
      <c r="J334" s="13">
        <v>165.83699999999999</v>
      </c>
      <c r="K334" s="14"/>
    </row>
    <row r="335" spans="1:11" ht="88">
      <c r="A335" s="10">
        <v>6744</v>
      </c>
      <c r="B335" s="11" t="s">
        <v>985</v>
      </c>
      <c r="C335" s="10" t="s">
        <v>10</v>
      </c>
      <c r="D335" s="12" t="s">
        <v>989</v>
      </c>
      <c r="E335" s="12">
        <v>938</v>
      </c>
      <c r="F335" s="10" t="s">
        <v>14</v>
      </c>
      <c r="G335" s="10" t="s">
        <v>86</v>
      </c>
      <c r="H335" s="10" t="s">
        <v>85</v>
      </c>
      <c r="I335" s="10" t="s">
        <v>11</v>
      </c>
      <c r="J335" s="13">
        <v>254.87700000000001</v>
      </c>
      <c r="K335" s="14"/>
    </row>
    <row r="336" spans="1:11" ht="88">
      <c r="A336" s="10">
        <v>6745</v>
      </c>
      <c r="B336" s="11" t="s">
        <v>986</v>
      </c>
      <c r="C336" s="10" t="s">
        <v>10</v>
      </c>
      <c r="D336" s="12" t="s">
        <v>989</v>
      </c>
      <c r="E336" s="10">
        <v>938</v>
      </c>
      <c r="F336" s="10" t="s">
        <v>14</v>
      </c>
      <c r="G336" s="10" t="s">
        <v>86</v>
      </c>
      <c r="H336" s="10" t="s">
        <v>85</v>
      </c>
      <c r="I336" s="10" t="s">
        <v>11</v>
      </c>
      <c r="J336" s="13">
        <v>254.87700000000001</v>
      </c>
      <c r="K336" s="14"/>
    </row>
    <row r="337" spans="1:11" ht="88">
      <c r="A337" s="10">
        <v>6746</v>
      </c>
      <c r="B337" s="11" t="s">
        <v>987</v>
      </c>
      <c r="C337" s="10" t="s">
        <v>10</v>
      </c>
      <c r="D337" s="12" t="s">
        <v>989</v>
      </c>
      <c r="E337" s="12">
        <v>938</v>
      </c>
      <c r="F337" s="10" t="s">
        <v>14</v>
      </c>
      <c r="G337" s="10" t="s">
        <v>86</v>
      </c>
      <c r="H337" s="10" t="s">
        <v>85</v>
      </c>
      <c r="I337" s="10" t="s">
        <v>11</v>
      </c>
      <c r="J337" s="13">
        <v>254.87700000000001</v>
      </c>
      <c r="K337" s="14"/>
    </row>
    <row r="338" spans="1:11" ht="96">
      <c r="A338" s="10">
        <v>7426</v>
      </c>
      <c r="B338" s="11" t="s">
        <v>1535</v>
      </c>
      <c r="C338" s="10" t="s">
        <v>11</v>
      </c>
      <c r="D338" s="12" t="s">
        <v>11</v>
      </c>
      <c r="E338" s="12" t="s">
        <v>11</v>
      </c>
      <c r="F338" s="10" t="s">
        <v>1007</v>
      </c>
      <c r="G338" s="10" t="s">
        <v>1006</v>
      </c>
      <c r="H338" s="10" t="s">
        <v>91</v>
      </c>
      <c r="I338" s="10" t="s">
        <v>11</v>
      </c>
      <c r="J338" s="13">
        <v>127.3802</v>
      </c>
      <c r="K338" s="21" t="s">
        <v>1020</v>
      </c>
    </row>
    <row r="339" spans="1:11" ht="96">
      <c r="A339" s="10">
        <v>7427</v>
      </c>
      <c r="B339" s="11" t="s">
        <v>1533</v>
      </c>
      <c r="C339" s="10" t="s">
        <v>11</v>
      </c>
      <c r="D339" s="12" t="s">
        <v>11</v>
      </c>
      <c r="E339" s="10" t="s">
        <v>11</v>
      </c>
      <c r="F339" s="10" t="s">
        <v>85</v>
      </c>
      <c r="G339" s="10" t="s">
        <v>1005</v>
      </c>
      <c r="H339" s="10" t="s">
        <v>1045</v>
      </c>
      <c r="I339" s="10" t="s">
        <v>11</v>
      </c>
      <c r="J339" s="13">
        <v>172.5574</v>
      </c>
      <c r="K339" s="21" t="s">
        <v>1020</v>
      </c>
    </row>
    <row r="340" spans="1:11" ht="96">
      <c r="A340" s="10">
        <v>7471</v>
      </c>
      <c r="B340" s="11" t="s">
        <v>1035</v>
      </c>
      <c r="C340" s="10" t="s">
        <v>102</v>
      </c>
      <c r="D340" s="12" t="s">
        <v>11</v>
      </c>
      <c r="E340" s="10" t="s">
        <v>11</v>
      </c>
      <c r="F340" s="10" t="s">
        <v>1051</v>
      </c>
      <c r="G340" s="10" t="s">
        <v>1052</v>
      </c>
      <c r="H340" s="10" t="s">
        <v>1052</v>
      </c>
      <c r="I340" s="10" t="s">
        <v>11</v>
      </c>
      <c r="J340" s="13">
        <v>31.8</v>
      </c>
      <c r="K340" s="21" t="s">
        <v>1020</v>
      </c>
    </row>
    <row r="341" spans="1:11" ht="96">
      <c r="A341" s="10">
        <v>7472</v>
      </c>
      <c r="B341" s="11" t="s">
        <v>1036</v>
      </c>
      <c r="C341" s="10" t="s">
        <v>102</v>
      </c>
      <c r="D341" s="12" t="s">
        <v>11</v>
      </c>
      <c r="E341" s="10" t="s">
        <v>11</v>
      </c>
      <c r="F341" s="10" t="s">
        <v>1051</v>
      </c>
      <c r="G341" s="10" t="s">
        <v>1052</v>
      </c>
      <c r="H341" s="10" t="s">
        <v>1052</v>
      </c>
      <c r="I341" s="10" t="s">
        <v>11</v>
      </c>
      <c r="J341" s="13">
        <v>31.8</v>
      </c>
      <c r="K341" s="21" t="s">
        <v>1020</v>
      </c>
    </row>
    <row r="342" spans="1:11" ht="96">
      <c r="A342" s="10">
        <v>7473</v>
      </c>
      <c r="B342" s="11" t="s">
        <v>1080</v>
      </c>
      <c r="C342" s="10" t="s">
        <v>102</v>
      </c>
      <c r="D342" s="12" t="s">
        <v>11</v>
      </c>
      <c r="E342" s="12" t="s">
        <v>11</v>
      </c>
      <c r="F342" s="10" t="s">
        <v>1051</v>
      </c>
      <c r="G342" s="10" t="s">
        <v>1052</v>
      </c>
      <c r="H342" s="10" t="s">
        <v>1052</v>
      </c>
      <c r="I342" s="10" t="s">
        <v>11</v>
      </c>
      <c r="J342" s="13">
        <v>38.160000000000004</v>
      </c>
      <c r="K342" s="21" t="s">
        <v>1020</v>
      </c>
    </row>
    <row r="343" spans="1:11" ht="96">
      <c r="A343" s="10">
        <v>7474</v>
      </c>
      <c r="B343" s="11" t="s">
        <v>1037</v>
      </c>
      <c r="C343" s="10" t="s">
        <v>511</v>
      </c>
      <c r="D343" s="12" t="s">
        <v>11</v>
      </c>
      <c r="E343" s="10" t="s">
        <v>11</v>
      </c>
      <c r="F343" s="10" t="s">
        <v>1051</v>
      </c>
      <c r="G343" s="10" t="s">
        <v>281</v>
      </c>
      <c r="H343" s="10" t="s">
        <v>281</v>
      </c>
      <c r="I343" s="10" t="s">
        <v>11</v>
      </c>
      <c r="J343" s="13">
        <v>33.92</v>
      </c>
      <c r="K343" s="21" t="s">
        <v>1020</v>
      </c>
    </row>
    <row r="344" spans="1:11" ht="96">
      <c r="A344" s="10">
        <v>7475</v>
      </c>
      <c r="B344" s="11" t="s">
        <v>1038</v>
      </c>
      <c r="C344" s="10" t="s">
        <v>511</v>
      </c>
      <c r="D344" s="12" t="s">
        <v>11</v>
      </c>
      <c r="E344" s="12" t="s">
        <v>11</v>
      </c>
      <c r="F344" s="10" t="s">
        <v>1051</v>
      </c>
      <c r="G344" s="10" t="s">
        <v>281</v>
      </c>
      <c r="H344" s="10" t="s">
        <v>281</v>
      </c>
      <c r="I344" s="10" t="s">
        <v>11</v>
      </c>
      <c r="J344" s="13">
        <v>33.92</v>
      </c>
      <c r="K344" s="21" t="s">
        <v>1020</v>
      </c>
    </row>
    <row r="345" spans="1:11" ht="96">
      <c r="A345" s="10">
        <v>7476</v>
      </c>
      <c r="B345" s="11" t="s">
        <v>1079</v>
      </c>
      <c r="C345" s="10" t="s">
        <v>511</v>
      </c>
      <c r="D345" s="12" t="s">
        <v>11</v>
      </c>
      <c r="E345" s="10" t="s">
        <v>11</v>
      </c>
      <c r="F345" s="10" t="s">
        <v>1051</v>
      </c>
      <c r="G345" s="10" t="s">
        <v>281</v>
      </c>
      <c r="H345" s="10" t="s">
        <v>281</v>
      </c>
      <c r="I345" s="10" t="s">
        <v>11</v>
      </c>
      <c r="J345" s="13">
        <v>40.704000000000001</v>
      </c>
      <c r="K345" s="21" t="s">
        <v>1020</v>
      </c>
    </row>
    <row r="346" spans="1:11" ht="96">
      <c r="A346" s="10">
        <v>7477</v>
      </c>
      <c r="B346" s="11" t="s">
        <v>1039</v>
      </c>
      <c r="C346" s="10" t="s">
        <v>511</v>
      </c>
      <c r="D346" s="12" t="s">
        <v>11</v>
      </c>
      <c r="E346" s="12" t="s">
        <v>11</v>
      </c>
      <c r="F346" s="10" t="s">
        <v>226</v>
      </c>
      <c r="G346" s="10" t="s">
        <v>403</v>
      </c>
      <c r="H346" s="10" t="s">
        <v>403</v>
      </c>
      <c r="I346" s="10" t="s">
        <v>11</v>
      </c>
      <c r="J346" s="13">
        <v>37.1</v>
      </c>
      <c r="K346" s="21" t="s">
        <v>1020</v>
      </c>
    </row>
    <row r="347" spans="1:11" ht="96">
      <c r="A347" s="10">
        <v>7478</v>
      </c>
      <c r="B347" s="11" t="s">
        <v>1040</v>
      </c>
      <c r="C347" s="10" t="s">
        <v>511</v>
      </c>
      <c r="D347" s="12" t="s">
        <v>11</v>
      </c>
      <c r="E347" s="10" t="s">
        <v>11</v>
      </c>
      <c r="F347" s="10" t="s">
        <v>1055</v>
      </c>
      <c r="G347" s="10" t="s">
        <v>348</v>
      </c>
      <c r="H347" s="10" t="s">
        <v>348</v>
      </c>
      <c r="I347" s="10" t="s">
        <v>11</v>
      </c>
      <c r="J347" s="13">
        <v>37.1</v>
      </c>
      <c r="K347" s="21" t="s">
        <v>1020</v>
      </c>
    </row>
    <row r="348" spans="1:11" ht="96">
      <c r="A348" s="10">
        <v>7479</v>
      </c>
      <c r="B348" s="11" t="s">
        <v>1041</v>
      </c>
      <c r="C348" s="10" t="s">
        <v>1053</v>
      </c>
      <c r="D348" s="12" t="s">
        <v>11</v>
      </c>
      <c r="E348" s="12" t="s">
        <v>11</v>
      </c>
      <c r="F348" s="10" t="s">
        <v>226</v>
      </c>
      <c r="G348" s="10" t="s">
        <v>403</v>
      </c>
      <c r="H348" s="10" t="s">
        <v>403</v>
      </c>
      <c r="I348" s="10" t="s">
        <v>11</v>
      </c>
      <c r="J348" s="13">
        <v>32.86</v>
      </c>
      <c r="K348" s="21" t="s">
        <v>1020</v>
      </c>
    </row>
    <row r="349" spans="1:11" ht="96">
      <c r="A349" s="10">
        <v>7480</v>
      </c>
      <c r="B349" s="11" t="s">
        <v>1042</v>
      </c>
      <c r="C349" s="10" t="s">
        <v>1053</v>
      </c>
      <c r="D349" s="12" t="s">
        <v>11</v>
      </c>
      <c r="E349" s="10" t="s">
        <v>11</v>
      </c>
      <c r="F349" s="10" t="s">
        <v>1055</v>
      </c>
      <c r="G349" s="10" t="s">
        <v>348</v>
      </c>
      <c r="H349" s="10" t="s">
        <v>348</v>
      </c>
      <c r="I349" s="10" t="s">
        <v>11</v>
      </c>
      <c r="J349" s="13">
        <v>32.86</v>
      </c>
      <c r="K349" s="21" t="s">
        <v>1020</v>
      </c>
    </row>
    <row r="350" spans="1:11" ht="96">
      <c r="A350" s="10">
        <v>7481</v>
      </c>
      <c r="B350" s="11" t="s">
        <v>1043</v>
      </c>
      <c r="C350" s="10" t="s">
        <v>1054</v>
      </c>
      <c r="D350" s="12" t="s">
        <v>11</v>
      </c>
      <c r="E350" s="12" t="s">
        <v>11</v>
      </c>
      <c r="F350" s="10" t="s">
        <v>226</v>
      </c>
      <c r="G350" s="10" t="s">
        <v>403</v>
      </c>
      <c r="H350" s="10" t="s">
        <v>403</v>
      </c>
      <c r="I350" s="10" t="s">
        <v>11</v>
      </c>
      <c r="J350" s="13">
        <v>33.92</v>
      </c>
      <c r="K350" s="21" t="s">
        <v>1020</v>
      </c>
    </row>
    <row r="351" spans="1:11" ht="96">
      <c r="A351" s="10">
        <v>7482</v>
      </c>
      <c r="B351" s="11" t="s">
        <v>1044</v>
      </c>
      <c r="C351" s="10" t="s">
        <v>1054</v>
      </c>
      <c r="D351" s="12" t="s">
        <v>11</v>
      </c>
      <c r="E351" s="10" t="s">
        <v>11</v>
      </c>
      <c r="F351" s="10" t="s">
        <v>1055</v>
      </c>
      <c r="G351" s="10" t="s">
        <v>348</v>
      </c>
      <c r="H351" s="10" t="s">
        <v>348</v>
      </c>
      <c r="I351" s="10" t="s">
        <v>11</v>
      </c>
      <c r="J351" s="13">
        <v>33.92</v>
      </c>
      <c r="K351" s="21" t="s">
        <v>1020</v>
      </c>
    </row>
    <row r="352" spans="1:11" ht="96">
      <c r="A352" s="10">
        <v>7504</v>
      </c>
      <c r="B352" s="11" t="s">
        <v>1021</v>
      </c>
      <c r="C352" s="10" t="s">
        <v>11</v>
      </c>
      <c r="D352" s="10" t="s">
        <v>11</v>
      </c>
      <c r="E352" s="10" t="s">
        <v>11</v>
      </c>
      <c r="F352" s="10" t="s">
        <v>1046</v>
      </c>
      <c r="G352" s="10" t="s">
        <v>1047</v>
      </c>
      <c r="H352" s="10" t="s">
        <v>91</v>
      </c>
      <c r="I352" s="10" t="s">
        <v>11</v>
      </c>
      <c r="J352" s="13">
        <v>51.993000000000002</v>
      </c>
      <c r="K352" s="21" t="s">
        <v>1020</v>
      </c>
    </row>
    <row r="353" spans="1:11" ht="96">
      <c r="A353" s="10">
        <v>7506</v>
      </c>
      <c r="B353" s="11" t="s">
        <v>1023</v>
      </c>
      <c r="C353" s="10" t="s">
        <v>11</v>
      </c>
      <c r="D353" s="12" t="s">
        <v>11</v>
      </c>
      <c r="E353" s="12" t="s">
        <v>11</v>
      </c>
      <c r="F353" s="10" t="s">
        <v>1046</v>
      </c>
      <c r="G353" s="10" t="s">
        <v>1047</v>
      </c>
      <c r="H353" s="10" t="s">
        <v>1045</v>
      </c>
      <c r="I353" s="10" t="s">
        <v>11</v>
      </c>
      <c r="J353" s="13">
        <v>75.535600000000002</v>
      </c>
      <c r="K353" s="21" t="s">
        <v>1020</v>
      </c>
    </row>
    <row r="354" spans="1:11" ht="96">
      <c r="A354" s="10">
        <v>7507</v>
      </c>
      <c r="B354" s="11" t="s">
        <v>1024</v>
      </c>
      <c r="C354" s="10" t="s">
        <v>11</v>
      </c>
      <c r="D354" s="12" t="s">
        <v>11</v>
      </c>
      <c r="E354" s="10" t="s">
        <v>11</v>
      </c>
      <c r="F354" s="10" t="s">
        <v>1046</v>
      </c>
      <c r="G354" s="10" t="s">
        <v>1047</v>
      </c>
      <c r="H354" s="10" t="s">
        <v>1045</v>
      </c>
      <c r="I354" s="10" t="s">
        <v>11</v>
      </c>
      <c r="J354" s="13">
        <v>75.535600000000002</v>
      </c>
      <c r="K354" s="21" t="s">
        <v>1020</v>
      </c>
    </row>
    <row r="355" spans="1:11" ht="96">
      <c r="A355" s="10">
        <v>7508</v>
      </c>
      <c r="B355" s="11" t="s">
        <v>1056</v>
      </c>
      <c r="C355" s="10" t="s">
        <v>11</v>
      </c>
      <c r="D355" s="12" t="s">
        <v>11</v>
      </c>
      <c r="E355" s="10" t="s">
        <v>11</v>
      </c>
      <c r="F355" s="10" t="s">
        <v>1046</v>
      </c>
      <c r="G355" s="10" t="s">
        <v>1047</v>
      </c>
      <c r="H355" s="10" t="s">
        <v>91</v>
      </c>
      <c r="I355" s="10" t="s">
        <v>11</v>
      </c>
      <c r="J355" s="13">
        <v>80.56</v>
      </c>
      <c r="K355" s="21" t="s">
        <v>1020</v>
      </c>
    </row>
    <row r="356" spans="1:11" ht="96">
      <c r="A356" s="10">
        <v>7510</v>
      </c>
      <c r="B356" s="11" t="s">
        <v>1058</v>
      </c>
      <c r="C356" s="10" t="s">
        <v>11</v>
      </c>
      <c r="D356" s="12" t="s">
        <v>11</v>
      </c>
      <c r="E356" s="12" t="s">
        <v>11</v>
      </c>
      <c r="F356" s="10" t="s">
        <v>1046</v>
      </c>
      <c r="G356" s="10" t="s">
        <v>1047</v>
      </c>
      <c r="H356" s="10" t="s">
        <v>1045</v>
      </c>
      <c r="I356" s="10" t="s">
        <v>11</v>
      </c>
      <c r="J356" s="13">
        <v>118.74226</v>
      </c>
      <c r="K356" s="21" t="s">
        <v>1020</v>
      </c>
    </row>
    <row r="357" spans="1:11" ht="96">
      <c r="A357" s="10">
        <v>7511</v>
      </c>
      <c r="B357" s="11" t="s">
        <v>1059</v>
      </c>
      <c r="C357" s="10" t="s">
        <v>11</v>
      </c>
      <c r="D357" s="12" t="s">
        <v>11</v>
      </c>
      <c r="E357" s="10" t="s">
        <v>11</v>
      </c>
      <c r="F357" s="10" t="s">
        <v>1046</v>
      </c>
      <c r="G357" s="10" t="s">
        <v>1047</v>
      </c>
      <c r="H357" s="10" t="s">
        <v>1045</v>
      </c>
      <c r="I357" s="10" t="s">
        <v>11</v>
      </c>
      <c r="J357" s="13">
        <v>118.74120000000001</v>
      </c>
      <c r="K357" s="21" t="s">
        <v>1020</v>
      </c>
    </row>
    <row r="358" spans="1:11" ht="96">
      <c r="A358" s="10">
        <v>7512</v>
      </c>
      <c r="B358" s="11" t="s">
        <v>1025</v>
      </c>
      <c r="C358" s="10" t="s">
        <v>11</v>
      </c>
      <c r="D358" s="12" t="s">
        <v>11</v>
      </c>
      <c r="E358" s="12" t="s">
        <v>11</v>
      </c>
      <c r="F358" s="10" t="s">
        <v>90</v>
      </c>
      <c r="G358" s="10" t="s">
        <v>1048</v>
      </c>
      <c r="H358" s="10" t="s">
        <v>91</v>
      </c>
      <c r="I358" s="10" t="s">
        <v>11</v>
      </c>
      <c r="J358" s="13">
        <v>99.576400000000007</v>
      </c>
      <c r="K358" s="21" t="s">
        <v>1020</v>
      </c>
    </row>
    <row r="359" spans="1:11" ht="96">
      <c r="A359" s="10">
        <v>7514</v>
      </c>
      <c r="B359" s="11" t="s">
        <v>1027</v>
      </c>
      <c r="C359" s="10" t="s">
        <v>11</v>
      </c>
      <c r="D359" s="12" t="s">
        <v>11</v>
      </c>
      <c r="E359" s="12" t="s">
        <v>11</v>
      </c>
      <c r="F359" s="10" t="s">
        <v>90</v>
      </c>
      <c r="G359" s="10" t="s">
        <v>1048</v>
      </c>
      <c r="H359" s="10" t="s">
        <v>1045</v>
      </c>
      <c r="I359" s="10" t="s">
        <v>11</v>
      </c>
      <c r="J359" s="13">
        <v>133.68720000000002</v>
      </c>
      <c r="K359" s="21" t="s">
        <v>1020</v>
      </c>
    </row>
    <row r="360" spans="1:11" ht="96">
      <c r="A360" s="10">
        <v>7515</v>
      </c>
      <c r="B360" s="11" t="s">
        <v>1028</v>
      </c>
      <c r="C360" s="10" t="s">
        <v>11</v>
      </c>
      <c r="D360" s="12" t="s">
        <v>11</v>
      </c>
      <c r="E360" s="10" t="s">
        <v>11</v>
      </c>
      <c r="F360" s="10" t="s">
        <v>90</v>
      </c>
      <c r="G360" s="10" t="s">
        <v>1048</v>
      </c>
      <c r="H360" s="10" t="s">
        <v>1045</v>
      </c>
      <c r="I360" s="10" t="s">
        <v>11</v>
      </c>
      <c r="J360" s="13">
        <v>133.68720000000002</v>
      </c>
      <c r="K360" s="21" t="s">
        <v>1020</v>
      </c>
    </row>
    <row r="361" spans="1:11" ht="31">
      <c r="A361" s="10">
        <v>7526</v>
      </c>
      <c r="B361" s="11" t="s">
        <v>1561</v>
      </c>
      <c r="C361" s="10" t="s">
        <v>10</v>
      </c>
      <c r="D361" s="12" t="s">
        <v>780</v>
      </c>
      <c r="E361" s="10">
        <v>150</v>
      </c>
      <c r="F361" s="10" t="s">
        <v>13</v>
      </c>
      <c r="G361" s="10" t="s">
        <v>226</v>
      </c>
      <c r="H361" s="10" t="s">
        <v>226</v>
      </c>
      <c r="I361" s="10" t="s">
        <v>91</v>
      </c>
      <c r="J361" s="13">
        <v>118.18364000000001</v>
      </c>
      <c r="K361" s="21"/>
    </row>
    <row r="362" spans="1:11" ht="31">
      <c r="A362" s="10">
        <v>7527</v>
      </c>
      <c r="B362" s="11" t="s">
        <v>1562</v>
      </c>
      <c r="C362" s="10" t="s">
        <v>10</v>
      </c>
      <c r="D362" s="12" t="s">
        <v>780</v>
      </c>
      <c r="E362" s="10">
        <v>150</v>
      </c>
      <c r="F362" s="10" t="s">
        <v>13</v>
      </c>
      <c r="G362" s="10" t="s">
        <v>226</v>
      </c>
      <c r="H362" s="10" t="s">
        <v>226</v>
      </c>
      <c r="I362" s="10" t="s">
        <v>91</v>
      </c>
      <c r="J362" s="13">
        <v>118.18364000000001</v>
      </c>
      <c r="K362" s="21"/>
    </row>
    <row r="363" spans="1:11" ht="96">
      <c r="A363" s="10">
        <v>7532</v>
      </c>
      <c r="B363" s="11" t="s">
        <v>1031</v>
      </c>
      <c r="C363" s="10" t="s">
        <v>11</v>
      </c>
      <c r="D363" s="12" t="s">
        <v>11</v>
      </c>
      <c r="E363" s="12" t="s">
        <v>11</v>
      </c>
      <c r="F363" s="10" t="s">
        <v>1050</v>
      </c>
      <c r="G363" s="10" t="s">
        <v>1048</v>
      </c>
      <c r="H363" s="10" t="s">
        <v>91</v>
      </c>
      <c r="I363" s="10" t="s">
        <v>11</v>
      </c>
      <c r="J363" s="13">
        <v>30.740000000000002</v>
      </c>
      <c r="K363" s="21" t="s">
        <v>1020</v>
      </c>
    </row>
    <row r="364" spans="1:11" ht="96">
      <c r="A364" s="10">
        <v>7533</v>
      </c>
      <c r="B364" s="11" t="s">
        <v>1032</v>
      </c>
      <c r="C364" s="10" t="s">
        <v>11</v>
      </c>
      <c r="D364" s="12" t="s">
        <v>11</v>
      </c>
      <c r="E364" s="10" t="s">
        <v>11</v>
      </c>
      <c r="F364" s="10" t="s">
        <v>1050</v>
      </c>
      <c r="G364" s="10" t="s">
        <v>1048</v>
      </c>
      <c r="H364" s="10" t="s">
        <v>91</v>
      </c>
      <c r="I364" s="10" t="s">
        <v>11</v>
      </c>
      <c r="J364" s="13">
        <v>30.740000000000002</v>
      </c>
      <c r="K364" s="21" t="s">
        <v>1020</v>
      </c>
    </row>
    <row r="365" spans="1:11" ht="96">
      <c r="A365" s="10">
        <v>7534</v>
      </c>
      <c r="B365" s="11" t="s">
        <v>1033</v>
      </c>
      <c r="C365" s="10" t="s">
        <v>11</v>
      </c>
      <c r="D365" s="12" t="s">
        <v>11</v>
      </c>
      <c r="E365" s="12" t="s">
        <v>11</v>
      </c>
      <c r="F365" s="10" t="s">
        <v>1050</v>
      </c>
      <c r="G365" s="10" t="s">
        <v>1048</v>
      </c>
      <c r="H365" s="10" t="s">
        <v>1045</v>
      </c>
      <c r="I365" s="10" t="s">
        <v>11</v>
      </c>
      <c r="J365" s="13">
        <v>41.34</v>
      </c>
      <c r="K365" s="21" t="s">
        <v>1020</v>
      </c>
    </row>
    <row r="366" spans="1:11" ht="96">
      <c r="A366" s="10">
        <v>7535</v>
      </c>
      <c r="B366" s="11" t="s">
        <v>1034</v>
      </c>
      <c r="C366" s="10" t="s">
        <v>11</v>
      </c>
      <c r="D366" s="12" t="s">
        <v>11</v>
      </c>
      <c r="E366" s="10" t="s">
        <v>11</v>
      </c>
      <c r="F366" s="10" t="s">
        <v>1050</v>
      </c>
      <c r="G366" s="10" t="s">
        <v>1048</v>
      </c>
      <c r="H366" s="10" t="s">
        <v>1045</v>
      </c>
      <c r="I366" s="10" t="s">
        <v>11</v>
      </c>
      <c r="J366" s="13">
        <v>41.34</v>
      </c>
      <c r="K366" s="21" t="s">
        <v>1020</v>
      </c>
    </row>
    <row r="367" spans="1:11" ht="31">
      <c r="A367" s="10">
        <v>7667</v>
      </c>
      <c r="B367" s="11" t="s">
        <v>1305</v>
      </c>
      <c r="C367" s="10" t="s">
        <v>10</v>
      </c>
      <c r="D367" s="10" t="s">
        <v>780</v>
      </c>
      <c r="E367" s="10">
        <v>150</v>
      </c>
      <c r="F367" s="10" t="s">
        <v>1055</v>
      </c>
      <c r="G367" s="10" t="s">
        <v>1453</v>
      </c>
      <c r="H367" s="10" t="s">
        <v>1466</v>
      </c>
      <c r="I367" s="10" t="s">
        <v>11</v>
      </c>
      <c r="J367" s="26">
        <v>60.123200000000004</v>
      </c>
      <c r="K367" s="21"/>
    </row>
    <row r="368" spans="1:11" ht="31">
      <c r="A368" s="10">
        <v>7668</v>
      </c>
      <c r="B368" s="11" t="s">
        <v>1306</v>
      </c>
      <c r="C368" s="10" t="s">
        <v>10</v>
      </c>
      <c r="D368" s="10" t="s">
        <v>780</v>
      </c>
      <c r="E368" s="10">
        <v>150</v>
      </c>
      <c r="F368" s="10" t="s">
        <v>1055</v>
      </c>
      <c r="G368" s="10" t="s">
        <v>1453</v>
      </c>
      <c r="H368" s="10" t="s">
        <v>1466</v>
      </c>
      <c r="I368" s="10" t="s">
        <v>11</v>
      </c>
      <c r="J368" s="26">
        <v>60.123200000000004</v>
      </c>
      <c r="K368" s="21"/>
    </row>
    <row r="369" spans="1:11" ht="31">
      <c r="A369" s="10">
        <v>7669</v>
      </c>
      <c r="B369" s="11" t="s">
        <v>1307</v>
      </c>
      <c r="C369" s="10" t="s">
        <v>10</v>
      </c>
      <c r="D369" s="10" t="s">
        <v>780</v>
      </c>
      <c r="E369" s="10">
        <v>150</v>
      </c>
      <c r="F369" s="10" t="s">
        <v>1055</v>
      </c>
      <c r="G369" s="10" t="s">
        <v>1453</v>
      </c>
      <c r="H369" s="10" t="s">
        <v>1466</v>
      </c>
      <c r="I369" s="10" t="s">
        <v>11</v>
      </c>
      <c r="J369" s="26">
        <v>60.123200000000004</v>
      </c>
      <c r="K369" s="21"/>
    </row>
    <row r="370" spans="1:11" ht="31">
      <c r="A370" s="10">
        <v>7670</v>
      </c>
      <c r="B370" s="11" t="s">
        <v>1308</v>
      </c>
      <c r="C370" s="10" t="s">
        <v>10</v>
      </c>
      <c r="D370" s="10" t="s">
        <v>780</v>
      </c>
      <c r="E370" s="10">
        <v>150</v>
      </c>
      <c r="F370" s="10" t="s">
        <v>1055</v>
      </c>
      <c r="G370" s="10" t="s">
        <v>1453</v>
      </c>
      <c r="H370" s="10" t="s">
        <v>1466</v>
      </c>
      <c r="I370" s="10" t="s">
        <v>11</v>
      </c>
      <c r="J370" s="26">
        <v>60.123200000000004</v>
      </c>
      <c r="K370" s="21"/>
    </row>
    <row r="371" spans="1:11" ht="31">
      <c r="A371" s="10">
        <v>7671</v>
      </c>
      <c r="B371" s="11" t="s">
        <v>1309</v>
      </c>
      <c r="C371" s="10" t="s">
        <v>10</v>
      </c>
      <c r="D371" s="10" t="s">
        <v>768</v>
      </c>
      <c r="E371" s="10">
        <v>375</v>
      </c>
      <c r="F371" s="10" t="s">
        <v>1055</v>
      </c>
      <c r="G371" s="10" t="s">
        <v>1453</v>
      </c>
      <c r="H371" s="10" t="s">
        <v>1467</v>
      </c>
      <c r="I371" s="10" t="s">
        <v>11</v>
      </c>
      <c r="J371" s="26">
        <v>63.133600000000008</v>
      </c>
      <c r="K371" s="21"/>
    </row>
    <row r="372" spans="1:11" ht="31">
      <c r="A372" s="10">
        <v>7672</v>
      </c>
      <c r="B372" s="11" t="s">
        <v>1310</v>
      </c>
      <c r="C372" s="10" t="s">
        <v>10</v>
      </c>
      <c r="D372" s="10" t="s">
        <v>768</v>
      </c>
      <c r="E372" s="10">
        <v>375</v>
      </c>
      <c r="F372" s="10" t="s">
        <v>1055</v>
      </c>
      <c r="G372" s="10" t="s">
        <v>1453</v>
      </c>
      <c r="H372" s="10" t="s">
        <v>1467</v>
      </c>
      <c r="I372" s="10" t="s">
        <v>11</v>
      </c>
      <c r="J372" s="26">
        <v>63.133600000000008</v>
      </c>
      <c r="K372" s="21"/>
    </row>
    <row r="373" spans="1:11" ht="31">
      <c r="A373" s="10">
        <v>7673</v>
      </c>
      <c r="B373" s="11" t="s">
        <v>1311</v>
      </c>
      <c r="C373" s="10" t="s">
        <v>10</v>
      </c>
      <c r="D373" s="10" t="s">
        <v>768</v>
      </c>
      <c r="E373" s="10">
        <v>375</v>
      </c>
      <c r="F373" s="10" t="s">
        <v>1055</v>
      </c>
      <c r="G373" s="10" t="s">
        <v>1453</v>
      </c>
      <c r="H373" s="10" t="s">
        <v>1467</v>
      </c>
      <c r="I373" s="10" t="s">
        <v>11</v>
      </c>
      <c r="J373" s="26">
        <v>63.133600000000008</v>
      </c>
      <c r="K373" s="21"/>
    </row>
    <row r="374" spans="1:11" ht="31">
      <c r="A374" s="10">
        <v>7674</v>
      </c>
      <c r="B374" s="11" t="s">
        <v>1312</v>
      </c>
      <c r="C374" s="10" t="s">
        <v>10</v>
      </c>
      <c r="D374" s="10" t="s">
        <v>768</v>
      </c>
      <c r="E374" s="10">
        <v>375</v>
      </c>
      <c r="F374" s="10" t="s">
        <v>1055</v>
      </c>
      <c r="G374" s="10" t="s">
        <v>1453</v>
      </c>
      <c r="H374" s="10" t="s">
        <v>1467</v>
      </c>
      <c r="I374" s="10" t="s">
        <v>11</v>
      </c>
      <c r="J374" s="26">
        <v>63.133600000000008</v>
      </c>
      <c r="K374" s="21"/>
    </row>
    <row r="375" spans="1:11" ht="31">
      <c r="A375" s="10">
        <v>7675</v>
      </c>
      <c r="B375" s="11" t="s">
        <v>1313</v>
      </c>
      <c r="C375" s="10" t="s">
        <v>10</v>
      </c>
      <c r="D375" s="10" t="s">
        <v>988</v>
      </c>
      <c r="E375" s="10">
        <v>750</v>
      </c>
      <c r="F375" s="10" t="s">
        <v>1055</v>
      </c>
      <c r="G375" s="10" t="s">
        <v>1453</v>
      </c>
      <c r="H375" s="10" t="s">
        <v>1468</v>
      </c>
      <c r="I375" s="10" t="s">
        <v>11</v>
      </c>
      <c r="J375" s="26">
        <v>65.052199999999999</v>
      </c>
      <c r="K375" s="21"/>
    </row>
    <row r="376" spans="1:11" ht="31">
      <c r="A376" s="10">
        <v>7676</v>
      </c>
      <c r="B376" s="11" t="s">
        <v>1314</v>
      </c>
      <c r="C376" s="10" t="s">
        <v>10</v>
      </c>
      <c r="D376" s="10" t="s">
        <v>988</v>
      </c>
      <c r="E376" s="10">
        <v>750</v>
      </c>
      <c r="F376" s="10" t="s">
        <v>1055</v>
      </c>
      <c r="G376" s="10" t="s">
        <v>1453</v>
      </c>
      <c r="H376" s="10" t="s">
        <v>1468</v>
      </c>
      <c r="I376" s="10" t="s">
        <v>11</v>
      </c>
      <c r="J376" s="26">
        <v>65.052199999999999</v>
      </c>
      <c r="K376" s="21"/>
    </row>
    <row r="377" spans="1:11" ht="31">
      <c r="A377" s="10">
        <v>7677</v>
      </c>
      <c r="B377" s="11" t="s">
        <v>1315</v>
      </c>
      <c r="C377" s="10" t="s">
        <v>10</v>
      </c>
      <c r="D377" s="10" t="s">
        <v>988</v>
      </c>
      <c r="E377" s="10">
        <v>750</v>
      </c>
      <c r="F377" s="10" t="s">
        <v>1055</v>
      </c>
      <c r="G377" s="10" t="s">
        <v>1453</v>
      </c>
      <c r="H377" s="10" t="s">
        <v>1468</v>
      </c>
      <c r="I377" s="10" t="s">
        <v>11</v>
      </c>
      <c r="J377" s="26">
        <v>65.052199999999999</v>
      </c>
      <c r="K377" s="21"/>
    </row>
    <row r="378" spans="1:11" ht="31">
      <c r="A378" s="10">
        <v>7678</v>
      </c>
      <c r="B378" s="11" t="s">
        <v>1316</v>
      </c>
      <c r="C378" s="10" t="s">
        <v>10</v>
      </c>
      <c r="D378" s="10" t="s">
        <v>988</v>
      </c>
      <c r="E378" s="10">
        <v>750</v>
      </c>
      <c r="F378" s="10" t="s">
        <v>1055</v>
      </c>
      <c r="G378" s="10" t="s">
        <v>1453</v>
      </c>
      <c r="H378" s="10" t="s">
        <v>1468</v>
      </c>
      <c r="I378" s="10" t="s">
        <v>11</v>
      </c>
      <c r="J378" s="26">
        <v>65.052199999999999</v>
      </c>
      <c r="K378" s="21"/>
    </row>
    <row r="379" spans="1:11" ht="31">
      <c r="A379" s="10">
        <v>7679</v>
      </c>
      <c r="B379" s="11" t="s">
        <v>1317</v>
      </c>
      <c r="C379" s="10" t="s">
        <v>10</v>
      </c>
      <c r="D379" s="10" t="s">
        <v>988</v>
      </c>
      <c r="E379" s="10">
        <v>750</v>
      </c>
      <c r="F379" s="10" t="s">
        <v>1055</v>
      </c>
      <c r="G379" s="10" t="s">
        <v>1453</v>
      </c>
      <c r="H379" s="10" t="s">
        <v>1468</v>
      </c>
      <c r="I379" s="10" t="s">
        <v>11</v>
      </c>
      <c r="J379" s="26">
        <v>64.893200000000007</v>
      </c>
      <c r="K379" s="21"/>
    </row>
    <row r="380" spans="1:11" ht="31">
      <c r="A380" s="10">
        <v>7681</v>
      </c>
      <c r="B380" s="11" t="s">
        <v>1318</v>
      </c>
      <c r="C380" s="10" t="s">
        <v>10</v>
      </c>
      <c r="D380" s="10" t="s">
        <v>988</v>
      </c>
      <c r="E380" s="10">
        <v>750</v>
      </c>
      <c r="F380" s="10" t="s">
        <v>1055</v>
      </c>
      <c r="G380" s="10" t="s">
        <v>1453</v>
      </c>
      <c r="H380" s="10" t="s">
        <v>1468</v>
      </c>
      <c r="I380" s="10" t="s">
        <v>11</v>
      </c>
      <c r="J380" s="26">
        <v>64.893200000000007</v>
      </c>
      <c r="K380" s="21"/>
    </row>
    <row r="381" spans="1:11" ht="31">
      <c r="A381" s="10">
        <v>7682</v>
      </c>
      <c r="B381" s="11" t="s">
        <v>1319</v>
      </c>
      <c r="C381" s="10" t="s">
        <v>10</v>
      </c>
      <c r="D381" s="10" t="s">
        <v>988</v>
      </c>
      <c r="E381" s="10">
        <v>750</v>
      </c>
      <c r="F381" s="10" t="s">
        <v>1055</v>
      </c>
      <c r="G381" s="10" t="s">
        <v>1453</v>
      </c>
      <c r="H381" s="10" t="s">
        <v>1468</v>
      </c>
      <c r="I381" s="10" t="s">
        <v>11</v>
      </c>
      <c r="J381" s="26">
        <v>64.893200000000007</v>
      </c>
      <c r="K381" s="21"/>
    </row>
    <row r="382" spans="1:11" ht="31">
      <c r="A382" s="10">
        <v>7683</v>
      </c>
      <c r="B382" s="11" t="s">
        <v>1084</v>
      </c>
      <c r="C382" s="10" t="s">
        <v>10</v>
      </c>
      <c r="D382" s="10" t="s">
        <v>1380</v>
      </c>
      <c r="E382" s="10">
        <v>1425</v>
      </c>
      <c r="F382" s="10" t="s">
        <v>1401</v>
      </c>
      <c r="G382" s="10" t="s">
        <v>1400</v>
      </c>
      <c r="H382" s="10" t="s">
        <v>1400</v>
      </c>
      <c r="I382" s="10" t="s">
        <v>11</v>
      </c>
      <c r="J382" s="26">
        <v>213.08225999999999</v>
      </c>
      <c r="K382" s="21"/>
    </row>
    <row r="383" spans="1:11" ht="31">
      <c r="A383" s="10">
        <v>7684</v>
      </c>
      <c r="B383" s="11" t="s">
        <v>1085</v>
      </c>
      <c r="C383" s="10" t="s">
        <v>10</v>
      </c>
      <c r="D383" s="10" t="s">
        <v>1380</v>
      </c>
      <c r="E383" s="10">
        <v>1425</v>
      </c>
      <c r="F383" s="10" t="s">
        <v>1401</v>
      </c>
      <c r="G383" s="10" t="s">
        <v>1400</v>
      </c>
      <c r="H383" s="10" t="s">
        <v>1400</v>
      </c>
      <c r="I383" s="10" t="s">
        <v>11</v>
      </c>
      <c r="J383" s="26">
        <v>213.08225999999999</v>
      </c>
      <c r="K383" s="21"/>
    </row>
    <row r="384" spans="1:11" ht="31">
      <c r="A384" s="10">
        <v>7685</v>
      </c>
      <c r="B384" s="11" t="s">
        <v>1086</v>
      </c>
      <c r="C384" s="10" t="s">
        <v>10</v>
      </c>
      <c r="D384" s="10" t="s">
        <v>1380</v>
      </c>
      <c r="E384" s="10">
        <v>1425</v>
      </c>
      <c r="F384" s="10" t="s">
        <v>1401</v>
      </c>
      <c r="G384" s="10" t="s">
        <v>1400</v>
      </c>
      <c r="H384" s="10" t="s">
        <v>1400</v>
      </c>
      <c r="I384" s="10" t="s">
        <v>11</v>
      </c>
      <c r="J384" s="26">
        <v>213.08225999999999</v>
      </c>
      <c r="K384" s="21"/>
    </row>
    <row r="385" spans="1:11" ht="31">
      <c r="A385" s="10">
        <v>7686</v>
      </c>
      <c r="B385" s="11" t="s">
        <v>1087</v>
      </c>
      <c r="C385" s="10" t="s">
        <v>10</v>
      </c>
      <c r="D385" s="10" t="s">
        <v>1380</v>
      </c>
      <c r="E385" s="10">
        <v>1425</v>
      </c>
      <c r="F385" s="10" t="s">
        <v>1401</v>
      </c>
      <c r="G385" s="10" t="s">
        <v>1400</v>
      </c>
      <c r="H385" s="10" t="s">
        <v>1400</v>
      </c>
      <c r="I385" s="10" t="s">
        <v>11</v>
      </c>
      <c r="J385" s="26">
        <v>213.08225999999999</v>
      </c>
      <c r="K385" s="21"/>
    </row>
    <row r="386" spans="1:11" ht="31">
      <c r="A386" s="10">
        <v>7687</v>
      </c>
      <c r="B386" s="11" t="s">
        <v>1088</v>
      </c>
      <c r="C386" s="10" t="s">
        <v>10</v>
      </c>
      <c r="D386" s="10" t="s">
        <v>1380</v>
      </c>
      <c r="E386" s="10">
        <v>1425</v>
      </c>
      <c r="F386" s="10" t="s">
        <v>1401</v>
      </c>
      <c r="G386" s="10" t="s">
        <v>1400</v>
      </c>
      <c r="H386" s="10" t="s">
        <v>1400</v>
      </c>
      <c r="I386" s="10" t="s">
        <v>11</v>
      </c>
      <c r="J386" s="26">
        <v>213.08225999999999</v>
      </c>
      <c r="K386" s="21"/>
    </row>
    <row r="387" spans="1:11" ht="31">
      <c r="A387" s="10">
        <v>7688</v>
      </c>
      <c r="B387" s="11" t="s">
        <v>1089</v>
      </c>
      <c r="C387" s="10" t="s">
        <v>10</v>
      </c>
      <c r="D387" s="10" t="s">
        <v>1380</v>
      </c>
      <c r="E387" s="10">
        <v>1425</v>
      </c>
      <c r="F387" s="10" t="s">
        <v>1401</v>
      </c>
      <c r="G387" s="10" t="s">
        <v>1400</v>
      </c>
      <c r="H387" s="10" t="s">
        <v>1400</v>
      </c>
      <c r="I387" s="10" t="s">
        <v>11</v>
      </c>
      <c r="J387" s="26">
        <v>213.08225999999999</v>
      </c>
      <c r="K387" s="21"/>
    </row>
    <row r="388" spans="1:11" ht="31">
      <c r="A388" s="10">
        <v>7689</v>
      </c>
      <c r="B388" s="11" t="s">
        <v>1090</v>
      </c>
      <c r="C388" s="10" t="s">
        <v>10</v>
      </c>
      <c r="D388" s="10" t="s">
        <v>1380</v>
      </c>
      <c r="E388" s="10">
        <v>1425</v>
      </c>
      <c r="F388" s="10" t="s">
        <v>1401</v>
      </c>
      <c r="G388" s="10" t="s">
        <v>1400</v>
      </c>
      <c r="H388" s="10" t="s">
        <v>1400</v>
      </c>
      <c r="I388" s="10" t="s">
        <v>11</v>
      </c>
      <c r="J388" s="26">
        <v>255.69871199999997</v>
      </c>
      <c r="K388" s="21"/>
    </row>
    <row r="389" spans="1:11" ht="31">
      <c r="A389" s="10">
        <v>7690</v>
      </c>
      <c r="B389" s="11" t="s">
        <v>1091</v>
      </c>
      <c r="C389" s="10" t="s">
        <v>10</v>
      </c>
      <c r="D389" s="10" t="s">
        <v>336</v>
      </c>
      <c r="E389" s="10">
        <v>2025</v>
      </c>
      <c r="F389" s="10" t="s">
        <v>1402</v>
      </c>
      <c r="G389" s="10" t="s">
        <v>1403</v>
      </c>
      <c r="H389" s="10" t="s">
        <v>1403</v>
      </c>
      <c r="I389" s="10" t="s">
        <v>11</v>
      </c>
      <c r="J389" s="26">
        <v>316.59020000000004</v>
      </c>
      <c r="K389" s="21"/>
    </row>
    <row r="390" spans="1:11" ht="31">
      <c r="A390" s="10">
        <v>7691</v>
      </c>
      <c r="B390" s="11" t="s">
        <v>1092</v>
      </c>
      <c r="C390" s="10" t="s">
        <v>10</v>
      </c>
      <c r="D390" s="10" t="s">
        <v>336</v>
      </c>
      <c r="E390" s="10">
        <v>2025</v>
      </c>
      <c r="F390" s="10" t="s">
        <v>1402</v>
      </c>
      <c r="G390" s="10" t="s">
        <v>1403</v>
      </c>
      <c r="H390" s="10" t="s">
        <v>1403</v>
      </c>
      <c r="I390" s="10" t="s">
        <v>11</v>
      </c>
      <c r="J390" s="26">
        <v>316.59020000000004</v>
      </c>
      <c r="K390" s="21"/>
    </row>
    <row r="391" spans="1:11" ht="31">
      <c r="A391" s="10">
        <v>7692</v>
      </c>
      <c r="B391" s="11" t="s">
        <v>1093</v>
      </c>
      <c r="C391" s="10" t="s">
        <v>10</v>
      </c>
      <c r="D391" s="10" t="s">
        <v>336</v>
      </c>
      <c r="E391" s="10">
        <v>2025</v>
      </c>
      <c r="F391" s="10" t="s">
        <v>1402</v>
      </c>
      <c r="G391" s="10" t="s">
        <v>1403</v>
      </c>
      <c r="H391" s="10" t="s">
        <v>1403</v>
      </c>
      <c r="I391" s="10" t="s">
        <v>11</v>
      </c>
      <c r="J391" s="26">
        <v>316.59020000000004</v>
      </c>
      <c r="K391" s="21"/>
    </row>
    <row r="392" spans="1:11" ht="31">
      <c r="A392" s="10">
        <v>7693</v>
      </c>
      <c r="B392" s="11" t="s">
        <v>1094</v>
      </c>
      <c r="C392" s="10" t="s">
        <v>10</v>
      </c>
      <c r="D392" s="10" t="s">
        <v>336</v>
      </c>
      <c r="E392" s="10">
        <v>2025</v>
      </c>
      <c r="F392" s="10" t="s">
        <v>1402</v>
      </c>
      <c r="G392" s="10" t="s">
        <v>1403</v>
      </c>
      <c r="H392" s="10" t="s">
        <v>1403</v>
      </c>
      <c r="I392" s="10" t="s">
        <v>11</v>
      </c>
      <c r="J392" s="26">
        <v>316.59020000000004</v>
      </c>
      <c r="K392" s="21"/>
    </row>
    <row r="393" spans="1:11" ht="31">
      <c r="A393" s="10">
        <v>7694</v>
      </c>
      <c r="B393" s="11" t="s">
        <v>1095</v>
      </c>
      <c r="C393" s="10" t="s">
        <v>10</v>
      </c>
      <c r="D393" s="10" t="s">
        <v>336</v>
      </c>
      <c r="E393" s="10">
        <v>2025</v>
      </c>
      <c r="F393" s="10" t="s">
        <v>1402</v>
      </c>
      <c r="G393" s="10" t="s">
        <v>1403</v>
      </c>
      <c r="H393" s="10" t="s">
        <v>1403</v>
      </c>
      <c r="I393" s="10" t="s">
        <v>11</v>
      </c>
      <c r="J393" s="26">
        <v>316.59020000000004</v>
      </c>
      <c r="K393" s="21"/>
    </row>
    <row r="394" spans="1:11" ht="31">
      <c r="A394" s="10">
        <v>7695</v>
      </c>
      <c r="B394" s="11" t="s">
        <v>1096</v>
      </c>
      <c r="C394" s="10" t="s">
        <v>10</v>
      </c>
      <c r="D394" s="10" t="s">
        <v>336</v>
      </c>
      <c r="E394" s="10">
        <v>2025</v>
      </c>
      <c r="F394" s="10" t="s">
        <v>1402</v>
      </c>
      <c r="G394" s="10" t="s">
        <v>1403</v>
      </c>
      <c r="H394" s="10" t="s">
        <v>1403</v>
      </c>
      <c r="I394" s="10" t="s">
        <v>11</v>
      </c>
      <c r="J394" s="26">
        <v>316.59020000000004</v>
      </c>
      <c r="K394" s="21"/>
    </row>
    <row r="395" spans="1:11" ht="31">
      <c r="A395" s="10">
        <v>7696</v>
      </c>
      <c r="B395" s="11" t="s">
        <v>1097</v>
      </c>
      <c r="C395" s="10" t="s">
        <v>10</v>
      </c>
      <c r="D395" s="10" t="s">
        <v>336</v>
      </c>
      <c r="E395" s="10">
        <v>2025</v>
      </c>
      <c r="F395" s="10" t="s">
        <v>1402</v>
      </c>
      <c r="G395" s="10" t="s">
        <v>1403</v>
      </c>
      <c r="H395" s="10" t="s">
        <v>1403</v>
      </c>
      <c r="I395" s="10" t="s">
        <v>11</v>
      </c>
      <c r="J395" s="26">
        <v>379.90824000000003</v>
      </c>
      <c r="K395" s="21"/>
    </row>
    <row r="396" spans="1:11" ht="31">
      <c r="A396" s="10">
        <v>7698</v>
      </c>
      <c r="B396" s="11" t="s">
        <v>1098</v>
      </c>
      <c r="C396" s="10" t="s">
        <v>10</v>
      </c>
      <c r="D396" s="10" t="s">
        <v>336</v>
      </c>
      <c r="E396" s="10">
        <v>2025</v>
      </c>
      <c r="F396" s="10" t="s">
        <v>1404</v>
      </c>
      <c r="G396" s="10" t="s">
        <v>1403</v>
      </c>
      <c r="H396" s="10" t="s">
        <v>1403</v>
      </c>
      <c r="I396" s="10" t="s">
        <v>91</v>
      </c>
      <c r="J396" s="26">
        <v>263.59656000000001</v>
      </c>
      <c r="K396" s="21"/>
    </row>
    <row r="397" spans="1:11" ht="31">
      <c r="A397" s="10">
        <v>7699</v>
      </c>
      <c r="B397" s="11" t="s">
        <v>1099</v>
      </c>
      <c r="C397" s="10" t="s">
        <v>10</v>
      </c>
      <c r="D397" s="10" t="s">
        <v>336</v>
      </c>
      <c r="E397" s="10">
        <v>2025</v>
      </c>
      <c r="F397" s="10" t="s">
        <v>1404</v>
      </c>
      <c r="G397" s="10" t="s">
        <v>1403</v>
      </c>
      <c r="H397" s="10" t="s">
        <v>1403</v>
      </c>
      <c r="I397" s="10" t="s">
        <v>91</v>
      </c>
      <c r="J397" s="26">
        <v>263.59656000000001</v>
      </c>
      <c r="K397" s="21"/>
    </row>
    <row r="398" spans="1:11" ht="31">
      <c r="A398" s="10">
        <v>7700</v>
      </c>
      <c r="B398" s="11" t="s">
        <v>1100</v>
      </c>
      <c r="C398" s="10" t="s">
        <v>10</v>
      </c>
      <c r="D398" s="10" t="s">
        <v>336</v>
      </c>
      <c r="E398" s="10">
        <v>2025</v>
      </c>
      <c r="F398" s="10" t="s">
        <v>1404</v>
      </c>
      <c r="G398" s="10" t="s">
        <v>1403</v>
      </c>
      <c r="H398" s="10" t="s">
        <v>1403</v>
      </c>
      <c r="I398" s="10" t="s">
        <v>91</v>
      </c>
      <c r="J398" s="26">
        <v>263.59656000000001</v>
      </c>
      <c r="K398" s="21"/>
    </row>
    <row r="399" spans="1:11" ht="31">
      <c r="A399" s="10">
        <v>7701</v>
      </c>
      <c r="B399" s="11" t="s">
        <v>1101</v>
      </c>
      <c r="C399" s="10" t="s">
        <v>10</v>
      </c>
      <c r="D399" s="10" t="s">
        <v>336</v>
      </c>
      <c r="E399" s="10">
        <v>2025</v>
      </c>
      <c r="F399" s="10" t="s">
        <v>1404</v>
      </c>
      <c r="G399" s="10" t="s">
        <v>1403</v>
      </c>
      <c r="H399" s="10" t="s">
        <v>1403</v>
      </c>
      <c r="I399" s="10" t="s">
        <v>91</v>
      </c>
      <c r="J399" s="26">
        <v>263.59656000000001</v>
      </c>
      <c r="K399" s="21"/>
    </row>
    <row r="400" spans="1:11" ht="31">
      <c r="A400" s="10">
        <v>7702</v>
      </c>
      <c r="B400" s="11" t="s">
        <v>1102</v>
      </c>
      <c r="C400" s="10" t="s">
        <v>10</v>
      </c>
      <c r="D400" s="10" t="s">
        <v>336</v>
      </c>
      <c r="E400" s="10">
        <v>2025</v>
      </c>
      <c r="F400" s="10" t="s">
        <v>1404</v>
      </c>
      <c r="G400" s="10" t="s">
        <v>1403</v>
      </c>
      <c r="H400" s="10" t="s">
        <v>1403</v>
      </c>
      <c r="I400" s="10" t="s">
        <v>91</v>
      </c>
      <c r="J400" s="26">
        <v>263.59656000000001</v>
      </c>
      <c r="K400" s="21"/>
    </row>
    <row r="401" spans="1:11" ht="31">
      <c r="A401" s="10">
        <v>7703</v>
      </c>
      <c r="B401" s="11" t="s">
        <v>1103</v>
      </c>
      <c r="C401" s="10" t="s">
        <v>10</v>
      </c>
      <c r="D401" s="10" t="s">
        <v>336</v>
      </c>
      <c r="E401" s="10">
        <v>2025</v>
      </c>
      <c r="F401" s="10" t="s">
        <v>1404</v>
      </c>
      <c r="G401" s="10" t="s">
        <v>1403</v>
      </c>
      <c r="H401" s="10" t="s">
        <v>1403</v>
      </c>
      <c r="I401" s="10" t="s">
        <v>91</v>
      </c>
      <c r="J401" s="26">
        <v>316.31587200000001</v>
      </c>
      <c r="K401" s="21"/>
    </row>
    <row r="402" spans="1:11" ht="31">
      <c r="A402" s="10">
        <v>7705</v>
      </c>
      <c r="B402" s="11" t="s">
        <v>1104</v>
      </c>
      <c r="C402" s="10" t="s">
        <v>10</v>
      </c>
      <c r="D402" s="10" t="s">
        <v>334</v>
      </c>
      <c r="E402" s="10">
        <v>1500</v>
      </c>
      <c r="F402" s="10" t="s">
        <v>1405</v>
      </c>
      <c r="G402" s="10" t="s">
        <v>1400</v>
      </c>
      <c r="H402" s="10" t="s">
        <v>1400</v>
      </c>
      <c r="I402" s="10" t="s">
        <v>91</v>
      </c>
      <c r="J402" s="26">
        <v>204.37648000000002</v>
      </c>
      <c r="K402" s="21"/>
    </row>
    <row r="403" spans="1:11" ht="31">
      <c r="A403" s="10">
        <v>7706</v>
      </c>
      <c r="B403" s="11" t="s">
        <v>1105</v>
      </c>
      <c r="C403" s="10" t="s">
        <v>10</v>
      </c>
      <c r="D403" s="10" t="s">
        <v>334</v>
      </c>
      <c r="E403" s="10">
        <v>1500</v>
      </c>
      <c r="F403" s="10" t="s">
        <v>1405</v>
      </c>
      <c r="G403" s="10" t="s">
        <v>1400</v>
      </c>
      <c r="H403" s="10" t="s">
        <v>1400</v>
      </c>
      <c r="I403" s="10" t="s">
        <v>91</v>
      </c>
      <c r="J403" s="26">
        <v>204.37648000000002</v>
      </c>
      <c r="K403" s="21"/>
    </row>
    <row r="404" spans="1:11" ht="31">
      <c r="A404" s="10">
        <v>7707</v>
      </c>
      <c r="B404" s="11" t="s">
        <v>1106</v>
      </c>
      <c r="C404" s="10" t="s">
        <v>10</v>
      </c>
      <c r="D404" s="10" t="s">
        <v>334</v>
      </c>
      <c r="E404" s="10">
        <v>1500</v>
      </c>
      <c r="F404" s="10" t="s">
        <v>1405</v>
      </c>
      <c r="G404" s="10" t="s">
        <v>1400</v>
      </c>
      <c r="H404" s="10" t="s">
        <v>1400</v>
      </c>
      <c r="I404" s="10" t="s">
        <v>91</v>
      </c>
      <c r="J404" s="26">
        <v>204.37648000000002</v>
      </c>
      <c r="K404" s="21"/>
    </row>
    <row r="405" spans="1:11" ht="31">
      <c r="A405" s="10">
        <v>7708</v>
      </c>
      <c r="B405" s="11" t="s">
        <v>1107</v>
      </c>
      <c r="C405" s="10" t="s">
        <v>10</v>
      </c>
      <c r="D405" s="10" t="s">
        <v>334</v>
      </c>
      <c r="E405" s="10">
        <v>1500</v>
      </c>
      <c r="F405" s="10" t="s">
        <v>1405</v>
      </c>
      <c r="G405" s="10" t="s">
        <v>1400</v>
      </c>
      <c r="H405" s="10" t="s">
        <v>1400</v>
      </c>
      <c r="I405" s="10" t="s">
        <v>91</v>
      </c>
      <c r="J405" s="26">
        <v>204.37648000000002</v>
      </c>
      <c r="K405" s="21"/>
    </row>
    <row r="406" spans="1:11" ht="31">
      <c r="A406" s="10">
        <v>7709</v>
      </c>
      <c r="B406" s="11" t="s">
        <v>1108</v>
      </c>
      <c r="C406" s="10" t="s">
        <v>10</v>
      </c>
      <c r="D406" s="10" t="s">
        <v>334</v>
      </c>
      <c r="E406" s="10">
        <v>1500</v>
      </c>
      <c r="F406" s="10" t="s">
        <v>1405</v>
      </c>
      <c r="G406" s="10" t="s">
        <v>1400</v>
      </c>
      <c r="H406" s="10" t="s">
        <v>1400</v>
      </c>
      <c r="I406" s="10" t="s">
        <v>91</v>
      </c>
      <c r="J406" s="26">
        <v>204.37648000000002</v>
      </c>
      <c r="K406" s="21"/>
    </row>
    <row r="407" spans="1:11" ht="31">
      <c r="A407" s="10">
        <v>7710</v>
      </c>
      <c r="B407" s="11" t="s">
        <v>1109</v>
      </c>
      <c r="C407" s="10" t="s">
        <v>10</v>
      </c>
      <c r="D407" s="10" t="s">
        <v>334</v>
      </c>
      <c r="E407" s="10">
        <v>1500</v>
      </c>
      <c r="F407" s="10" t="s">
        <v>1405</v>
      </c>
      <c r="G407" s="10" t="s">
        <v>1400</v>
      </c>
      <c r="H407" s="10" t="s">
        <v>1400</v>
      </c>
      <c r="I407" s="10" t="s">
        <v>91</v>
      </c>
      <c r="J407" s="26">
        <v>245.25177600000001</v>
      </c>
      <c r="K407" s="21"/>
    </row>
    <row r="408" spans="1:11" ht="31">
      <c r="A408" s="10">
        <v>7729</v>
      </c>
      <c r="B408" s="11" t="s">
        <v>1110</v>
      </c>
      <c r="C408" s="10" t="s">
        <v>10</v>
      </c>
      <c r="D408" s="10" t="s">
        <v>334</v>
      </c>
      <c r="E408" s="10">
        <v>1500</v>
      </c>
      <c r="F408" s="10" t="s">
        <v>1405</v>
      </c>
      <c r="G408" s="10" t="s">
        <v>1400</v>
      </c>
      <c r="H408" s="10" t="s">
        <v>1400</v>
      </c>
      <c r="I408" s="10" t="s">
        <v>91</v>
      </c>
      <c r="J408" s="26">
        <v>197.39107999999999</v>
      </c>
      <c r="K408" s="21"/>
    </row>
    <row r="409" spans="1:11" ht="31">
      <c r="A409" s="10">
        <v>7730</v>
      </c>
      <c r="B409" s="11" t="s">
        <v>1111</v>
      </c>
      <c r="C409" s="10" t="s">
        <v>10</v>
      </c>
      <c r="D409" s="10" t="s">
        <v>334</v>
      </c>
      <c r="E409" s="10">
        <v>1500</v>
      </c>
      <c r="F409" s="10" t="s">
        <v>1405</v>
      </c>
      <c r="G409" s="10" t="s">
        <v>1400</v>
      </c>
      <c r="H409" s="10" t="s">
        <v>1400</v>
      </c>
      <c r="I409" s="10" t="s">
        <v>91</v>
      </c>
      <c r="J409" s="26">
        <v>197.39107999999999</v>
      </c>
      <c r="K409" s="21"/>
    </row>
    <row r="410" spans="1:11" ht="31">
      <c r="A410" s="10">
        <v>7731</v>
      </c>
      <c r="B410" s="11" t="s">
        <v>1112</v>
      </c>
      <c r="C410" s="10" t="s">
        <v>10</v>
      </c>
      <c r="D410" s="10" t="s">
        <v>334</v>
      </c>
      <c r="E410" s="10">
        <v>1500</v>
      </c>
      <c r="F410" s="10" t="s">
        <v>1405</v>
      </c>
      <c r="G410" s="10" t="s">
        <v>1400</v>
      </c>
      <c r="H410" s="10" t="s">
        <v>1400</v>
      </c>
      <c r="I410" s="10" t="s">
        <v>91</v>
      </c>
      <c r="J410" s="26">
        <v>197.39107999999999</v>
      </c>
      <c r="K410" s="21"/>
    </row>
    <row r="411" spans="1:11" ht="31">
      <c r="A411" s="10">
        <v>7732</v>
      </c>
      <c r="B411" s="11" t="s">
        <v>1113</v>
      </c>
      <c r="C411" s="10" t="s">
        <v>10</v>
      </c>
      <c r="D411" s="10" t="s">
        <v>334</v>
      </c>
      <c r="E411" s="10">
        <v>1500</v>
      </c>
      <c r="F411" s="10" t="s">
        <v>1405</v>
      </c>
      <c r="G411" s="10" t="s">
        <v>1400</v>
      </c>
      <c r="H411" s="10" t="s">
        <v>1400</v>
      </c>
      <c r="I411" s="10" t="s">
        <v>91</v>
      </c>
      <c r="J411" s="26">
        <v>197.39107999999999</v>
      </c>
      <c r="K411" s="21"/>
    </row>
    <row r="412" spans="1:11" ht="31">
      <c r="A412" s="10">
        <v>7733</v>
      </c>
      <c r="B412" s="11" t="s">
        <v>1114</v>
      </c>
      <c r="C412" s="10" t="s">
        <v>10</v>
      </c>
      <c r="D412" s="10" t="s">
        <v>334</v>
      </c>
      <c r="E412" s="10">
        <v>1500</v>
      </c>
      <c r="F412" s="10" t="s">
        <v>1405</v>
      </c>
      <c r="G412" s="10" t="s">
        <v>1400</v>
      </c>
      <c r="H412" s="10" t="s">
        <v>1400</v>
      </c>
      <c r="I412" s="10" t="s">
        <v>91</v>
      </c>
      <c r="J412" s="26">
        <v>197.39107999999999</v>
      </c>
      <c r="K412" s="21"/>
    </row>
    <row r="413" spans="1:11" ht="31">
      <c r="A413" s="10">
        <v>7734</v>
      </c>
      <c r="B413" s="11" t="s">
        <v>1115</v>
      </c>
      <c r="C413" s="10" t="s">
        <v>10</v>
      </c>
      <c r="D413" s="10" t="s">
        <v>334</v>
      </c>
      <c r="E413" s="10">
        <v>1500</v>
      </c>
      <c r="F413" s="10" t="s">
        <v>1405</v>
      </c>
      <c r="G413" s="10" t="s">
        <v>1400</v>
      </c>
      <c r="H413" s="10" t="s">
        <v>1400</v>
      </c>
      <c r="I413" s="10" t="s">
        <v>91</v>
      </c>
      <c r="J413" s="26">
        <v>236.86929599999999</v>
      </c>
      <c r="K413" s="21"/>
    </row>
    <row r="414" spans="1:11" ht="31">
      <c r="A414" s="10">
        <v>7736</v>
      </c>
      <c r="B414" s="11" t="s">
        <v>1116</v>
      </c>
      <c r="C414" s="10" t="s">
        <v>10</v>
      </c>
      <c r="D414" s="10" t="s">
        <v>336</v>
      </c>
      <c r="E414" s="10">
        <v>2025</v>
      </c>
      <c r="F414" s="10" t="s">
        <v>1404</v>
      </c>
      <c r="G414" s="10" t="s">
        <v>1403</v>
      </c>
      <c r="H414" s="10" t="s">
        <v>1403</v>
      </c>
      <c r="I414" s="10" t="s">
        <v>91</v>
      </c>
      <c r="J414" s="26">
        <v>261.11297999999999</v>
      </c>
      <c r="K414" s="21"/>
    </row>
    <row r="415" spans="1:11" ht="31">
      <c r="A415" s="10">
        <v>7737</v>
      </c>
      <c r="B415" s="11" t="s">
        <v>1117</v>
      </c>
      <c r="C415" s="10" t="s">
        <v>10</v>
      </c>
      <c r="D415" s="10" t="s">
        <v>336</v>
      </c>
      <c r="E415" s="10">
        <v>2025</v>
      </c>
      <c r="F415" s="10" t="s">
        <v>1404</v>
      </c>
      <c r="G415" s="10" t="s">
        <v>1403</v>
      </c>
      <c r="H415" s="10" t="s">
        <v>1403</v>
      </c>
      <c r="I415" s="10" t="s">
        <v>91</v>
      </c>
      <c r="J415" s="26">
        <v>261.11297999999999</v>
      </c>
      <c r="K415" s="21"/>
    </row>
    <row r="416" spans="1:11" ht="31">
      <c r="A416" s="10">
        <v>7738</v>
      </c>
      <c r="B416" s="11" t="s">
        <v>1118</v>
      </c>
      <c r="C416" s="10" t="s">
        <v>10</v>
      </c>
      <c r="D416" s="10" t="s">
        <v>336</v>
      </c>
      <c r="E416" s="10">
        <v>2025</v>
      </c>
      <c r="F416" s="10" t="s">
        <v>1404</v>
      </c>
      <c r="G416" s="10" t="s">
        <v>1403</v>
      </c>
      <c r="H416" s="10" t="s">
        <v>1403</v>
      </c>
      <c r="I416" s="10" t="s">
        <v>91</v>
      </c>
      <c r="J416" s="26">
        <v>261.11297999999999</v>
      </c>
      <c r="K416" s="21"/>
    </row>
    <row r="417" spans="1:11" ht="31">
      <c r="A417" s="10">
        <v>7739</v>
      </c>
      <c r="B417" s="11" t="s">
        <v>1119</v>
      </c>
      <c r="C417" s="10" t="s">
        <v>10</v>
      </c>
      <c r="D417" s="10" t="s">
        <v>336</v>
      </c>
      <c r="E417" s="10">
        <v>2025</v>
      </c>
      <c r="F417" s="10" t="s">
        <v>1404</v>
      </c>
      <c r="G417" s="10" t="s">
        <v>1403</v>
      </c>
      <c r="H417" s="10" t="s">
        <v>1403</v>
      </c>
      <c r="I417" s="10" t="s">
        <v>91</v>
      </c>
      <c r="J417" s="26">
        <v>261.11297999999999</v>
      </c>
      <c r="K417" s="21"/>
    </row>
    <row r="418" spans="1:11" ht="31">
      <c r="A418" s="10">
        <v>7740</v>
      </c>
      <c r="B418" s="11" t="s">
        <v>1120</v>
      </c>
      <c r="C418" s="10" t="s">
        <v>10</v>
      </c>
      <c r="D418" s="10" t="s">
        <v>336</v>
      </c>
      <c r="E418" s="10">
        <v>2025</v>
      </c>
      <c r="F418" s="10" t="s">
        <v>1404</v>
      </c>
      <c r="G418" s="10" t="s">
        <v>1403</v>
      </c>
      <c r="H418" s="10" t="s">
        <v>1403</v>
      </c>
      <c r="I418" s="10" t="s">
        <v>91</v>
      </c>
      <c r="J418" s="26">
        <v>261.11297999999999</v>
      </c>
      <c r="K418" s="21"/>
    </row>
    <row r="419" spans="1:11" ht="31">
      <c r="A419" s="10">
        <v>7741</v>
      </c>
      <c r="B419" s="11" t="s">
        <v>1121</v>
      </c>
      <c r="C419" s="10" t="s">
        <v>10</v>
      </c>
      <c r="D419" s="10" t="s">
        <v>336</v>
      </c>
      <c r="E419" s="10">
        <v>2025</v>
      </c>
      <c r="F419" s="10" t="s">
        <v>1404</v>
      </c>
      <c r="G419" s="10" t="s">
        <v>1403</v>
      </c>
      <c r="H419" s="10" t="s">
        <v>1403</v>
      </c>
      <c r="I419" s="10" t="s">
        <v>91</v>
      </c>
      <c r="J419" s="26">
        <v>313.335576</v>
      </c>
      <c r="K419" s="21"/>
    </row>
    <row r="420" spans="1:11" ht="31">
      <c r="A420" s="10">
        <v>7742</v>
      </c>
      <c r="B420" s="11" t="s">
        <v>1122</v>
      </c>
      <c r="C420" s="10" t="s">
        <v>10</v>
      </c>
      <c r="D420" s="10" t="s">
        <v>334</v>
      </c>
      <c r="E420" s="10">
        <v>1500</v>
      </c>
      <c r="F420" s="10" t="s">
        <v>1406</v>
      </c>
      <c r="G420" s="10" t="s">
        <v>1400</v>
      </c>
      <c r="H420" s="10" t="s">
        <v>1400</v>
      </c>
      <c r="I420" s="10" t="s">
        <v>11</v>
      </c>
      <c r="J420" s="26">
        <v>189.60432000000003</v>
      </c>
      <c r="K420" s="21"/>
    </row>
    <row r="421" spans="1:11" ht="31">
      <c r="A421" s="10">
        <v>7743</v>
      </c>
      <c r="B421" s="11" t="s">
        <v>1123</v>
      </c>
      <c r="C421" s="10" t="s">
        <v>10</v>
      </c>
      <c r="D421" s="10" t="s">
        <v>334</v>
      </c>
      <c r="E421" s="10">
        <v>1500</v>
      </c>
      <c r="F421" s="10" t="s">
        <v>1406</v>
      </c>
      <c r="G421" s="10" t="s">
        <v>1400</v>
      </c>
      <c r="H421" s="10" t="s">
        <v>1400</v>
      </c>
      <c r="I421" s="10" t="s">
        <v>11</v>
      </c>
      <c r="J421" s="26">
        <v>189.60432000000003</v>
      </c>
      <c r="K421" s="21"/>
    </row>
    <row r="422" spans="1:11" ht="31">
      <c r="A422" s="10">
        <v>7744</v>
      </c>
      <c r="B422" s="11" t="s">
        <v>1124</v>
      </c>
      <c r="C422" s="10" t="s">
        <v>10</v>
      </c>
      <c r="D422" s="10" t="s">
        <v>334</v>
      </c>
      <c r="E422" s="10">
        <v>1500</v>
      </c>
      <c r="F422" s="10" t="s">
        <v>1406</v>
      </c>
      <c r="G422" s="10" t="s">
        <v>1400</v>
      </c>
      <c r="H422" s="10" t="s">
        <v>1400</v>
      </c>
      <c r="I422" s="10" t="s">
        <v>11</v>
      </c>
      <c r="J422" s="26">
        <v>189.60432000000003</v>
      </c>
      <c r="K422" s="21"/>
    </row>
    <row r="423" spans="1:11" ht="31">
      <c r="A423" s="10">
        <v>7745</v>
      </c>
      <c r="B423" s="11" t="s">
        <v>1125</v>
      </c>
      <c r="C423" s="10" t="s">
        <v>10</v>
      </c>
      <c r="D423" s="10" t="s">
        <v>334</v>
      </c>
      <c r="E423" s="10">
        <v>1500</v>
      </c>
      <c r="F423" s="10" t="s">
        <v>1406</v>
      </c>
      <c r="G423" s="10" t="s">
        <v>1400</v>
      </c>
      <c r="H423" s="10" t="s">
        <v>1400</v>
      </c>
      <c r="I423" s="10" t="s">
        <v>11</v>
      </c>
      <c r="J423" s="26">
        <v>189.60432000000003</v>
      </c>
      <c r="K423" s="21"/>
    </row>
    <row r="424" spans="1:11" ht="31">
      <c r="A424" s="10">
        <v>7746</v>
      </c>
      <c r="B424" s="11" t="s">
        <v>1126</v>
      </c>
      <c r="C424" s="10" t="s">
        <v>10</v>
      </c>
      <c r="D424" s="10" t="s">
        <v>334</v>
      </c>
      <c r="E424" s="10">
        <v>1500</v>
      </c>
      <c r="F424" s="10" t="s">
        <v>1406</v>
      </c>
      <c r="G424" s="10" t="s">
        <v>1400</v>
      </c>
      <c r="H424" s="10" t="s">
        <v>1400</v>
      </c>
      <c r="I424" s="10" t="s">
        <v>11</v>
      </c>
      <c r="J424" s="26">
        <v>189.60432000000003</v>
      </c>
      <c r="K424" s="21"/>
    </row>
    <row r="425" spans="1:11" ht="31">
      <c r="A425" s="10">
        <v>7748</v>
      </c>
      <c r="B425" s="11" t="s">
        <v>1127</v>
      </c>
      <c r="C425" s="10" t="s">
        <v>10</v>
      </c>
      <c r="D425" s="10" t="s">
        <v>334</v>
      </c>
      <c r="E425" s="10">
        <v>1500</v>
      </c>
      <c r="F425" s="10" t="s">
        <v>1406</v>
      </c>
      <c r="G425" s="10" t="s">
        <v>1400</v>
      </c>
      <c r="H425" s="10" t="s">
        <v>1400</v>
      </c>
      <c r="I425" s="10" t="s">
        <v>11</v>
      </c>
      <c r="J425" s="26">
        <v>227.52518400000005</v>
      </c>
      <c r="K425" s="21"/>
    </row>
    <row r="426" spans="1:11" ht="31">
      <c r="A426" s="10">
        <v>7749</v>
      </c>
      <c r="B426" s="11" t="s">
        <v>1128</v>
      </c>
      <c r="C426" s="10" t="s">
        <v>10</v>
      </c>
      <c r="D426" s="10" t="s">
        <v>336</v>
      </c>
      <c r="E426" s="10">
        <v>2025</v>
      </c>
      <c r="F426" s="10" t="s">
        <v>1408</v>
      </c>
      <c r="G426" s="10" t="s">
        <v>1409</v>
      </c>
      <c r="H426" s="10" t="s">
        <v>1409</v>
      </c>
      <c r="I426" s="10" t="s">
        <v>11</v>
      </c>
      <c r="J426" s="26">
        <v>250.78858</v>
      </c>
      <c r="K426" s="21"/>
    </row>
    <row r="427" spans="1:11" ht="31">
      <c r="A427" s="10">
        <v>7750</v>
      </c>
      <c r="B427" s="11" t="s">
        <v>1129</v>
      </c>
      <c r="C427" s="10" t="s">
        <v>10</v>
      </c>
      <c r="D427" s="10" t="s">
        <v>336</v>
      </c>
      <c r="E427" s="10">
        <v>2025</v>
      </c>
      <c r="F427" s="10" t="s">
        <v>1408</v>
      </c>
      <c r="G427" s="10" t="s">
        <v>1409</v>
      </c>
      <c r="H427" s="10" t="s">
        <v>1409</v>
      </c>
      <c r="I427" s="10" t="s">
        <v>11</v>
      </c>
      <c r="J427" s="26">
        <v>250.78858</v>
      </c>
      <c r="K427" s="21"/>
    </row>
    <row r="428" spans="1:11" ht="31">
      <c r="A428" s="10">
        <v>7751</v>
      </c>
      <c r="B428" s="11" t="s">
        <v>1130</v>
      </c>
      <c r="C428" s="10" t="s">
        <v>10</v>
      </c>
      <c r="D428" s="10" t="s">
        <v>336</v>
      </c>
      <c r="E428" s="10">
        <v>2025</v>
      </c>
      <c r="F428" s="10" t="s">
        <v>1408</v>
      </c>
      <c r="G428" s="10" t="s">
        <v>1409</v>
      </c>
      <c r="H428" s="10" t="s">
        <v>1409</v>
      </c>
      <c r="I428" s="10" t="s">
        <v>11</v>
      </c>
      <c r="J428" s="26">
        <v>250.78858</v>
      </c>
      <c r="K428" s="21"/>
    </row>
    <row r="429" spans="1:11" ht="31">
      <c r="A429" s="10">
        <v>7752</v>
      </c>
      <c r="B429" s="11" t="s">
        <v>1131</v>
      </c>
      <c r="C429" s="10" t="s">
        <v>10</v>
      </c>
      <c r="D429" s="10" t="s">
        <v>336</v>
      </c>
      <c r="E429" s="10">
        <v>2025</v>
      </c>
      <c r="F429" s="10" t="s">
        <v>1408</v>
      </c>
      <c r="G429" s="10" t="s">
        <v>1409</v>
      </c>
      <c r="H429" s="10" t="s">
        <v>1409</v>
      </c>
      <c r="I429" s="10" t="s">
        <v>11</v>
      </c>
      <c r="J429" s="26">
        <v>250.78858</v>
      </c>
      <c r="K429" s="21"/>
    </row>
    <row r="430" spans="1:11" ht="31">
      <c r="A430" s="10">
        <v>7753</v>
      </c>
      <c r="B430" s="11" t="s">
        <v>1132</v>
      </c>
      <c r="C430" s="10" t="s">
        <v>10</v>
      </c>
      <c r="D430" s="10" t="s">
        <v>336</v>
      </c>
      <c r="E430" s="10">
        <v>2025</v>
      </c>
      <c r="F430" s="10" t="s">
        <v>1408</v>
      </c>
      <c r="G430" s="10" t="s">
        <v>1409</v>
      </c>
      <c r="H430" s="10" t="s">
        <v>1409</v>
      </c>
      <c r="I430" s="10" t="s">
        <v>11</v>
      </c>
      <c r="J430" s="26">
        <v>250.78858</v>
      </c>
      <c r="K430" s="21"/>
    </row>
    <row r="431" spans="1:11" ht="31">
      <c r="A431" s="10">
        <v>7755</v>
      </c>
      <c r="B431" s="11" t="s">
        <v>1133</v>
      </c>
      <c r="C431" s="10" t="s">
        <v>10</v>
      </c>
      <c r="D431" s="10" t="s">
        <v>336</v>
      </c>
      <c r="E431" s="10">
        <v>2025</v>
      </c>
      <c r="F431" s="10" t="s">
        <v>1408</v>
      </c>
      <c r="G431" s="10" t="s">
        <v>1409</v>
      </c>
      <c r="H431" s="10" t="s">
        <v>1409</v>
      </c>
      <c r="I431" s="10" t="s">
        <v>11</v>
      </c>
      <c r="J431" s="26">
        <v>300.94629600000002</v>
      </c>
      <c r="K431" s="21"/>
    </row>
    <row r="432" spans="1:11" ht="31">
      <c r="A432" s="10">
        <v>7756</v>
      </c>
      <c r="B432" s="11" t="s">
        <v>1134</v>
      </c>
      <c r="C432" s="10" t="s">
        <v>10</v>
      </c>
      <c r="D432" s="10" t="s">
        <v>784</v>
      </c>
      <c r="E432" s="10">
        <v>300</v>
      </c>
      <c r="F432" s="10" t="s">
        <v>1410</v>
      </c>
      <c r="G432" s="10" t="s">
        <v>294</v>
      </c>
      <c r="H432" s="10" t="s">
        <v>294</v>
      </c>
      <c r="I432" s="10" t="s">
        <v>11</v>
      </c>
      <c r="J432" s="26">
        <v>217.0668</v>
      </c>
      <c r="K432" s="21"/>
    </row>
    <row r="433" spans="1:11" ht="31">
      <c r="A433" s="10">
        <v>7757</v>
      </c>
      <c r="B433" s="11" t="s">
        <v>1135</v>
      </c>
      <c r="C433" s="10" t="s">
        <v>10</v>
      </c>
      <c r="D433" s="10" t="s">
        <v>784</v>
      </c>
      <c r="E433" s="10">
        <v>300</v>
      </c>
      <c r="F433" s="10" t="s">
        <v>1410</v>
      </c>
      <c r="G433" s="10" t="s">
        <v>294</v>
      </c>
      <c r="H433" s="10" t="s">
        <v>294</v>
      </c>
      <c r="I433" s="10" t="s">
        <v>11</v>
      </c>
      <c r="J433" s="26">
        <v>217.0668</v>
      </c>
      <c r="K433" s="21"/>
    </row>
    <row r="434" spans="1:11" ht="31">
      <c r="A434" s="10">
        <v>7758</v>
      </c>
      <c r="B434" s="11" t="s">
        <v>1136</v>
      </c>
      <c r="C434" s="10" t="s">
        <v>10</v>
      </c>
      <c r="D434" s="10" t="s">
        <v>784</v>
      </c>
      <c r="E434" s="10">
        <v>300</v>
      </c>
      <c r="F434" s="10" t="s">
        <v>1410</v>
      </c>
      <c r="G434" s="10" t="s">
        <v>294</v>
      </c>
      <c r="H434" s="10" t="s">
        <v>294</v>
      </c>
      <c r="I434" s="10" t="s">
        <v>11</v>
      </c>
      <c r="J434" s="26">
        <v>260.48016000000001</v>
      </c>
      <c r="K434" s="21"/>
    </row>
    <row r="435" spans="1:11" ht="31">
      <c r="A435" s="10">
        <v>7759</v>
      </c>
      <c r="B435" s="11" t="s">
        <v>1137</v>
      </c>
      <c r="C435" s="10" t="s">
        <v>10</v>
      </c>
      <c r="D435" s="10" t="s">
        <v>784</v>
      </c>
      <c r="E435" s="10">
        <v>300</v>
      </c>
      <c r="F435" s="10" t="s">
        <v>1410</v>
      </c>
      <c r="G435" s="10" t="s">
        <v>294</v>
      </c>
      <c r="H435" s="10" t="s">
        <v>294</v>
      </c>
      <c r="I435" s="10" t="s">
        <v>11</v>
      </c>
      <c r="J435" s="26">
        <v>217.0668</v>
      </c>
      <c r="K435" s="21"/>
    </row>
    <row r="436" spans="1:11" ht="31">
      <c r="A436" s="10">
        <v>7761</v>
      </c>
      <c r="B436" s="11" t="s">
        <v>1138</v>
      </c>
      <c r="C436" s="10" t="s">
        <v>10</v>
      </c>
      <c r="D436" s="10" t="s">
        <v>770</v>
      </c>
      <c r="E436" s="10">
        <v>900</v>
      </c>
      <c r="F436" s="10" t="s">
        <v>1411</v>
      </c>
      <c r="G436" s="10" t="s">
        <v>270</v>
      </c>
      <c r="H436" s="10" t="s">
        <v>270</v>
      </c>
      <c r="I436" s="10" t="s">
        <v>91</v>
      </c>
      <c r="J436" s="26">
        <v>162.76300000000003</v>
      </c>
      <c r="K436" s="21"/>
    </row>
    <row r="437" spans="1:11" ht="31">
      <c r="A437" s="10">
        <v>7762</v>
      </c>
      <c r="B437" s="11" t="s">
        <v>1139</v>
      </c>
      <c r="C437" s="10" t="s">
        <v>10</v>
      </c>
      <c r="D437" s="10" t="s">
        <v>770</v>
      </c>
      <c r="E437" s="10">
        <v>900</v>
      </c>
      <c r="F437" s="10" t="s">
        <v>1411</v>
      </c>
      <c r="G437" s="10" t="s">
        <v>270</v>
      </c>
      <c r="H437" s="10" t="s">
        <v>270</v>
      </c>
      <c r="I437" s="10" t="s">
        <v>91</v>
      </c>
      <c r="J437" s="26">
        <v>195.31560000000002</v>
      </c>
      <c r="K437" s="21"/>
    </row>
    <row r="438" spans="1:11" ht="31">
      <c r="A438" s="10">
        <v>7763</v>
      </c>
      <c r="B438" s="11" t="s">
        <v>1140</v>
      </c>
      <c r="C438" s="10" t="s">
        <v>10</v>
      </c>
      <c r="D438" s="10" t="s">
        <v>770</v>
      </c>
      <c r="E438" s="10">
        <v>900</v>
      </c>
      <c r="F438" s="10" t="s">
        <v>1411</v>
      </c>
      <c r="G438" s="10" t="s">
        <v>270</v>
      </c>
      <c r="H438" s="10" t="s">
        <v>270</v>
      </c>
      <c r="I438" s="10" t="s">
        <v>91</v>
      </c>
      <c r="J438" s="26">
        <v>162.76300000000003</v>
      </c>
      <c r="K438" s="21"/>
    </row>
    <row r="439" spans="1:11" ht="31">
      <c r="A439" s="10">
        <v>7765</v>
      </c>
      <c r="B439" s="11" t="s">
        <v>1141</v>
      </c>
      <c r="C439" s="10" t="s">
        <v>10</v>
      </c>
      <c r="D439" s="10" t="s">
        <v>770</v>
      </c>
      <c r="E439" s="10">
        <v>900</v>
      </c>
      <c r="F439" s="10" t="s">
        <v>1411</v>
      </c>
      <c r="G439" s="10" t="s">
        <v>95</v>
      </c>
      <c r="H439" s="10" t="s">
        <v>95</v>
      </c>
      <c r="I439" s="10" t="s">
        <v>91</v>
      </c>
      <c r="J439" s="26">
        <v>191.46992</v>
      </c>
      <c r="K439" s="21"/>
    </row>
    <row r="440" spans="1:11" ht="31">
      <c r="A440" s="10">
        <v>7766</v>
      </c>
      <c r="B440" s="11" t="s">
        <v>1142</v>
      </c>
      <c r="C440" s="10" t="s">
        <v>10</v>
      </c>
      <c r="D440" s="10" t="s">
        <v>770</v>
      </c>
      <c r="E440" s="10">
        <v>900</v>
      </c>
      <c r="F440" s="10" t="s">
        <v>1411</v>
      </c>
      <c r="G440" s="10" t="s">
        <v>95</v>
      </c>
      <c r="H440" s="10" t="s">
        <v>95</v>
      </c>
      <c r="I440" s="10" t="s">
        <v>91</v>
      </c>
      <c r="J440" s="26">
        <v>229.763904</v>
      </c>
      <c r="K440" s="21"/>
    </row>
    <row r="441" spans="1:11" ht="31">
      <c r="A441" s="10">
        <v>7767</v>
      </c>
      <c r="B441" s="11" t="s">
        <v>1143</v>
      </c>
      <c r="C441" s="10" t="s">
        <v>10</v>
      </c>
      <c r="D441" s="10" t="s">
        <v>770</v>
      </c>
      <c r="E441" s="10">
        <v>900</v>
      </c>
      <c r="F441" s="10" t="s">
        <v>1411</v>
      </c>
      <c r="G441" s="10" t="s">
        <v>95</v>
      </c>
      <c r="H441" s="10" t="s">
        <v>95</v>
      </c>
      <c r="I441" s="10" t="s">
        <v>91</v>
      </c>
      <c r="J441" s="26">
        <v>191.46992</v>
      </c>
      <c r="K441" s="21"/>
    </row>
    <row r="442" spans="1:11" ht="31">
      <c r="A442" s="10">
        <v>7768</v>
      </c>
      <c r="B442" s="11" t="s">
        <v>1144</v>
      </c>
      <c r="C442" s="10" t="s">
        <v>10</v>
      </c>
      <c r="D442" s="10" t="s">
        <v>770</v>
      </c>
      <c r="E442" s="10">
        <v>900</v>
      </c>
      <c r="F442" s="10" t="s">
        <v>1412</v>
      </c>
      <c r="G442" s="10" t="s">
        <v>270</v>
      </c>
      <c r="H442" s="10" t="s">
        <v>1536</v>
      </c>
      <c r="I442" s="10" t="s">
        <v>11</v>
      </c>
      <c r="J442" s="26">
        <v>144.65183999999999</v>
      </c>
      <c r="K442" s="21"/>
    </row>
    <row r="443" spans="1:11" ht="31">
      <c r="A443" s="10">
        <v>7769</v>
      </c>
      <c r="B443" s="11" t="s">
        <v>1145</v>
      </c>
      <c r="C443" s="10" t="s">
        <v>10</v>
      </c>
      <c r="D443" s="10" t="s">
        <v>770</v>
      </c>
      <c r="E443" s="10">
        <v>900</v>
      </c>
      <c r="F443" s="10" t="s">
        <v>1412</v>
      </c>
      <c r="G443" s="10" t="s">
        <v>270</v>
      </c>
      <c r="H443" s="10" t="s">
        <v>1536</v>
      </c>
      <c r="I443" s="10" t="s">
        <v>11</v>
      </c>
      <c r="J443" s="26">
        <v>144.65183999999999</v>
      </c>
      <c r="K443" s="21"/>
    </row>
    <row r="444" spans="1:11" ht="31">
      <c r="A444" s="10">
        <v>7770</v>
      </c>
      <c r="B444" s="11" t="s">
        <v>1146</v>
      </c>
      <c r="C444" s="10" t="s">
        <v>10</v>
      </c>
      <c r="D444" s="10" t="s">
        <v>770</v>
      </c>
      <c r="E444" s="10">
        <v>900</v>
      </c>
      <c r="F444" s="10" t="s">
        <v>1412</v>
      </c>
      <c r="G444" s="10" t="s">
        <v>270</v>
      </c>
      <c r="H444" s="10" t="s">
        <v>1536</v>
      </c>
      <c r="I444" s="10" t="s">
        <v>11</v>
      </c>
      <c r="J444" s="26">
        <v>173.58220800000001</v>
      </c>
      <c r="K444" s="21"/>
    </row>
    <row r="445" spans="1:11" ht="31">
      <c r="A445" s="10">
        <v>7771</v>
      </c>
      <c r="B445" s="11" t="s">
        <v>1147</v>
      </c>
      <c r="C445" s="10" t="s">
        <v>10</v>
      </c>
      <c r="D445" s="10" t="s">
        <v>770</v>
      </c>
      <c r="E445" s="10">
        <v>900</v>
      </c>
      <c r="F445" s="10" t="s">
        <v>1412</v>
      </c>
      <c r="G445" s="10" t="s">
        <v>270</v>
      </c>
      <c r="H445" s="10" t="s">
        <v>1536</v>
      </c>
      <c r="I445" s="10" t="s">
        <v>11</v>
      </c>
      <c r="J445" s="26">
        <v>144.65183999999999</v>
      </c>
      <c r="K445" s="21"/>
    </row>
    <row r="446" spans="1:11" ht="31">
      <c r="A446" s="10">
        <v>7772</v>
      </c>
      <c r="B446" s="11" t="s">
        <v>1148</v>
      </c>
      <c r="C446" s="10" t="s">
        <v>10</v>
      </c>
      <c r="D446" s="10" t="s">
        <v>770</v>
      </c>
      <c r="E446" s="10">
        <v>900</v>
      </c>
      <c r="F446" s="10" t="s">
        <v>1413</v>
      </c>
      <c r="G446" s="10" t="s">
        <v>95</v>
      </c>
      <c r="H446" s="10" t="s">
        <v>95</v>
      </c>
      <c r="I446" s="10" t="s">
        <v>11</v>
      </c>
      <c r="J446" s="26">
        <v>266.41827999999998</v>
      </c>
      <c r="K446" s="21"/>
    </row>
    <row r="447" spans="1:11" ht="31">
      <c r="A447" s="10">
        <v>7773</v>
      </c>
      <c r="B447" s="11" t="s">
        <v>1149</v>
      </c>
      <c r="C447" s="10" t="s">
        <v>10</v>
      </c>
      <c r="D447" s="10" t="s">
        <v>770</v>
      </c>
      <c r="E447" s="10">
        <v>900</v>
      </c>
      <c r="F447" s="10" t="s">
        <v>1413</v>
      </c>
      <c r="G447" s="10" t="s">
        <v>95</v>
      </c>
      <c r="H447" s="10" t="s">
        <v>95</v>
      </c>
      <c r="I447" s="10" t="s">
        <v>11</v>
      </c>
      <c r="J447" s="26">
        <v>266.41827999999998</v>
      </c>
      <c r="K447" s="21"/>
    </row>
    <row r="448" spans="1:11" ht="31">
      <c r="A448" s="10">
        <v>7774</v>
      </c>
      <c r="B448" s="11" t="s">
        <v>1150</v>
      </c>
      <c r="C448" s="10" t="s">
        <v>10</v>
      </c>
      <c r="D448" s="10" t="s">
        <v>770</v>
      </c>
      <c r="E448" s="10">
        <v>900</v>
      </c>
      <c r="F448" s="10" t="s">
        <v>1413</v>
      </c>
      <c r="G448" s="10" t="s">
        <v>95</v>
      </c>
      <c r="H448" s="10" t="s">
        <v>95</v>
      </c>
      <c r="I448" s="10" t="s">
        <v>11</v>
      </c>
      <c r="J448" s="26">
        <v>319.70193599999999</v>
      </c>
      <c r="K448" s="21"/>
    </row>
    <row r="449" spans="1:11" ht="31">
      <c r="A449" s="10">
        <v>7775</v>
      </c>
      <c r="B449" s="11" t="s">
        <v>1151</v>
      </c>
      <c r="C449" s="10" t="s">
        <v>10</v>
      </c>
      <c r="D449" s="10" t="s">
        <v>770</v>
      </c>
      <c r="E449" s="10">
        <v>900</v>
      </c>
      <c r="F449" s="10" t="s">
        <v>1413</v>
      </c>
      <c r="G449" s="10" t="s">
        <v>95</v>
      </c>
      <c r="H449" s="10" t="s">
        <v>95</v>
      </c>
      <c r="I449" s="10" t="s">
        <v>11</v>
      </c>
      <c r="J449" s="26">
        <v>266.41827999999998</v>
      </c>
      <c r="K449" s="21"/>
    </row>
    <row r="450" spans="1:11" ht="31">
      <c r="A450" s="10">
        <v>7776</v>
      </c>
      <c r="B450" s="11" t="s">
        <v>1284</v>
      </c>
      <c r="C450" s="10" t="s">
        <v>10</v>
      </c>
      <c r="D450" s="10" t="s">
        <v>780</v>
      </c>
      <c r="E450" s="10">
        <v>150</v>
      </c>
      <c r="F450" s="10" t="s">
        <v>1459</v>
      </c>
      <c r="G450" s="10" t="s">
        <v>1460</v>
      </c>
      <c r="H450" s="10" t="s">
        <v>1554</v>
      </c>
      <c r="I450" s="10" t="s">
        <v>11</v>
      </c>
      <c r="J450" s="26">
        <v>180.62400000000002</v>
      </c>
      <c r="K450" s="21"/>
    </row>
    <row r="451" spans="1:11" ht="31">
      <c r="A451" s="10">
        <v>7777</v>
      </c>
      <c r="B451" s="11" t="s">
        <v>1285</v>
      </c>
      <c r="C451" s="10" t="s">
        <v>10</v>
      </c>
      <c r="D451" s="10" t="s">
        <v>780</v>
      </c>
      <c r="E451" s="10">
        <v>150</v>
      </c>
      <c r="F451" s="10" t="s">
        <v>1459</v>
      </c>
      <c r="G451" s="10" t="s">
        <v>1460</v>
      </c>
      <c r="H451" s="10" t="s">
        <v>1554</v>
      </c>
      <c r="I451" s="10" t="s">
        <v>11</v>
      </c>
      <c r="J451" s="26">
        <v>180.62400000000002</v>
      </c>
      <c r="K451" s="21"/>
    </row>
    <row r="452" spans="1:11" ht="31">
      <c r="A452" s="10">
        <v>7778</v>
      </c>
      <c r="B452" s="11" t="s">
        <v>1286</v>
      </c>
      <c r="C452" s="10" t="s">
        <v>10</v>
      </c>
      <c r="D452" s="10" t="s">
        <v>780</v>
      </c>
      <c r="E452" s="10">
        <v>150</v>
      </c>
      <c r="F452" s="10" t="s">
        <v>1459</v>
      </c>
      <c r="G452" s="10" t="s">
        <v>1460</v>
      </c>
      <c r="H452" s="10" t="s">
        <v>1554</v>
      </c>
      <c r="I452" s="10" t="s">
        <v>11</v>
      </c>
      <c r="J452" s="26">
        <v>216.74880000000002</v>
      </c>
      <c r="K452" s="21"/>
    </row>
    <row r="453" spans="1:11" ht="31">
      <c r="A453" s="10">
        <v>7779</v>
      </c>
      <c r="B453" s="11" t="s">
        <v>1287</v>
      </c>
      <c r="C453" s="10" t="s">
        <v>10</v>
      </c>
      <c r="D453" s="10" t="s">
        <v>780</v>
      </c>
      <c r="E453" s="10">
        <v>150</v>
      </c>
      <c r="F453" s="10" t="s">
        <v>1459</v>
      </c>
      <c r="G453" s="10" t="s">
        <v>1460</v>
      </c>
      <c r="H453" s="10" t="s">
        <v>1554</v>
      </c>
      <c r="I453" s="10" t="s">
        <v>11</v>
      </c>
      <c r="J453" s="26">
        <v>165.59108000000001</v>
      </c>
      <c r="K453" s="21"/>
    </row>
    <row r="454" spans="1:11" ht="31">
      <c r="A454" s="10">
        <v>7781</v>
      </c>
      <c r="B454" s="11" t="s">
        <v>1289</v>
      </c>
      <c r="C454" s="10" t="s">
        <v>10</v>
      </c>
      <c r="D454" s="10" t="s">
        <v>780</v>
      </c>
      <c r="E454" s="10">
        <v>150</v>
      </c>
      <c r="F454" s="10" t="s">
        <v>1459</v>
      </c>
      <c r="G454" s="10" t="s">
        <v>1460</v>
      </c>
      <c r="H454" s="10" t="s">
        <v>1554</v>
      </c>
      <c r="I454" s="10" t="s">
        <v>11</v>
      </c>
      <c r="J454" s="26">
        <v>198.70929599999999</v>
      </c>
      <c r="K454" s="21"/>
    </row>
    <row r="455" spans="1:11" ht="31">
      <c r="A455" s="10">
        <v>7782</v>
      </c>
      <c r="B455" s="11" t="s">
        <v>1272</v>
      </c>
      <c r="C455" s="10" t="s">
        <v>273</v>
      </c>
      <c r="D455" s="12" t="s">
        <v>11</v>
      </c>
      <c r="E455" s="12" t="s">
        <v>11</v>
      </c>
      <c r="F455" s="10" t="s">
        <v>1549</v>
      </c>
      <c r="G455" s="10" t="s">
        <v>208</v>
      </c>
      <c r="H455" s="10" t="s">
        <v>1458</v>
      </c>
      <c r="I455" s="10" t="s">
        <v>11</v>
      </c>
      <c r="J455" s="26">
        <v>170.12152</v>
      </c>
      <c r="K455" s="21"/>
    </row>
    <row r="456" spans="1:11" ht="31">
      <c r="A456" s="10">
        <v>7783</v>
      </c>
      <c r="B456" s="11" t="s">
        <v>1273</v>
      </c>
      <c r="C456" s="10" t="s">
        <v>273</v>
      </c>
      <c r="D456" s="12" t="s">
        <v>11</v>
      </c>
      <c r="E456" s="12" t="s">
        <v>11</v>
      </c>
      <c r="F456" s="10" t="s">
        <v>1549</v>
      </c>
      <c r="G456" s="10" t="s">
        <v>208</v>
      </c>
      <c r="H456" s="10" t="s">
        <v>1458</v>
      </c>
      <c r="I456" s="10" t="s">
        <v>11</v>
      </c>
      <c r="J456" s="26">
        <v>170.12152</v>
      </c>
      <c r="K456" s="21"/>
    </row>
    <row r="457" spans="1:11" ht="31">
      <c r="A457" s="10">
        <v>7784</v>
      </c>
      <c r="B457" s="11" t="s">
        <v>1274</v>
      </c>
      <c r="C457" s="10" t="s">
        <v>273</v>
      </c>
      <c r="D457" s="12" t="s">
        <v>11</v>
      </c>
      <c r="E457" s="12" t="s">
        <v>11</v>
      </c>
      <c r="F457" s="10" t="s">
        <v>1549</v>
      </c>
      <c r="G457" s="10" t="s">
        <v>208</v>
      </c>
      <c r="H457" s="10" t="s">
        <v>1458</v>
      </c>
      <c r="I457" s="10" t="s">
        <v>11</v>
      </c>
      <c r="J457" s="26">
        <v>204.145824</v>
      </c>
      <c r="K457" s="21"/>
    </row>
    <row r="458" spans="1:11" ht="31">
      <c r="A458" s="10">
        <v>7785</v>
      </c>
      <c r="B458" s="11" t="s">
        <v>1275</v>
      </c>
      <c r="C458" s="10" t="s">
        <v>273</v>
      </c>
      <c r="D458" s="12" t="s">
        <v>11</v>
      </c>
      <c r="E458" s="12" t="s">
        <v>11</v>
      </c>
      <c r="F458" s="10" t="s">
        <v>1549</v>
      </c>
      <c r="G458" s="10" t="s">
        <v>208</v>
      </c>
      <c r="H458" s="10" t="s">
        <v>1458</v>
      </c>
      <c r="I458" s="10" t="s">
        <v>11</v>
      </c>
      <c r="J458" s="26">
        <v>155.08754000000002</v>
      </c>
      <c r="K458" s="21"/>
    </row>
    <row r="459" spans="1:11" ht="31">
      <c r="A459" s="10">
        <v>7786</v>
      </c>
      <c r="B459" s="11" t="s">
        <v>1276</v>
      </c>
      <c r="C459" s="10" t="s">
        <v>273</v>
      </c>
      <c r="D459" s="12" t="s">
        <v>11</v>
      </c>
      <c r="E459" s="12" t="s">
        <v>11</v>
      </c>
      <c r="F459" s="10" t="s">
        <v>1549</v>
      </c>
      <c r="G459" s="10" t="s">
        <v>208</v>
      </c>
      <c r="H459" s="10" t="s">
        <v>1458</v>
      </c>
      <c r="I459" s="10" t="s">
        <v>11</v>
      </c>
      <c r="J459" s="26">
        <v>155.08754000000002</v>
      </c>
      <c r="K459" s="21"/>
    </row>
    <row r="460" spans="1:11" ht="31">
      <c r="A460" s="10">
        <v>7787</v>
      </c>
      <c r="B460" s="11" t="s">
        <v>1277</v>
      </c>
      <c r="C460" s="10" t="s">
        <v>273</v>
      </c>
      <c r="D460" s="12" t="s">
        <v>11</v>
      </c>
      <c r="E460" s="12" t="s">
        <v>11</v>
      </c>
      <c r="F460" s="10" t="s">
        <v>1549</v>
      </c>
      <c r="G460" s="10" t="s">
        <v>208</v>
      </c>
      <c r="H460" s="10" t="s">
        <v>1458</v>
      </c>
      <c r="I460" s="10" t="s">
        <v>11</v>
      </c>
      <c r="J460" s="26">
        <v>186.10504800000001</v>
      </c>
      <c r="K460" s="21"/>
    </row>
    <row r="461" spans="1:11" ht="21">
      <c r="A461" s="10">
        <v>7788</v>
      </c>
      <c r="B461" s="11" t="s">
        <v>1182</v>
      </c>
      <c r="C461" s="10" t="s">
        <v>10</v>
      </c>
      <c r="D461" s="10" t="s">
        <v>210</v>
      </c>
      <c r="E461" s="10">
        <v>110</v>
      </c>
      <c r="F461" s="10" t="s">
        <v>1423</v>
      </c>
      <c r="G461" s="10" t="s">
        <v>1399</v>
      </c>
      <c r="H461" s="10" t="s">
        <v>1399</v>
      </c>
      <c r="I461" s="10" t="s">
        <v>11</v>
      </c>
      <c r="J461" s="26">
        <v>273.35491999999999</v>
      </c>
      <c r="K461" s="37" t="s">
        <v>1537</v>
      </c>
    </row>
    <row r="462" spans="1:11" ht="21">
      <c r="A462" s="10">
        <v>7789</v>
      </c>
      <c r="B462" s="11" t="s">
        <v>1183</v>
      </c>
      <c r="C462" s="10" t="s">
        <v>10</v>
      </c>
      <c r="D462" s="10" t="s">
        <v>210</v>
      </c>
      <c r="E462" s="10">
        <v>110</v>
      </c>
      <c r="F462" s="10" t="s">
        <v>1423</v>
      </c>
      <c r="G462" s="10" t="s">
        <v>1399</v>
      </c>
      <c r="H462" s="10" t="s">
        <v>1399</v>
      </c>
      <c r="I462" s="10" t="s">
        <v>11</v>
      </c>
      <c r="J462" s="26">
        <v>273.35491999999999</v>
      </c>
      <c r="K462" s="37" t="s">
        <v>1537</v>
      </c>
    </row>
    <row r="463" spans="1:11" ht="21">
      <c r="A463" s="10">
        <v>7790</v>
      </c>
      <c r="B463" s="11" t="s">
        <v>1184</v>
      </c>
      <c r="C463" s="10" t="s">
        <v>10</v>
      </c>
      <c r="D463" s="10" t="s">
        <v>210</v>
      </c>
      <c r="E463" s="10">
        <v>110</v>
      </c>
      <c r="F463" s="10" t="s">
        <v>1423</v>
      </c>
      <c r="G463" s="10" t="s">
        <v>1399</v>
      </c>
      <c r="H463" s="10" t="s">
        <v>1399</v>
      </c>
      <c r="I463" s="10" t="s">
        <v>11</v>
      </c>
      <c r="J463" s="26">
        <v>328.02590400000003</v>
      </c>
      <c r="K463" s="37" t="s">
        <v>1537</v>
      </c>
    </row>
    <row r="464" spans="1:11" ht="21">
      <c r="A464" s="10">
        <v>7791</v>
      </c>
      <c r="B464" s="11" t="s">
        <v>1185</v>
      </c>
      <c r="C464" s="10" t="s">
        <v>10</v>
      </c>
      <c r="D464" s="10" t="s">
        <v>210</v>
      </c>
      <c r="E464" s="10">
        <v>110</v>
      </c>
      <c r="F464" s="10" t="s">
        <v>1423</v>
      </c>
      <c r="G464" s="10" t="s">
        <v>1399</v>
      </c>
      <c r="H464" s="10" t="s">
        <v>1399</v>
      </c>
      <c r="I464" s="10" t="s">
        <v>11</v>
      </c>
      <c r="J464" s="26">
        <v>273.35491999999999</v>
      </c>
      <c r="K464" s="37" t="s">
        <v>1537</v>
      </c>
    </row>
    <row r="465" spans="1:11" ht="21">
      <c r="A465" s="10">
        <v>7792</v>
      </c>
      <c r="B465" s="11" t="s">
        <v>1186</v>
      </c>
      <c r="C465" s="10" t="s">
        <v>10</v>
      </c>
      <c r="D465" s="10" t="s">
        <v>210</v>
      </c>
      <c r="E465" s="10">
        <v>110</v>
      </c>
      <c r="F465" s="10" t="s">
        <v>1423</v>
      </c>
      <c r="G465" s="10" t="s">
        <v>1399</v>
      </c>
      <c r="H465" s="10" t="s">
        <v>1399</v>
      </c>
      <c r="I465" s="10" t="s">
        <v>11</v>
      </c>
      <c r="J465" s="26">
        <v>273.35491999999999</v>
      </c>
      <c r="K465" s="37" t="s">
        <v>1537</v>
      </c>
    </row>
    <row r="466" spans="1:11" ht="21">
      <c r="A466" s="10">
        <v>7793</v>
      </c>
      <c r="B466" s="11" t="s">
        <v>1187</v>
      </c>
      <c r="C466" s="10" t="s">
        <v>10</v>
      </c>
      <c r="D466" s="10" t="s">
        <v>210</v>
      </c>
      <c r="E466" s="10">
        <v>110</v>
      </c>
      <c r="F466" s="10" t="s">
        <v>1423</v>
      </c>
      <c r="G466" s="10" t="s">
        <v>1399</v>
      </c>
      <c r="H466" s="10" t="s">
        <v>1399</v>
      </c>
      <c r="I466" s="10" t="s">
        <v>11</v>
      </c>
      <c r="J466" s="26">
        <v>273.35491999999999</v>
      </c>
      <c r="K466" s="37" t="s">
        <v>1537</v>
      </c>
    </row>
    <row r="467" spans="1:11" ht="31">
      <c r="A467" s="10">
        <v>7794</v>
      </c>
      <c r="B467" s="11" t="s">
        <v>1188</v>
      </c>
      <c r="C467" s="10" t="s">
        <v>10</v>
      </c>
      <c r="D467" s="10" t="s">
        <v>784</v>
      </c>
      <c r="E467" s="10">
        <v>300</v>
      </c>
      <c r="F467" s="10" t="s">
        <v>1425</v>
      </c>
      <c r="G467" s="10" t="s">
        <v>1545</v>
      </c>
      <c r="H467" s="10" t="s">
        <v>1424</v>
      </c>
      <c r="I467" s="10" t="s">
        <v>11</v>
      </c>
      <c r="J467" s="26">
        <v>257.81108</v>
      </c>
      <c r="K467" s="21"/>
    </row>
    <row r="468" spans="1:11" ht="31">
      <c r="A468" s="10">
        <v>7795</v>
      </c>
      <c r="B468" s="11" t="s">
        <v>1189</v>
      </c>
      <c r="C468" s="10" t="s">
        <v>10</v>
      </c>
      <c r="D468" s="10" t="s">
        <v>784</v>
      </c>
      <c r="E468" s="10">
        <v>300</v>
      </c>
      <c r="F468" s="10" t="s">
        <v>1425</v>
      </c>
      <c r="G468" s="10" t="s">
        <v>1545</v>
      </c>
      <c r="H468" s="10" t="s">
        <v>1424</v>
      </c>
      <c r="I468" s="10" t="s">
        <v>11</v>
      </c>
      <c r="J468" s="26">
        <v>257.81108</v>
      </c>
      <c r="K468" s="21"/>
    </row>
    <row r="469" spans="1:11" ht="31">
      <c r="A469" s="10">
        <v>7796</v>
      </c>
      <c r="B469" s="11" t="s">
        <v>1190</v>
      </c>
      <c r="C469" s="10" t="s">
        <v>10</v>
      </c>
      <c r="D469" s="10" t="s">
        <v>784</v>
      </c>
      <c r="E469" s="10">
        <v>300</v>
      </c>
      <c r="F469" s="10" t="s">
        <v>1425</v>
      </c>
      <c r="G469" s="10" t="s">
        <v>1545</v>
      </c>
      <c r="H469" s="10" t="s">
        <v>1424</v>
      </c>
      <c r="I469" s="10" t="s">
        <v>11</v>
      </c>
      <c r="J469" s="26">
        <v>309.37329600000004</v>
      </c>
      <c r="K469" s="21"/>
    </row>
    <row r="470" spans="1:11" ht="31">
      <c r="A470" s="10">
        <v>7797</v>
      </c>
      <c r="B470" s="11" t="s">
        <v>1191</v>
      </c>
      <c r="C470" s="10" t="s">
        <v>10</v>
      </c>
      <c r="D470" s="10" t="s">
        <v>784</v>
      </c>
      <c r="E470" s="10">
        <v>300</v>
      </c>
      <c r="F470" s="10" t="s">
        <v>1426</v>
      </c>
      <c r="G470" s="10" t="s">
        <v>1545</v>
      </c>
      <c r="H470" s="10" t="s">
        <v>1424</v>
      </c>
      <c r="I470" s="10" t="s">
        <v>11</v>
      </c>
      <c r="J470" s="26">
        <v>285.18451999999996</v>
      </c>
      <c r="K470" s="21"/>
    </row>
    <row r="471" spans="1:11" ht="31">
      <c r="A471" s="10">
        <v>7798</v>
      </c>
      <c r="B471" s="11" t="s">
        <v>1192</v>
      </c>
      <c r="C471" s="10" t="s">
        <v>10</v>
      </c>
      <c r="D471" s="10" t="s">
        <v>784</v>
      </c>
      <c r="E471" s="10">
        <v>300</v>
      </c>
      <c r="F471" s="10" t="s">
        <v>1426</v>
      </c>
      <c r="G471" s="10" t="s">
        <v>1545</v>
      </c>
      <c r="H471" s="10" t="s">
        <v>1424</v>
      </c>
      <c r="I471" s="10" t="s">
        <v>11</v>
      </c>
      <c r="J471" s="26">
        <v>285.18451999999996</v>
      </c>
      <c r="K471" s="21"/>
    </row>
    <row r="472" spans="1:11" ht="31">
      <c r="A472" s="10">
        <v>7799</v>
      </c>
      <c r="B472" s="11" t="s">
        <v>1193</v>
      </c>
      <c r="C472" s="10" t="s">
        <v>10</v>
      </c>
      <c r="D472" s="10" t="s">
        <v>784</v>
      </c>
      <c r="E472" s="10">
        <v>300</v>
      </c>
      <c r="F472" s="10" t="s">
        <v>1426</v>
      </c>
      <c r="G472" s="10" t="s">
        <v>1545</v>
      </c>
      <c r="H472" s="10" t="s">
        <v>1424</v>
      </c>
      <c r="I472" s="10" t="s">
        <v>11</v>
      </c>
      <c r="J472" s="26">
        <v>342.22142400000001</v>
      </c>
      <c r="K472" s="21"/>
    </row>
    <row r="473" spans="1:11" ht="31">
      <c r="A473" s="10">
        <v>7800</v>
      </c>
      <c r="B473" s="11" t="s">
        <v>1194</v>
      </c>
      <c r="C473" s="10" t="s">
        <v>10</v>
      </c>
      <c r="D473" s="10" t="s">
        <v>1398</v>
      </c>
      <c r="E473" s="10">
        <v>1125</v>
      </c>
      <c r="F473" s="10" t="s">
        <v>1546</v>
      </c>
      <c r="G473" s="10" t="s">
        <v>1427</v>
      </c>
      <c r="H473" s="10" t="s">
        <v>1427</v>
      </c>
      <c r="I473" s="10" t="s">
        <v>11</v>
      </c>
      <c r="J473" s="26">
        <v>326.4323</v>
      </c>
      <c r="K473" s="21"/>
    </row>
    <row r="474" spans="1:11" ht="31">
      <c r="A474" s="10">
        <v>7801</v>
      </c>
      <c r="B474" s="11" t="s">
        <v>1195</v>
      </c>
      <c r="C474" s="10" t="s">
        <v>10</v>
      </c>
      <c r="D474" s="10" t="s">
        <v>1398</v>
      </c>
      <c r="E474" s="10">
        <v>1125</v>
      </c>
      <c r="F474" s="10" t="s">
        <v>1546</v>
      </c>
      <c r="G474" s="10" t="s">
        <v>1427</v>
      </c>
      <c r="H474" s="10" t="s">
        <v>1427</v>
      </c>
      <c r="I474" s="10" t="s">
        <v>11</v>
      </c>
      <c r="J474" s="26">
        <v>326.4323</v>
      </c>
      <c r="K474" s="21"/>
    </row>
    <row r="475" spans="1:11" ht="31">
      <c r="A475" s="10">
        <v>7802</v>
      </c>
      <c r="B475" s="11" t="s">
        <v>1196</v>
      </c>
      <c r="C475" s="10" t="s">
        <v>10</v>
      </c>
      <c r="D475" s="10" t="s">
        <v>1398</v>
      </c>
      <c r="E475" s="10">
        <v>1125</v>
      </c>
      <c r="F475" s="10" t="s">
        <v>1546</v>
      </c>
      <c r="G475" s="10" t="s">
        <v>1427</v>
      </c>
      <c r="H475" s="10" t="s">
        <v>1427</v>
      </c>
      <c r="I475" s="10" t="s">
        <v>11</v>
      </c>
      <c r="J475" s="26">
        <v>391.71876000000003</v>
      </c>
      <c r="K475" s="21"/>
    </row>
    <row r="476" spans="1:11" ht="31">
      <c r="A476" s="10">
        <v>7803</v>
      </c>
      <c r="B476" s="11" t="s">
        <v>1197</v>
      </c>
      <c r="C476" s="10" t="s">
        <v>10</v>
      </c>
      <c r="D476" s="10" t="s">
        <v>1398</v>
      </c>
      <c r="E476" s="10">
        <v>1125</v>
      </c>
      <c r="F476" s="10" t="s">
        <v>1546</v>
      </c>
      <c r="G476" s="10" t="s">
        <v>1427</v>
      </c>
      <c r="H476" s="10" t="s">
        <v>1427</v>
      </c>
      <c r="I476" s="10" t="s">
        <v>11</v>
      </c>
      <c r="J476" s="26">
        <v>331.17580000000004</v>
      </c>
      <c r="K476" s="21"/>
    </row>
    <row r="477" spans="1:11" ht="31">
      <c r="A477" s="10">
        <v>7804</v>
      </c>
      <c r="B477" s="11" t="s">
        <v>1198</v>
      </c>
      <c r="C477" s="10" t="s">
        <v>10</v>
      </c>
      <c r="D477" s="10" t="s">
        <v>1398</v>
      </c>
      <c r="E477" s="10">
        <v>1125</v>
      </c>
      <c r="F477" s="10" t="s">
        <v>1546</v>
      </c>
      <c r="G477" s="10" t="s">
        <v>1427</v>
      </c>
      <c r="H477" s="10" t="s">
        <v>1427</v>
      </c>
      <c r="I477" s="10" t="s">
        <v>11</v>
      </c>
      <c r="J477" s="26">
        <v>331.17580000000004</v>
      </c>
      <c r="K477" s="21"/>
    </row>
    <row r="478" spans="1:11" ht="31">
      <c r="A478" s="10">
        <v>7805</v>
      </c>
      <c r="B478" s="11" t="s">
        <v>1199</v>
      </c>
      <c r="C478" s="10" t="s">
        <v>10</v>
      </c>
      <c r="D478" s="10" t="s">
        <v>1398</v>
      </c>
      <c r="E478" s="10">
        <v>1125</v>
      </c>
      <c r="F478" s="10" t="s">
        <v>1546</v>
      </c>
      <c r="G478" s="10" t="s">
        <v>1427</v>
      </c>
      <c r="H478" s="10" t="s">
        <v>1427</v>
      </c>
      <c r="I478" s="10" t="s">
        <v>11</v>
      </c>
      <c r="J478" s="26">
        <v>397.41095999999999</v>
      </c>
      <c r="K478" s="21"/>
    </row>
    <row r="479" spans="1:11" ht="31">
      <c r="A479" s="10">
        <v>7806</v>
      </c>
      <c r="B479" s="11" t="s">
        <v>1200</v>
      </c>
      <c r="C479" s="10" t="s">
        <v>10</v>
      </c>
      <c r="D479" s="10" t="s">
        <v>1398</v>
      </c>
      <c r="E479" s="10">
        <v>1125</v>
      </c>
      <c r="F479" s="10" t="s">
        <v>1547</v>
      </c>
      <c r="G479" s="10" t="s">
        <v>1427</v>
      </c>
      <c r="H479" s="10" t="s">
        <v>1427</v>
      </c>
      <c r="I479" s="10" t="s">
        <v>11</v>
      </c>
      <c r="J479" s="26">
        <v>494.73274000000004</v>
      </c>
      <c r="K479" s="21"/>
    </row>
    <row r="480" spans="1:11" ht="31">
      <c r="A480" s="10">
        <v>7807</v>
      </c>
      <c r="B480" s="11" t="s">
        <v>1201</v>
      </c>
      <c r="C480" s="10" t="s">
        <v>10</v>
      </c>
      <c r="D480" s="10" t="s">
        <v>1398</v>
      </c>
      <c r="E480" s="10">
        <v>1125</v>
      </c>
      <c r="F480" s="10" t="s">
        <v>1547</v>
      </c>
      <c r="G480" s="10" t="s">
        <v>1427</v>
      </c>
      <c r="H480" s="10" t="s">
        <v>1427</v>
      </c>
      <c r="I480" s="10" t="s">
        <v>11</v>
      </c>
      <c r="J480" s="26">
        <v>494.73274000000004</v>
      </c>
      <c r="K480" s="21"/>
    </row>
    <row r="481" spans="1:11" ht="31">
      <c r="A481" s="10">
        <v>7808</v>
      </c>
      <c r="B481" s="11" t="s">
        <v>1202</v>
      </c>
      <c r="C481" s="10" t="s">
        <v>10</v>
      </c>
      <c r="D481" s="10" t="s">
        <v>1398</v>
      </c>
      <c r="E481" s="10">
        <v>1125</v>
      </c>
      <c r="F481" s="10" t="s">
        <v>1547</v>
      </c>
      <c r="G481" s="10" t="s">
        <v>1427</v>
      </c>
      <c r="H481" s="10" t="s">
        <v>1427</v>
      </c>
      <c r="I481" s="10" t="s">
        <v>11</v>
      </c>
      <c r="J481" s="26">
        <v>593.67928800000004</v>
      </c>
      <c r="K481" s="21"/>
    </row>
    <row r="482" spans="1:11" ht="31">
      <c r="A482" s="10">
        <v>7809</v>
      </c>
      <c r="B482" s="11" t="s">
        <v>1174</v>
      </c>
      <c r="C482" s="10" t="s">
        <v>10</v>
      </c>
      <c r="D482" s="10" t="s">
        <v>768</v>
      </c>
      <c r="E482" s="10">
        <v>375</v>
      </c>
      <c r="F482" s="10" t="s">
        <v>1419</v>
      </c>
      <c r="G482" s="10" t="s">
        <v>280</v>
      </c>
      <c r="H482" s="10" t="s">
        <v>1420</v>
      </c>
      <c r="I482" s="10" t="s">
        <v>11</v>
      </c>
      <c r="J482" s="26">
        <v>93.492000000000004</v>
      </c>
      <c r="K482" s="21"/>
    </row>
    <row r="483" spans="1:11" ht="31">
      <c r="A483" s="10">
        <v>7810</v>
      </c>
      <c r="B483" s="11" t="s">
        <v>1175</v>
      </c>
      <c r="C483" s="10" t="s">
        <v>10</v>
      </c>
      <c r="D483" s="10" t="s">
        <v>768</v>
      </c>
      <c r="E483" s="10">
        <v>375</v>
      </c>
      <c r="F483" s="10" t="s">
        <v>1419</v>
      </c>
      <c r="G483" s="10" t="s">
        <v>280</v>
      </c>
      <c r="H483" s="10" t="s">
        <v>1420</v>
      </c>
      <c r="I483" s="10" t="s">
        <v>11</v>
      </c>
      <c r="J483" s="26">
        <v>93.492000000000004</v>
      </c>
      <c r="K483" s="21"/>
    </row>
    <row r="484" spans="1:11" ht="31">
      <c r="A484" s="10">
        <v>7811</v>
      </c>
      <c r="B484" s="11" t="s">
        <v>1176</v>
      </c>
      <c r="C484" s="10" t="s">
        <v>10</v>
      </c>
      <c r="D484" s="10" t="s">
        <v>768</v>
      </c>
      <c r="E484" s="10">
        <v>375</v>
      </c>
      <c r="F484" s="10" t="s">
        <v>1419</v>
      </c>
      <c r="G484" s="10" t="s">
        <v>280</v>
      </c>
      <c r="H484" s="10" t="s">
        <v>1420</v>
      </c>
      <c r="I484" s="10" t="s">
        <v>11</v>
      </c>
      <c r="J484" s="26">
        <v>112.19040000000001</v>
      </c>
      <c r="K484" s="21"/>
    </row>
    <row r="485" spans="1:11" ht="31">
      <c r="A485" s="10">
        <v>7812</v>
      </c>
      <c r="B485" s="11" t="s">
        <v>1177</v>
      </c>
      <c r="C485" s="10" t="s">
        <v>10</v>
      </c>
      <c r="D485" s="10" t="s">
        <v>768</v>
      </c>
      <c r="E485" s="10">
        <v>375</v>
      </c>
      <c r="F485" s="10" t="s">
        <v>1419</v>
      </c>
      <c r="G485" s="10" t="s">
        <v>280</v>
      </c>
      <c r="H485" s="10" t="s">
        <v>1420</v>
      </c>
      <c r="I485" s="10" t="s">
        <v>11</v>
      </c>
      <c r="J485" s="26">
        <v>93.492000000000004</v>
      </c>
      <c r="K485" s="21"/>
    </row>
    <row r="486" spans="1:11" ht="21">
      <c r="A486" s="10">
        <v>7813</v>
      </c>
      <c r="B486" s="11" t="s">
        <v>1538</v>
      </c>
      <c r="C486" s="10" t="s">
        <v>10</v>
      </c>
      <c r="D486" s="10" t="s">
        <v>210</v>
      </c>
      <c r="E486" s="10">
        <v>110</v>
      </c>
      <c r="F486" s="10" t="s">
        <v>1421</v>
      </c>
      <c r="G486" s="10" t="s">
        <v>208</v>
      </c>
      <c r="H486" s="10" t="s">
        <v>208</v>
      </c>
      <c r="I486" s="10" t="s">
        <v>11</v>
      </c>
      <c r="J486" s="26">
        <v>127.79360000000001</v>
      </c>
      <c r="K486" s="37" t="s">
        <v>1537</v>
      </c>
    </row>
    <row r="487" spans="1:11" ht="21">
      <c r="A487" s="10">
        <v>7814</v>
      </c>
      <c r="B487" s="11" t="s">
        <v>1539</v>
      </c>
      <c r="C487" s="10" t="s">
        <v>10</v>
      </c>
      <c r="D487" s="10" t="s">
        <v>210</v>
      </c>
      <c r="E487" s="10">
        <v>110</v>
      </c>
      <c r="F487" s="10" t="s">
        <v>1421</v>
      </c>
      <c r="G487" s="10" t="s">
        <v>208</v>
      </c>
      <c r="H487" s="10" t="s">
        <v>208</v>
      </c>
      <c r="I487" s="10" t="s">
        <v>11</v>
      </c>
      <c r="J487" s="26">
        <v>127.79360000000001</v>
      </c>
      <c r="K487" s="37" t="s">
        <v>1537</v>
      </c>
    </row>
    <row r="488" spans="1:11" ht="21">
      <c r="A488" s="10">
        <v>7815</v>
      </c>
      <c r="B488" s="11" t="s">
        <v>1540</v>
      </c>
      <c r="C488" s="10" t="s">
        <v>10</v>
      </c>
      <c r="D488" s="10" t="s">
        <v>210</v>
      </c>
      <c r="E488" s="10">
        <v>110</v>
      </c>
      <c r="F488" s="10" t="s">
        <v>1421</v>
      </c>
      <c r="G488" s="10" t="s">
        <v>208</v>
      </c>
      <c r="H488" s="10" t="s">
        <v>208</v>
      </c>
      <c r="I488" s="10" t="s">
        <v>11</v>
      </c>
      <c r="J488" s="26">
        <v>153.35231999999999</v>
      </c>
      <c r="K488" s="37" t="s">
        <v>1537</v>
      </c>
    </row>
    <row r="489" spans="1:11" ht="21">
      <c r="A489" s="10">
        <v>7816</v>
      </c>
      <c r="B489" s="11" t="s">
        <v>1541</v>
      </c>
      <c r="C489" s="10" t="s">
        <v>10</v>
      </c>
      <c r="D489" s="10" t="s">
        <v>210</v>
      </c>
      <c r="E489" s="10">
        <v>110</v>
      </c>
      <c r="F489" s="10" t="s">
        <v>1421</v>
      </c>
      <c r="G489" s="10" t="s">
        <v>208</v>
      </c>
      <c r="H489" s="10" t="s">
        <v>208</v>
      </c>
      <c r="I489" s="10" t="s">
        <v>11</v>
      </c>
      <c r="J489" s="26">
        <v>127.79360000000001</v>
      </c>
      <c r="K489" s="37" t="s">
        <v>1537</v>
      </c>
    </row>
    <row r="490" spans="1:11" ht="21">
      <c r="A490" s="10">
        <v>7817</v>
      </c>
      <c r="B490" s="11" t="s">
        <v>1542</v>
      </c>
      <c r="C490" s="10" t="s">
        <v>10</v>
      </c>
      <c r="D490" s="10" t="s">
        <v>210</v>
      </c>
      <c r="E490" s="10">
        <v>110</v>
      </c>
      <c r="F490" s="10" t="s">
        <v>1421</v>
      </c>
      <c r="G490" s="10" t="s">
        <v>208</v>
      </c>
      <c r="H490" s="10" t="s">
        <v>208</v>
      </c>
      <c r="I490" s="10" t="s">
        <v>11</v>
      </c>
      <c r="J490" s="26">
        <v>127.79360000000001</v>
      </c>
      <c r="K490" s="37" t="s">
        <v>1537</v>
      </c>
    </row>
    <row r="491" spans="1:11" ht="21">
      <c r="A491" s="10">
        <v>7818</v>
      </c>
      <c r="B491" s="11" t="s">
        <v>1543</v>
      </c>
      <c r="C491" s="10" t="s">
        <v>10</v>
      </c>
      <c r="D491" s="10" t="s">
        <v>210</v>
      </c>
      <c r="E491" s="10">
        <v>110</v>
      </c>
      <c r="F491" s="10" t="s">
        <v>1421</v>
      </c>
      <c r="G491" s="10" t="s">
        <v>208</v>
      </c>
      <c r="H491" s="10" t="s">
        <v>208</v>
      </c>
      <c r="I491" s="10" t="s">
        <v>11</v>
      </c>
      <c r="J491" s="26">
        <v>127.79360000000001</v>
      </c>
      <c r="K491" s="37" t="s">
        <v>1537</v>
      </c>
    </row>
    <row r="492" spans="1:11" ht="21">
      <c r="A492" s="10">
        <v>7819</v>
      </c>
      <c r="B492" s="11" t="s">
        <v>1544</v>
      </c>
      <c r="C492" s="10" t="s">
        <v>10</v>
      </c>
      <c r="D492" s="10" t="s">
        <v>210</v>
      </c>
      <c r="E492" s="10">
        <v>110</v>
      </c>
      <c r="F492" s="10" t="s">
        <v>1421</v>
      </c>
      <c r="G492" s="10" t="s">
        <v>208</v>
      </c>
      <c r="H492" s="10" t="s">
        <v>208</v>
      </c>
      <c r="I492" s="10" t="s">
        <v>11</v>
      </c>
      <c r="J492" s="26">
        <v>127.79360000000001</v>
      </c>
      <c r="K492" s="37" t="s">
        <v>1537</v>
      </c>
    </row>
    <row r="493" spans="1:11" ht="21">
      <c r="A493" s="10">
        <v>7820</v>
      </c>
      <c r="B493" s="11" t="s">
        <v>1178</v>
      </c>
      <c r="C493" s="10" t="s">
        <v>10</v>
      </c>
      <c r="D493" s="10" t="s">
        <v>768</v>
      </c>
      <c r="E493" s="10">
        <v>375</v>
      </c>
      <c r="F493" s="10" t="s">
        <v>1422</v>
      </c>
      <c r="G493" s="10" t="s">
        <v>280</v>
      </c>
      <c r="H493" s="10" t="s">
        <v>280</v>
      </c>
      <c r="I493" s="10" t="s">
        <v>11</v>
      </c>
      <c r="J493" s="26">
        <v>95.677720000000008</v>
      </c>
      <c r="K493" s="37"/>
    </row>
    <row r="494" spans="1:11" ht="21">
      <c r="A494" s="10">
        <v>7821</v>
      </c>
      <c r="B494" s="11" t="s">
        <v>1179</v>
      </c>
      <c r="C494" s="10" t="s">
        <v>10</v>
      </c>
      <c r="D494" s="10" t="s">
        <v>768</v>
      </c>
      <c r="E494" s="10">
        <v>375</v>
      </c>
      <c r="F494" s="10" t="s">
        <v>1422</v>
      </c>
      <c r="G494" s="10" t="s">
        <v>280</v>
      </c>
      <c r="H494" s="10" t="s">
        <v>280</v>
      </c>
      <c r="I494" s="10" t="s">
        <v>11</v>
      </c>
      <c r="J494" s="26">
        <v>95.677720000000008</v>
      </c>
      <c r="K494" s="37"/>
    </row>
    <row r="495" spans="1:11" ht="21">
      <c r="A495" s="10">
        <v>7822</v>
      </c>
      <c r="B495" s="11" t="s">
        <v>1180</v>
      </c>
      <c r="C495" s="10" t="s">
        <v>10</v>
      </c>
      <c r="D495" s="10" t="s">
        <v>768</v>
      </c>
      <c r="E495" s="10">
        <v>375</v>
      </c>
      <c r="F495" s="10" t="s">
        <v>1422</v>
      </c>
      <c r="G495" s="10" t="s">
        <v>280</v>
      </c>
      <c r="H495" s="10" t="s">
        <v>280</v>
      </c>
      <c r="I495" s="10" t="s">
        <v>11</v>
      </c>
      <c r="J495" s="26">
        <v>114.81326400000002</v>
      </c>
      <c r="K495" s="37"/>
    </row>
    <row r="496" spans="1:11" ht="21">
      <c r="A496" s="10">
        <v>7823</v>
      </c>
      <c r="B496" s="11" t="s">
        <v>1181</v>
      </c>
      <c r="C496" s="10" t="s">
        <v>10</v>
      </c>
      <c r="D496" s="10" t="s">
        <v>768</v>
      </c>
      <c r="E496" s="10">
        <v>375</v>
      </c>
      <c r="F496" s="10" t="s">
        <v>1422</v>
      </c>
      <c r="G496" s="10" t="s">
        <v>280</v>
      </c>
      <c r="H496" s="10" t="s">
        <v>280</v>
      </c>
      <c r="I496" s="10" t="s">
        <v>11</v>
      </c>
      <c r="J496" s="26">
        <v>95.677720000000008</v>
      </c>
      <c r="K496" s="37"/>
    </row>
    <row r="497" spans="1:11" ht="31">
      <c r="A497" s="10">
        <v>7824</v>
      </c>
      <c r="B497" s="11" t="s">
        <v>1302</v>
      </c>
      <c r="C497" s="10" t="s">
        <v>10</v>
      </c>
      <c r="D497" s="10" t="s">
        <v>780</v>
      </c>
      <c r="E497" s="10">
        <v>150</v>
      </c>
      <c r="F497" s="10" t="s">
        <v>1005</v>
      </c>
      <c r="G497" s="10" t="s">
        <v>1462</v>
      </c>
      <c r="H497" s="10" t="s">
        <v>1555</v>
      </c>
      <c r="I497" s="10" t="s">
        <v>11</v>
      </c>
      <c r="J497" s="26">
        <v>94.65270000000001</v>
      </c>
      <c r="K497" s="21"/>
    </row>
    <row r="498" spans="1:11" ht="31">
      <c r="A498" s="10">
        <v>7825</v>
      </c>
      <c r="B498" s="11" t="s">
        <v>1303</v>
      </c>
      <c r="C498" s="10" t="s">
        <v>10</v>
      </c>
      <c r="D498" s="10" t="s">
        <v>780</v>
      </c>
      <c r="E498" s="10">
        <v>150</v>
      </c>
      <c r="F498" s="10" t="s">
        <v>1005</v>
      </c>
      <c r="G498" s="10" t="s">
        <v>1462</v>
      </c>
      <c r="H498" s="10" t="s">
        <v>1555</v>
      </c>
      <c r="I498" s="10" t="s">
        <v>11</v>
      </c>
      <c r="J498" s="26">
        <v>94.65270000000001</v>
      </c>
      <c r="K498" s="21"/>
    </row>
    <row r="499" spans="1:11" ht="31">
      <c r="A499" s="10">
        <v>7827</v>
      </c>
      <c r="B499" s="11" t="s">
        <v>1278</v>
      </c>
      <c r="C499" s="10" t="s">
        <v>102</v>
      </c>
      <c r="D499" s="12" t="s">
        <v>11</v>
      </c>
      <c r="E499" s="12" t="s">
        <v>11</v>
      </c>
      <c r="F499" s="10" t="s">
        <v>1414</v>
      </c>
      <c r="G499" s="10" t="s">
        <v>1551</v>
      </c>
      <c r="H499" s="10" t="s">
        <v>1550</v>
      </c>
      <c r="I499" s="10" t="s">
        <v>11</v>
      </c>
      <c r="J499" s="26">
        <v>163.23576000000003</v>
      </c>
      <c r="K499" s="21"/>
    </row>
    <row r="500" spans="1:11" ht="31">
      <c r="A500" s="10">
        <v>7828</v>
      </c>
      <c r="B500" s="11" t="s">
        <v>1279</v>
      </c>
      <c r="C500" s="10" t="s">
        <v>102</v>
      </c>
      <c r="D500" s="12" t="s">
        <v>11</v>
      </c>
      <c r="E500" s="12" t="s">
        <v>11</v>
      </c>
      <c r="F500" s="10" t="s">
        <v>1414</v>
      </c>
      <c r="G500" s="10" t="s">
        <v>1551</v>
      </c>
      <c r="H500" s="10" t="s">
        <v>1550</v>
      </c>
      <c r="I500" s="10" t="s">
        <v>11</v>
      </c>
      <c r="J500" s="26">
        <v>163.23576000000003</v>
      </c>
      <c r="K500" s="21"/>
    </row>
    <row r="501" spans="1:11" ht="31">
      <c r="A501" s="10">
        <v>7829</v>
      </c>
      <c r="B501" s="11" t="s">
        <v>1280</v>
      </c>
      <c r="C501" s="10" t="s">
        <v>102</v>
      </c>
      <c r="D501" s="12" t="s">
        <v>11</v>
      </c>
      <c r="E501" s="12" t="s">
        <v>11</v>
      </c>
      <c r="F501" s="10" t="s">
        <v>1414</v>
      </c>
      <c r="G501" s="10" t="s">
        <v>1551</v>
      </c>
      <c r="H501" s="10" t="s">
        <v>1550</v>
      </c>
      <c r="I501" s="10" t="s">
        <v>11</v>
      </c>
      <c r="J501" s="26">
        <v>195.88291200000003</v>
      </c>
      <c r="K501" s="21"/>
    </row>
    <row r="502" spans="1:11" ht="31">
      <c r="A502" s="10">
        <v>7830</v>
      </c>
      <c r="B502" s="11" t="s">
        <v>1281</v>
      </c>
      <c r="C502" s="10" t="s">
        <v>102</v>
      </c>
      <c r="D502" s="12" t="s">
        <v>11</v>
      </c>
      <c r="E502" s="12" t="s">
        <v>11</v>
      </c>
      <c r="F502" s="10" t="s">
        <v>1414</v>
      </c>
      <c r="G502" s="10" t="s">
        <v>1551</v>
      </c>
      <c r="H502" s="10" t="s">
        <v>1550</v>
      </c>
      <c r="I502" s="10" t="s">
        <v>11</v>
      </c>
      <c r="J502" s="26">
        <v>178.80398</v>
      </c>
      <c r="K502" s="21"/>
    </row>
    <row r="503" spans="1:11" ht="31">
      <c r="A503" s="10">
        <v>7831</v>
      </c>
      <c r="B503" s="11" t="s">
        <v>1282</v>
      </c>
      <c r="C503" s="10" t="s">
        <v>102</v>
      </c>
      <c r="D503" s="12" t="s">
        <v>11</v>
      </c>
      <c r="E503" s="12" t="s">
        <v>11</v>
      </c>
      <c r="F503" s="10" t="s">
        <v>1414</v>
      </c>
      <c r="G503" s="10" t="s">
        <v>1551</v>
      </c>
      <c r="H503" s="10" t="s">
        <v>1550</v>
      </c>
      <c r="I503" s="10" t="s">
        <v>11</v>
      </c>
      <c r="J503" s="26">
        <v>178.80398</v>
      </c>
      <c r="K503" s="21"/>
    </row>
    <row r="504" spans="1:11" ht="31">
      <c r="A504" s="10">
        <v>7832</v>
      </c>
      <c r="B504" s="11" t="s">
        <v>1283</v>
      </c>
      <c r="C504" s="10" t="s">
        <v>102</v>
      </c>
      <c r="D504" s="12" t="s">
        <v>11</v>
      </c>
      <c r="E504" s="12" t="s">
        <v>11</v>
      </c>
      <c r="F504" s="10" t="s">
        <v>1414</v>
      </c>
      <c r="G504" s="10" t="s">
        <v>1551</v>
      </c>
      <c r="H504" s="10" t="s">
        <v>1550</v>
      </c>
      <c r="I504" s="10" t="s">
        <v>11</v>
      </c>
      <c r="J504" s="26">
        <v>214.56477600000002</v>
      </c>
      <c r="K504" s="21"/>
    </row>
    <row r="505" spans="1:11" ht="31">
      <c r="A505" s="10">
        <v>7833</v>
      </c>
      <c r="B505" s="11" t="s">
        <v>1296</v>
      </c>
      <c r="C505" s="10" t="s">
        <v>102</v>
      </c>
      <c r="D505" s="12" t="s">
        <v>11</v>
      </c>
      <c r="E505" s="12" t="s">
        <v>11</v>
      </c>
      <c r="F505" s="10" t="s">
        <v>1464</v>
      </c>
      <c r="G505" s="10" t="s">
        <v>1460</v>
      </c>
      <c r="H505" s="10" t="s">
        <v>1465</v>
      </c>
      <c r="I505" s="10" t="s">
        <v>11</v>
      </c>
      <c r="J505" s="26">
        <v>180.50103999999999</v>
      </c>
      <c r="K505" s="21"/>
    </row>
    <row r="506" spans="1:11" ht="31">
      <c r="A506" s="10">
        <v>7834</v>
      </c>
      <c r="B506" s="11" t="s">
        <v>1297</v>
      </c>
      <c r="C506" s="10" t="s">
        <v>102</v>
      </c>
      <c r="D506" s="12" t="s">
        <v>11</v>
      </c>
      <c r="E506" s="12" t="s">
        <v>11</v>
      </c>
      <c r="F506" s="10" t="s">
        <v>1464</v>
      </c>
      <c r="G506" s="10" t="s">
        <v>1460</v>
      </c>
      <c r="H506" s="10" t="s">
        <v>1465</v>
      </c>
      <c r="I506" s="10" t="s">
        <v>11</v>
      </c>
      <c r="J506" s="26">
        <v>180.50103999999999</v>
      </c>
      <c r="K506" s="21"/>
    </row>
    <row r="507" spans="1:11" ht="31">
      <c r="A507" s="10">
        <v>7835</v>
      </c>
      <c r="B507" s="11" t="s">
        <v>1298</v>
      </c>
      <c r="C507" s="10" t="s">
        <v>102</v>
      </c>
      <c r="D507" s="12" t="s">
        <v>11</v>
      </c>
      <c r="E507" s="12" t="s">
        <v>11</v>
      </c>
      <c r="F507" s="10" t="s">
        <v>1464</v>
      </c>
      <c r="G507" s="10" t="s">
        <v>1460</v>
      </c>
      <c r="H507" s="10" t="s">
        <v>1465</v>
      </c>
      <c r="I507" s="10" t="s">
        <v>11</v>
      </c>
      <c r="J507" s="26">
        <v>216.60124800000003</v>
      </c>
      <c r="K507" s="21"/>
    </row>
    <row r="508" spans="1:11" ht="31">
      <c r="A508" s="10">
        <v>7836</v>
      </c>
      <c r="B508" s="11" t="s">
        <v>1299</v>
      </c>
      <c r="C508" s="10" t="s">
        <v>102</v>
      </c>
      <c r="D508" s="12" t="s">
        <v>11</v>
      </c>
      <c r="E508" s="12" t="s">
        <v>11</v>
      </c>
      <c r="F508" s="10" t="s">
        <v>1464</v>
      </c>
      <c r="G508" s="10" t="s">
        <v>1460</v>
      </c>
      <c r="H508" s="10" t="s">
        <v>1465</v>
      </c>
      <c r="I508" s="10" t="s">
        <v>11</v>
      </c>
      <c r="J508" s="26">
        <v>172.82346000000001</v>
      </c>
      <c r="K508" s="21"/>
    </row>
    <row r="509" spans="1:11" ht="31">
      <c r="A509" s="10">
        <v>7839</v>
      </c>
      <c r="B509" s="11" t="s">
        <v>1253</v>
      </c>
      <c r="C509" s="10" t="s">
        <v>10</v>
      </c>
      <c r="D509" s="10" t="s">
        <v>134</v>
      </c>
      <c r="E509" s="10">
        <v>225</v>
      </c>
      <c r="F509" s="10" t="s">
        <v>1453</v>
      </c>
      <c r="G509" s="10" t="s">
        <v>1451</v>
      </c>
      <c r="H509" s="10" t="s">
        <v>1452</v>
      </c>
      <c r="I509" s="10" t="s">
        <v>11</v>
      </c>
      <c r="J509" s="26">
        <v>159.20034000000001</v>
      </c>
      <c r="K509" s="21"/>
    </row>
    <row r="510" spans="1:11" ht="31">
      <c r="A510" s="10">
        <v>7840</v>
      </c>
      <c r="B510" s="11" t="s">
        <v>1254</v>
      </c>
      <c r="C510" s="10" t="s">
        <v>10</v>
      </c>
      <c r="D510" s="10" t="s">
        <v>134</v>
      </c>
      <c r="E510" s="10">
        <v>225</v>
      </c>
      <c r="F510" s="10" t="s">
        <v>1453</v>
      </c>
      <c r="G510" s="10" t="s">
        <v>1451</v>
      </c>
      <c r="H510" s="10" t="s">
        <v>1452</v>
      </c>
      <c r="I510" s="10" t="s">
        <v>11</v>
      </c>
      <c r="J510" s="26">
        <v>159.20034000000001</v>
      </c>
      <c r="K510" s="21"/>
    </row>
    <row r="511" spans="1:11" ht="31">
      <c r="A511" s="10">
        <v>7841</v>
      </c>
      <c r="B511" s="11" t="s">
        <v>1255</v>
      </c>
      <c r="C511" s="10" t="s">
        <v>10</v>
      </c>
      <c r="D511" s="10" t="s">
        <v>134</v>
      </c>
      <c r="E511" s="10">
        <v>225</v>
      </c>
      <c r="F511" s="10" t="s">
        <v>1453</v>
      </c>
      <c r="G511" s="10" t="s">
        <v>1451</v>
      </c>
      <c r="H511" s="10" t="s">
        <v>1452</v>
      </c>
      <c r="I511" s="10" t="s">
        <v>11</v>
      </c>
      <c r="J511" s="26">
        <v>191.04040800000001</v>
      </c>
      <c r="K511" s="21"/>
    </row>
    <row r="512" spans="1:11" ht="31">
      <c r="A512" s="10">
        <v>7842</v>
      </c>
      <c r="B512" s="11" t="s">
        <v>1256</v>
      </c>
      <c r="C512" s="10" t="s">
        <v>10</v>
      </c>
      <c r="D512" s="10" t="s">
        <v>768</v>
      </c>
      <c r="E512" s="10">
        <v>375</v>
      </c>
      <c r="F512" s="10" t="s">
        <v>1453</v>
      </c>
      <c r="G512" s="10" t="s">
        <v>1454</v>
      </c>
      <c r="H512" s="10" t="s">
        <v>1452</v>
      </c>
      <c r="I512" s="10" t="s">
        <v>11</v>
      </c>
      <c r="J512" s="26">
        <v>170.51584000000003</v>
      </c>
      <c r="K512" s="21"/>
    </row>
    <row r="513" spans="1:11" ht="31">
      <c r="A513" s="10">
        <v>7843</v>
      </c>
      <c r="B513" s="11" t="s">
        <v>1257</v>
      </c>
      <c r="C513" s="10" t="s">
        <v>10</v>
      </c>
      <c r="D513" s="10" t="s">
        <v>768</v>
      </c>
      <c r="E513" s="10">
        <v>375</v>
      </c>
      <c r="F513" s="10" t="s">
        <v>1453</v>
      </c>
      <c r="G513" s="10" t="s">
        <v>1454</v>
      </c>
      <c r="H513" s="10" t="s">
        <v>1452</v>
      </c>
      <c r="I513" s="10" t="s">
        <v>11</v>
      </c>
      <c r="J513" s="26">
        <v>170.51584000000003</v>
      </c>
      <c r="K513" s="21"/>
    </row>
    <row r="514" spans="1:11" ht="31">
      <c r="A514" s="10">
        <v>7844</v>
      </c>
      <c r="B514" s="11" t="s">
        <v>1258</v>
      </c>
      <c r="C514" s="10" t="s">
        <v>10</v>
      </c>
      <c r="D514" s="10" t="s">
        <v>768</v>
      </c>
      <c r="E514" s="10">
        <v>375</v>
      </c>
      <c r="F514" s="10" t="s">
        <v>1453</v>
      </c>
      <c r="G514" s="10" t="s">
        <v>1454</v>
      </c>
      <c r="H514" s="10" t="s">
        <v>1452</v>
      </c>
      <c r="I514" s="10" t="s">
        <v>11</v>
      </c>
      <c r="J514" s="26">
        <v>204.61900800000001</v>
      </c>
      <c r="K514" s="21"/>
    </row>
    <row r="515" spans="1:11" ht="31">
      <c r="A515" s="10">
        <v>7845</v>
      </c>
      <c r="B515" s="11" t="s">
        <v>1215</v>
      </c>
      <c r="C515" s="10" t="s">
        <v>10</v>
      </c>
      <c r="D515" s="12" t="s">
        <v>768</v>
      </c>
      <c r="E515" s="10">
        <v>375</v>
      </c>
      <c r="F515" s="10" t="s">
        <v>1438</v>
      </c>
      <c r="G515" s="10" t="s">
        <v>1439</v>
      </c>
      <c r="H515" s="10" t="s">
        <v>1439</v>
      </c>
      <c r="I515" s="10" t="s">
        <v>11</v>
      </c>
      <c r="J515" s="26">
        <v>84.129020000000011</v>
      </c>
      <c r="K515" s="21"/>
    </row>
    <row r="516" spans="1:11" ht="31">
      <c r="A516" s="10">
        <v>7846</v>
      </c>
      <c r="B516" s="11" t="s">
        <v>1216</v>
      </c>
      <c r="C516" s="10" t="s">
        <v>10</v>
      </c>
      <c r="D516" s="12" t="s">
        <v>768</v>
      </c>
      <c r="E516" s="10">
        <v>375</v>
      </c>
      <c r="F516" s="10" t="s">
        <v>1438</v>
      </c>
      <c r="G516" s="10" t="s">
        <v>1439</v>
      </c>
      <c r="H516" s="10" t="s">
        <v>1439</v>
      </c>
      <c r="I516" s="10" t="s">
        <v>11</v>
      </c>
      <c r="J516" s="26">
        <v>84.129020000000011</v>
      </c>
      <c r="K516" s="21"/>
    </row>
    <row r="517" spans="1:11" ht="31">
      <c r="A517" s="10">
        <v>7847</v>
      </c>
      <c r="B517" s="11" t="s">
        <v>1217</v>
      </c>
      <c r="C517" s="10" t="s">
        <v>10</v>
      </c>
      <c r="D517" s="12" t="s">
        <v>768</v>
      </c>
      <c r="E517" s="10">
        <v>375</v>
      </c>
      <c r="F517" s="10" t="s">
        <v>1438</v>
      </c>
      <c r="G517" s="10" t="s">
        <v>1439</v>
      </c>
      <c r="H517" s="10" t="s">
        <v>1439</v>
      </c>
      <c r="I517" s="10" t="s">
        <v>11</v>
      </c>
      <c r="J517" s="26">
        <v>100.95482400000002</v>
      </c>
      <c r="K517" s="21"/>
    </row>
    <row r="518" spans="1:11" ht="44">
      <c r="A518" s="10">
        <v>7849</v>
      </c>
      <c r="B518" s="11" t="s">
        <v>1320</v>
      </c>
      <c r="C518" s="10" t="s">
        <v>10</v>
      </c>
      <c r="D518" s="12" t="s">
        <v>1473</v>
      </c>
      <c r="E518" s="10">
        <v>1200</v>
      </c>
      <c r="F518" s="10" t="s">
        <v>1474</v>
      </c>
      <c r="G518" s="10" t="s">
        <v>1475</v>
      </c>
      <c r="H518" s="10" t="s">
        <v>1475</v>
      </c>
      <c r="I518" s="10" t="s">
        <v>91</v>
      </c>
      <c r="J518" s="26">
        <v>370.13504000000006</v>
      </c>
      <c r="K518" s="21"/>
    </row>
    <row r="519" spans="1:11" ht="44">
      <c r="A519" s="10">
        <v>7850</v>
      </c>
      <c r="B519" s="11" t="s">
        <v>1321</v>
      </c>
      <c r="C519" s="10" t="s">
        <v>10</v>
      </c>
      <c r="D519" s="12" t="s">
        <v>1473</v>
      </c>
      <c r="E519" s="10">
        <v>1200</v>
      </c>
      <c r="F519" s="10" t="s">
        <v>1474</v>
      </c>
      <c r="G519" s="10" t="s">
        <v>1475</v>
      </c>
      <c r="H519" s="10" t="s">
        <v>1475</v>
      </c>
      <c r="I519" s="10" t="s">
        <v>91</v>
      </c>
      <c r="J519" s="26">
        <v>444.16120000000001</v>
      </c>
      <c r="K519" s="21"/>
    </row>
    <row r="520" spans="1:11" ht="44">
      <c r="A520" s="10">
        <v>7852</v>
      </c>
      <c r="B520" s="11" t="s">
        <v>1322</v>
      </c>
      <c r="C520" s="10" t="s">
        <v>10</v>
      </c>
      <c r="D520" s="12" t="s">
        <v>1477</v>
      </c>
      <c r="E520" s="12">
        <v>1800</v>
      </c>
      <c r="F520" s="10" t="s">
        <v>1474</v>
      </c>
      <c r="G520" s="10" t="s">
        <v>1476</v>
      </c>
      <c r="H520" s="10" t="s">
        <v>1476</v>
      </c>
      <c r="I520" s="10" t="s">
        <v>91</v>
      </c>
      <c r="J520" s="26">
        <v>544.74883999999997</v>
      </c>
      <c r="K520" s="21"/>
    </row>
    <row r="521" spans="1:11" ht="44">
      <c r="A521" s="10">
        <v>7853</v>
      </c>
      <c r="B521" s="11" t="s">
        <v>1323</v>
      </c>
      <c r="C521" s="10" t="s">
        <v>10</v>
      </c>
      <c r="D521" s="12" t="s">
        <v>1477</v>
      </c>
      <c r="E521" s="12">
        <v>1800</v>
      </c>
      <c r="F521" s="10" t="s">
        <v>1474</v>
      </c>
      <c r="G521" s="10" t="s">
        <v>1476</v>
      </c>
      <c r="H521" s="10" t="s">
        <v>1476</v>
      </c>
      <c r="I521" s="10" t="s">
        <v>91</v>
      </c>
      <c r="J521" s="26">
        <v>653.70200000000011</v>
      </c>
      <c r="K521" s="21"/>
    </row>
    <row r="522" spans="1:11" ht="44">
      <c r="A522" s="10">
        <v>7854</v>
      </c>
      <c r="B522" s="11" t="s">
        <v>1324</v>
      </c>
      <c r="C522" s="10" t="s">
        <v>10</v>
      </c>
      <c r="D522" s="12" t="s">
        <v>1478</v>
      </c>
      <c r="E522" s="12">
        <v>1800</v>
      </c>
      <c r="F522" s="10" t="s">
        <v>1481</v>
      </c>
      <c r="G522" s="10" t="s">
        <v>1475</v>
      </c>
      <c r="H522" s="10" t="s">
        <v>1475</v>
      </c>
      <c r="I522" s="10" t="s">
        <v>11</v>
      </c>
      <c r="J522" s="26">
        <v>317.83888000000002</v>
      </c>
      <c r="K522" s="21"/>
    </row>
    <row r="523" spans="1:11" ht="44">
      <c r="A523" s="10">
        <v>7855</v>
      </c>
      <c r="B523" s="11" t="s">
        <v>1325</v>
      </c>
      <c r="C523" s="10" t="s">
        <v>10</v>
      </c>
      <c r="D523" s="12" t="s">
        <v>1478</v>
      </c>
      <c r="E523" s="12">
        <v>1800</v>
      </c>
      <c r="F523" s="10" t="s">
        <v>1481</v>
      </c>
      <c r="G523" s="10" t="s">
        <v>1475</v>
      </c>
      <c r="H523" s="10" t="s">
        <v>1475</v>
      </c>
      <c r="I523" s="10" t="s">
        <v>11</v>
      </c>
      <c r="J523" s="26">
        <v>317.83888000000002</v>
      </c>
      <c r="K523" s="21"/>
    </row>
    <row r="524" spans="1:11" ht="44">
      <c r="A524" s="10">
        <v>7856</v>
      </c>
      <c r="B524" s="11" t="s">
        <v>1326</v>
      </c>
      <c r="C524" s="10" t="s">
        <v>10</v>
      </c>
      <c r="D524" s="12" t="s">
        <v>1478</v>
      </c>
      <c r="E524" s="12">
        <v>1800</v>
      </c>
      <c r="F524" s="10" t="s">
        <v>1481</v>
      </c>
      <c r="G524" s="10" t="s">
        <v>1475</v>
      </c>
      <c r="H524" s="10" t="s">
        <v>1475</v>
      </c>
      <c r="I524" s="10" t="s">
        <v>11</v>
      </c>
      <c r="J524" s="26">
        <v>381.40602000000001</v>
      </c>
      <c r="K524" s="21"/>
    </row>
    <row r="525" spans="1:11" ht="44">
      <c r="A525" s="10">
        <v>7857</v>
      </c>
      <c r="B525" s="11" t="s">
        <v>1327</v>
      </c>
      <c r="C525" s="10" t="s">
        <v>10</v>
      </c>
      <c r="D525" s="12" t="s">
        <v>1479</v>
      </c>
      <c r="E525" s="12">
        <v>3600</v>
      </c>
      <c r="F525" s="10" t="s">
        <v>1481</v>
      </c>
      <c r="G525" s="10" t="s">
        <v>1476</v>
      </c>
      <c r="H525" s="10" t="s">
        <v>1476</v>
      </c>
      <c r="I525" s="10" t="s">
        <v>11</v>
      </c>
      <c r="J525" s="26">
        <v>496.65028000000001</v>
      </c>
      <c r="K525" s="21"/>
    </row>
    <row r="526" spans="1:11" ht="44">
      <c r="A526" s="10">
        <v>7858</v>
      </c>
      <c r="B526" s="11" t="s">
        <v>1328</v>
      </c>
      <c r="C526" s="10" t="s">
        <v>10</v>
      </c>
      <c r="D526" s="12" t="s">
        <v>1479</v>
      </c>
      <c r="E526" s="12">
        <v>3600</v>
      </c>
      <c r="F526" s="10" t="s">
        <v>1481</v>
      </c>
      <c r="G526" s="10" t="s">
        <v>1476</v>
      </c>
      <c r="H526" s="10" t="s">
        <v>1476</v>
      </c>
      <c r="I526" s="10" t="s">
        <v>11</v>
      </c>
      <c r="J526" s="26">
        <v>496.65028000000001</v>
      </c>
      <c r="K526" s="21"/>
    </row>
    <row r="527" spans="1:11" ht="44">
      <c r="A527" s="10">
        <v>7859</v>
      </c>
      <c r="B527" s="11" t="s">
        <v>1329</v>
      </c>
      <c r="C527" s="10" t="s">
        <v>10</v>
      </c>
      <c r="D527" s="12" t="s">
        <v>1479</v>
      </c>
      <c r="E527" s="12">
        <v>3600</v>
      </c>
      <c r="F527" s="10" t="s">
        <v>1481</v>
      </c>
      <c r="G527" s="10" t="s">
        <v>1476</v>
      </c>
      <c r="H527" s="10" t="s">
        <v>1476</v>
      </c>
      <c r="I527" s="10" t="s">
        <v>11</v>
      </c>
      <c r="J527" s="26">
        <v>595.97969999999998</v>
      </c>
      <c r="K527" s="21"/>
    </row>
    <row r="528" spans="1:11" ht="44">
      <c r="A528" s="10">
        <v>7860</v>
      </c>
      <c r="B528" s="11" t="s">
        <v>1346</v>
      </c>
      <c r="C528" s="10" t="s">
        <v>10</v>
      </c>
      <c r="D528" s="12" t="s">
        <v>1478</v>
      </c>
      <c r="E528" s="12">
        <v>1800</v>
      </c>
      <c r="F528" s="10" t="s">
        <v>1482</v>
      </c>
      <c r="G528" s="10" t="s">
        <v>1480</v>
      </c>
      <c r="H528" s="10" t="s">
        <v>1480</v>
      </c>
      <c r="I528" s="10" t="s">
        <v>11</v>
      </c>
      <c r="J528" s="26">
        <v>333.85654</v>
      </c>
      <c r="K528" s="21"/>
    </row>
    <row r="529" spans="1:11" ht="44">
      <c r="A529" s="10">
        <v>7861</v>
      </c>
      <c r="B529" s="11" t="s">
        <v>1347</v>
      </c>
      <c r="C529" s="10" t="s">
        <v>10</v>
      </c>
      <c r="D529" s="12" t="s">
        <v>1478</v>
      </c>
      <c r="E529" s="12">
        <v>1800</v>
      </c>
      <c r="F529" s="10" t="s">
        <v>1482</v>
      </c>
      <c r="G529" s="10" t="s">
        <v>1480</v>
      </c>
      <c r="H529" s="10" t="s">
        <v>1480</v>
      </c>
      <c r="I529" s="10" t="s">
        <v>11</v>
      </c>
      <c r="J529" s="26">
        <v>333.85654</v>
      </c>
      <c r="K529" s="21"/>
    </row>
    <row r="530" spans="1:11" ht="44">
      <c r="A530" s="10">
        <v>7862</v>
      </c>
      <c r="B530" s="11" t="s">
        <v>1348</v>
      </c>
      <c r="C530" s="10" t="s">
        <v>10</v>
      </c>
      <c r="D530" s="12" t="s">
        <v>1478</v>
      </c>
      <c r="E530" s="12">
        <v>1800</v>
      </c>
      <c r="F530" s="10" t="s">
        <v>1482</v>
      </c>
      <c r="G530" s="10" t="s">
        <v>1480</v>
      </c>
      <c r="H530" s="10" t="s">
        <v>1480</v>
      </c>
      <c r="I530" s="10" t="s">
        <v>11</v>
      </c>
      <c r="J530" s="26">
        <v>400.62700000000001</v>
      </c>
      <c r="K530" s="21"/>
    </row>
    <row r="531" spans="1:11" ht="31">
      <c r="A531" s="10">
        <v>7863</v>
      </c>
      <c r="B531" s="11" t="s">
        <v>1330</v>
      </c>
      <c r="C531" s="10" t="s">
        <v>10</v>
      </c>
      <c r="D531" s="10" t="s">
        <v>780</v>
      </c>
      <c r="E531" s="10">
        <v>150</v>
      </c>
      <c r="F531" s="10" t="s">
        <v>1483</v>
      </c>
      <c r="G531" s="10" t="s">
        <v>1484</v>
      </c>
      <c r="H531" s="10" t="s">
        <v>1484</v>
      </c>
      <c r="I531" s="10" t="s">
        <v>11</v>
      </c>
      <c r="J531" s="26">
        <v>190.41628000000003</v>
      </c>
      <c r="K531" s="21"/>
    </row>
    <row r="532" spans="1:11" ht="31">
      <c r="A532" s="10">
        <v>7864</v>
      </c>
      <c r="B532" s="11" t="s">
        <v>1331</v>
      </c>
      <c r="C532" s="10" t="s">
        <v>10</v>
      </c>
      <c r="D532" s="10" t="s">
        <v>780</v>
      </c>
      <c r="E532" s="10">
        <v>150</v>
      </c>
      <c r="F532" s="10" t="s">
        <v>1483</v>
      </c>
      <c r="G532" s="10" t="s">
        <v>1484</v>
      </c>
      <c r="H532" s="10" t="s">
        <v>1484</v>
      </c>
      <c r="I532" s="10" t="s">
        <v>11</v>
      </c>
      <c r="J532" s="26">
        <v>190.41628000000003</v>
      </c>
      <c r="K532" s="21"/>
    </row>
    <row r="533" spans="1:11" ht="31">
      <c r="A533" s="10">
        <v>7865</v>
      </c>
      <c r="B533" s="11" t="s">
        <v>1332</v>
      </c>
      <c r="C533" s="10" t="s">
        <v>10</v>
      </c>
      <c r="D533" s="10" t="s">
        <v>780</v>
      </c>
      <c r="E533" s="10">
        <v>150</v>
      </c>
      <c r="F533" s="10" t="s">
        <v>1483</v>
      </c>
      <c r="G533" s="10" t="s">
        <v>1484</v>
      </c>
      <c r="H533" s="10" t="s">
        <v>1484</v>
      </c>
      <c r="I533" s="10" t="s">
        <v>11</v>
      </c>
      <c r="J533" s="26">
        <v>228.49953600000003</v>
      </c>
      <c r="K533" s="21"/>
    </row>
    <row r="534" spans="1:11" ht="31">
      <c r="A534" s="10">
        <v>7866</v>
      </c>
      <c r="B534" s="11" t="s">
        <v>1152</v>
      </c>
      <c r="C534" s="10" t="s">
        <v>562</v>
      </c>
      <c r="D534" s="12" t="s">
        <v>11</v>
      </c>
      <c r="E534" s="12" t="s">
        <v>11</v>
      </c>
      <c r="F534" s="10" t="s">
        <v>1414</v>
      </c>
      <c r="G534" s="10" t="s">
        <v>208</v>
      </c>
      <c r="H534" s="10" t="s">
        <v>291</v>
      </c>
      <c r="I534" s="10" t="s">
        <v>91</v>
      </c>
      <c r="J534" s="26">
        <v>306.34000000000003</v>
      </c>
      <c r="K534" s="21"/>
    </row>
    <row r="535" spans="1:11" ht="31">
      <c r="A535" s="10">
        <v>7867</v>
      </c>
      <c r="B535" s="11" t="s">
        <v>1153</v>
      </c>
      <c r="C535" s="10" t="s">
        <v>562</v>
      </c>
      <c r="D535" s="12" t="s">
        <v>11</v>
      </c>
      <c r="E535" s="12" t="s">
        <v>11</v>
      </c>
      <c r="F535" s="10" t="s">
        <v>1414</v>
      </c>
      <c r="G535" s="10" t="s">
        <v>208</v>
      </c>
      <c r="H535" s="10" t="s">
        <v>291</v>
      </c>
      <c r="I535" s="10" t="s">
        <v>91</v>
      </c>
      <c r="J535" s="26">
        <v>306.34000000000003</v>
      </c>
      <c r="K535" s="21"/>
    </row>
    <row r="536" spans="1:11" ht="31">
      <c r="A536" s="10">
        <v>7868</v>
      </c>
      <c r="B536" s="11" t="s">
        <v>1154</v>
      </c>
      <c r="C536" s="10" t="s">
        <v>562</v>
      </c>
      <c r="D536" s="12" t="s">
        <v>11</v>
      </c>
      <c r="E536" s="12" t="s">
        <v>11</v>
      </c>
      <c r="F536" s="10" t="s">
        <v>1414</v>
      </c>
      <c r="G536" s="10" t="s">
        <v>208</v>
      </c>
      <c r="H536" s="10" t="s">
        <v>291</v>
      </c>
      <c r="I536" s="10" t="s">
        <v>91</v>
      </c>
      <c r="J536" s="26">
        <v>367.608</v>
      </c>
      <c r="K536" s="21"/>
    </row>
    <row r="537" spans="1:11" ht="31">
      <c r="A537" s="10">
        <v>7869</v>
      </c>
      <c r="B537" s="11" t="s">
        <v>1155</v>
      </c>
      <c r="C537" s="10" t="s">
        <v>562</v>
      </c>
      <c r="D537" s="12" t="s">
        <v>11</v>
      </c>
      <c r="E537" s="12" t="s">
        <v>11</v>
      </c>
      <c r="F537" s="10" t="s">
        <v>1414</v>
      </c>
      <c r="G537" s="10" t="s">
        <v>208</v>
      </c>
      <c r="H537" s="10" t="s">
        <v>291</v>
      </c>
      <c r="I537" s="10" t="s">
        <v>91</v>
      </c>
      <c r="J537" s="26">
        <v>306.34000000000003</v>
      </c>
      <c r="K537" s="21"/>
    </row>
    <row r="538" spans="1:11" ht="31">
      <c r="A538" s="10">
        <v>7870</v>
      </c>
      <c r="B538" s="11" t="s">
        <v>1156</v>
      </c>
      <c r="C538" s="10" t="s">
        <v>562</v>
      </c>
      <c r="D538" s="12" t="s">
        <v>11</v>
      </c>
      <c r="E538" s="12" t="s">
        <v>11</v>
      </c>
      <c r="F538" s="10" t="s">
        <v>1414</v>
      </c>
      <c r="G538" s="10" t="s">
        <v>208</v>
      </c>
      <c r="H538" s="10" t="s">
        <v>291</v>
      </c>
      <c r="I538" s="10" t="s">
        <v>91</v>
      </c>
      <c r="J538" s="26">
        <v>306.34000000000003</v>
      </c>
      <c r="K538" s="21"/>
    </row>
    <row r="539" spans="1:11" ht="31">
      <c r="A539" s="10">
        <v>7871</v>
      </c>
      <c r="B539" s="11" t="s">
        <v>1157</v>
      </c>
      <c r="C539" s="10" t="s">
        <v>1376</v>
      </c>
      <c r="D539" s="12" t="s">
        <v>11</v>
      </c>
      <c r="E539" s="12" t="s">
        <v>11</v>
      </c>
      <c r="F539" s="10" t="s">
        <v>1399</v>
      </c>
      <c r="G539" s="10" t="s">
        <v>208</v>
      </c>
      <c r="H539" s="10" t="s">
        <v>291</v>
      </c>
      <c r="I539" s="10" t="s">
        <v>91</v>
      </c>
      <c r="J539" s="26">
        <v>422.94</v>
      </c>
      <c r="K539" s="21"/>
    </row>
    <row r="540" spans="1:11" ht="31">
      <c r="A540" s="10">
        <v>7872</v>
      </c>
      <c r="B540" s="11" t="s">
        <v>1158</v>
      </c>
      <c r="C540" s="10" t="s">
        <v>1376</v>
      </c>
      <c r="D540" s="12" t="s">
        <v>11</v>
      </c>
      <c r="E540" s="12" t="s">
        <v>11</v>
      </c>
      <c r="F540" s="10" t="s">
        <v>1399</v>
      </c>
      <c r="G540" s="10" t="s">
        <v>208</v>
      </c>
      <c r="H540" s="10" t="s">
        <v>291</v>
      </c>
      <c r="I540" s="10" t="s">
        <v>91</v>
      </c>
      <c r="J540" s="26">
        <v>422.94</v>
      </c>
      <c r="K540" s="21"/>
    </row>
    <row r="541" spans="1:11" ht="31">
      <c r="A541" s="10">
        <v>7873</v>
      </c>
      <c r="B541" s="11" t="s">
        <v>1159</v>
      </c>
      <c r="C541" s="10" t="s">
        <v>1376</v>
      </c>
      <c r="D541" s="12" t="s">
        <v>11</v>
      </c>
      <c r="E541" s="12" t="s">
        <v>11</v>
      </c>
      <c r="F541" s="10" t="s">
        <v>1399</v>
      </c>
      <c r="G541" s="10" t="s">
        <v>208</v>
      </c>
      <c r="H541" s="10" t="s">
        <v>291</v>
      </c>
      <c r="I541" s="10" t="s">
        <v>91</v>
      </c>
      <c r="J541" s="26">
        <v>507.52800000000002</v>
      </c>
      <c r="K541" s="21"/>
    </row>
    <row r="542" spans="1:11" ht="31">
      <c r="A542" s="10">
        <v>7874</v>
      </c>
      <c r="B542" s="11" t="s">
        <v>1160</v>
      </c>
      <c r="C542" s="10" t="s">
        <v>1376</v>
      </c>
      <c r="D542" s="12" t="s">
        <v>11</v>
      </c>
      <c r="E542" s="12" t="s">
        <v>11</v>
      </c>
      <c r="F542" s="10" t="s">
        <v>1399</v>
      </c>
      <c r="G542" s="10" t="s">
        <v>208</v>
      </c>
      <c r="H542" s="10" t="s">
        <v>291</v>
      </c>
      <c r="I542" s="10" t="s">
        <v>91</v>
      </c>
      <c r="J542" s="26">
        <v>422.94</v>
      </c>
      <c r="K542" s="21"/>
    </row>
    <row r="543" spans="1:11" ht="31">
      <c r="A543" s="10">
        <v>7875</v>
      </c>
      <c r="B543" s="11" t="s">
        <v>1161</v>
      </c>
      <c r="C543" s="10" t="s">
        <v>1376</v>
      </c>
      <c r="D543" s="12" t="s">
        <v>11</v>
      </c>
      <c r="E543" s="12" t="s">
        <v>11</v>
      </c>
      <c r="F543" s="10" t="s">
        <v>1399</v>
      </c>
      <c r="G543" s="10" t="s">
        <v>208</v>
      </c>
      <c r="H543" s="10" t="s">
        <v>291</v>
      </c>
      <c r="I543" s="10" t="s">
        <v>91</v>
      </c>
      <c r="J543" s="26">
        <v>422.94</v>
      </c>
      <c r="K543" s="21"/>
    </row>
    <row r="544" spans="1:11" ht="31">
      <c r="A544" s="10">
        <v>7876</v>
      </c>
      <c r="B544" s="11" t="s">
        <v>1218</v>
      </c>
      <c r="C544" s="10" t="s">
        <v>10</v>
      </c>
      <c r="D544" s="10" t="s">
        <v>1471</v>
      </c>
      <c r="E544" s="10">
        <v>1260</v>
      </c>
      <c r="F544" s="10" t="s">
        <v>850</v>
      </c>
      <c r="G544" s="10" t="s">
        <v>1440</v>
      </c>
      <c r="H544" s="10" t="s">
        <v>1440</v>
      </c>
      <c r="I544" s="10" t="s">
        <v>11</v>
      </c>
      <c r="J544" s="26">
        <v>122.82856000000001</v>
      </c>
      <c r="K544" s="21"/>
    </row>
    <row r="545" spans="1:11" ht="31">
      <c r="A545" s="10">
        <v>7877</v>
      </c>
      <c r="B545" s="11" t="s">
        <v>1219</v>
      </c>
      <c r="C545" s="10" t="s">
        <v>10</v>
      </c>
      <c r="D545" s="10" t="s">
        <v>1471</v>
      </c>
      <c r="E545" s="10">
        <v>1260</v>
      </c>
      <c r="F545" s="10" t="s">
        <v>850</v>
      </c>
      <c r="G545" s="10" t="s">
        <v>1440</v>
      </c>
      <c r="H545" s="10" t="s">
        <v>1440</v>
      </c>
      <c r="I545" s="10" t="s">
        <v>11</v>
      </c>
      <c r="J545" s="26">
        <v>122.82856000000001</v>
      </c>
      <c r="K545" s="21"/>
    </row>
    <row r="546" spans="1:11" ht="31">
      <c r="A546" s="10">
        <v>7878</v>
      </c>
      <c r="B546" s="11" t="s">
        <v>1220</v>
      </c>
      <c r="C546" s="10" t="s">
        <v>10</v>
      </c>
      <c r="D546" s="10" t="s">
        <v>1471</v>
      </c>
      <c r="E546" s="10">
        <v>1260</v>
      </c>
      <c r="F546" s="10" t="s">
        <v>850</v>
      </c>
      <c r="G546" s="10" t="s">
        <v>1440</v>
      </c>
      <c r="H546" s="10" t="s">
        <v>1440</v>
      </c>
      <c r="I546" s="10" t="s">
        <v>11</v>
      </c>
      <c r="J546" s="26">
        <v>147.394272</v>
      </c>
      <c r="K546" s="21"/>
    </row>
    <row r="547" spans="1:11" ht="31">
      <c r="A547" s="10">
        <v>7879</v>
      </c>
      <c r="B547" s="11" t="s">
        <v>1392</v>
      </c>
      <c r="C547" s="10" t="s">
        <v>1379</v>
      </c>
      <c r="D547" s="12" t="s">
        <v>11</v>
      </c>
      <c r="E547" s="12" t="s">
        <v>11</v>
      </c>
      <c r="F547" s="10" t="s">
        <v>1552</v>
      </c>
      <c r="G547" s="10" t="s">
        <v>208</v>
      </c>
      <c r="H547" s="10" t="s">
        <v>208</v>
      </c>
      <c r="I547" s="10" t="s">
        <v>11</v>
      </c>
      <c r="J547" s="26">
        <v>208.20202</v>
      </c>
      <c r="K547" s="21"/>
    </row>
    <row r="548" spans="1:11" ht="31">
      <c r="A548" s="10">
        <v>7881</v>
      </c>
      <c r="B548" s="11" t="s">
        <v>1394</v>
      </c>
      <c r="C548" s="10" t="s">
        <v>1379</v>
      </c>
      <c r="D548" s="12" t="s">
        <v>11</v>
      </c>
      <c r="E548" s="12" t="s">
        <v>11</v>
      </c>
      <c r="F548" s="10" t="s">
        <v>1552</v>
      </c>
      <c r="G548" s="10" t="s">
        <v>208</v>
      </c>
      <c r="H548" s="10" t="s">
        <v>208</v>
      </c>
      <c r="I548" s="10" t="s">
        <v>11</v>
      </c>
      <c r="J548" s="26">
        <v>249.84200000000001</v>
      </c>
      <c r="K548" s="21"/>
    </row>
    <row r="549" spans="1:11" ht="31">
      <c r="A549" s="10">
        <v>7882</v>
      </c>
      <c r="B549" s="11" t="s">
        <v>1395</v>
      </c>
      <c r="C549" s="10" t="s">
        <v>1379</v>
      </c>
      <c r="D549" s="12" t="s">
        <v>11</v>
      </c>
      <c r="E549" s="12" t="s">
        <v>11</v>
      </c>
      <c r="F549" s="10" t="s">
        <v>1553</v>
      </c>
      <c r="G549" s="10" t="s">
        <v>218</v>
      </c>
      <c r="H549" s="10" t="s">
        <v>218</v>
      </c>
      <c r="I549" s="10" t="s">
        <v>11</v>
      </c>
      <c r="J549" s="26">
        <v>294.62170000000003</v>
      </c>
      <c r="K549" s="21"/>
    </row>
    <row r="550" spans="1:11" ht="31">
      <c r="A550" s="10">
        <v>7883</v>
      </c>
      <c r="B550" s="11" t="s">
        <v>1396</v>
      </c>
      <c r="C550" s="10" t="s">
        <v>1379</v>
      </c>
      <c r="D550" s="12" t="s">
        <v>11</v>
      </c>
      <c r="E550" s="12" t="s">
        <v>11</v>
      </c>
      <c r="F550" s="10" t="s">
        <v>1553</v>
      </c>
      <c r="G550" s="10" t="s">
        <v>218</v>
      </c>
      <c r="H550" s="10" t="s">
        <v>218</v>
      </c>
      <c r="I550" s="10" t="s">
        <v>11</v>
      </c>
      <c r="J550" s="26">
        <v>294.62170000000003</v>
      </c>
      <c r="K550" s="21"/>
    </row>
    <row r="551" spans="1:11" ht="31">
      <c r="A551" s="10">
        <v>7884</v>
      </c>
      <c r="B551" s="11" t="s">
        <v>1397</v>
      </c>
      <c r="C551" s="10" t="s">
        <v>1379</v>
      </c>
      <c r="D551" s="12" t="s">
        <v>11</v>
      </c>
      <c r="E551" s="12" t="s">
        <v>11</v>
      </c>
      <c r="F551" s="10" t="s">
        <v>1553</v>
      </c>
      <c r="G551" s="10" t="s">
        <v>218</v>
      </c>
      <c r="H551" s="10" t="s">
        <v>218</v>
      </c>
      <c r="I551" s="10" t="s">
        <v>11</v>
      </c>
      <c r="J551" s="26">
        <v>353.54604</v>
      </c>
      <c r="K551" s="21"/>
    </row>
    <row r="552" spans="1:11" ht="31">
      <c r="A552" s="10">
        <v>7886</v>
      </c>
      <c r="B552" s="11" t="s">
        <v>1163</v>
      </c>
      <c r="C552" s="10" t="s">
        <v>10</v>
      </c>
      <c r="D552" s="10" t="s">
        <v>768</v>
      </c>
      <c r="E552" s="10">
        <v>375</v>
      </c>
      <c r="F552" s="10" t="s">
        <v>1415</v>
      </c>
      <c r="G552" s="10" t="s">
        <v>221</v>
      </c>
      <c r="H552" s="10" t="s">
        <v>221</v>
      </c>
      <c r="I552" s="10" t="s">
        <v>11</v>
      </c>
      <c r="J552" s="26">
        <v>105.15836</v>
      </c>
      <c r="K552" s="21"/>
    </row>
    <row r="553" spans="1:11" ht="31">
      <c r="A553" s="10">
        <v>7887</v>
      </c>
      <c r="B553" s="11" t="s">
        <v>1164</v>
      </c>
      <c r="C553" s="10" t="s">
        <v>10</v>
      </c>
      <c r="D553" s="10" t="s">
        <v>768</v>
      </c>
      <c r="E553" s="10">
        <v>375</v>
      </c>
      <c r="F553" s="10" t="s">
        <v>1415</v>
      </c>
      <c r="G553" s="10" t="s">
        <v>221</v>
      </c>
      <c r="H553" s="10" t="s">
        <v>221</v>
      </c>
      <c r="I553" s="10" t="s">
        <v>11</v>
      </c>
      <c r="J553" s="26">
        <v>126.18982</v>
      </c>
      <c r="K553" s="21"/>
    </row>
    <row r="554" spans="1:11" ht="31">
      <c r="A554" s="10">
        <v>7888</v>
      </c>
      <c r="B554" s="11" t="s">
        <v>1165</v>
      </c>
      <c r="C554" s="10" t="s">
        <v>10</v>
      </c>
      <c r="D554" s="10" t="s">
        <v>768</v>
      </c>
      <c r="E554" s="10">
        <v>375</v>
      </c>
      <c r="F554" s="10" t="s">
        <v>1416</v>
      </c>
      <c r="G554" s="10" t="s">
        <v>302</v>
      </c>
      <c r="H554" s="10" t="s">
        <v>302</v>
      </c>
      <c r="I554" s="10" t="s">
        <v>11</v>
      </c>
      <c r="J554" s="26">
        <v>127.97168000000001</v>
      </c>
      <c r="K554" s="21"/>
    </row>
    <row r="555" spans="1:11" ht="31">
      <c r="A555" s="10">
        <v>7889</v>
      </c>
      <c r="B555" s="11" t="s">
        <v>1166</v>
      </c>
      <c r="C555" s="10" t="s">
        <v>10</v>
      </c>
      <c r="D555" s="10" t="s">
        <v>768</v>
      </c>
      <c r="E555" s="10">
        <v>375</v>
      </c>
      <c r="F555" s="10" t="s">
        <v>1416</v>
      </c>
      <c r="G555" s="10" t="s">
        <v>302</v>
      </c>
      <c r="H555" s="10" t="s">
        <v>302</v>
      </c>
      <c r="I555" s="10" t="s">
        <v>11</v>
      </c>
      <c r="J555" s="26">
        <v>127.97168000000001</v>
      </c>
      <c r="K555" s="21"/>
    </row>
    <row r="556" spans="1:11" ht="31">
      <c r="A556" s="10">
        <v>7890</v>
      </c>
      <c r="B556" s="11" t="s">
        <v>1167</v>
      </c>
      <c r="C556" s="10" t="s">
        <v>10</v>
      </c>
      <c r="D556" s="10" t="s">
        <v>768</v>
      </c>
      <c r="E556" s="10">
        <v>375</v>
      </c>
      <c r="F556" s="10" t="s">
        <v>1416</v>
      </c>
      <c r="G556" s="10" t="s">
        <v>302</v>
      </c>
      <c r="H556" s="10" t="s">
        <v>302</v>
      </c>
      <c r="I556" s="10" t="s">
        <v>11</v>
      </c>
      <c r="J556" s="26">
        <v>153.56538</v>
      </c>
      <c r="K556" s="21"/>
    </row>
    <row r="557" spans="1:11" ht="31">
      <c r="A557" s="10">
        <v>7891</v>
      </c>
      <c r="B557" s="11" t="s">
        <v>1168</v>
      </c>
      <c r="C557" s="10" t="s">
        <v>10</v>
      </c>
      <c r="D557" s="10" t="s">
        <v>988</v>
      </c>
      <c r="E557" s="10">
        <v>750</v>
      </c>
      <c r="F557" s="10" t="s">
        <v>1417</v>
      </c>
      <c r="G557" s="10" t="s">
        <v>95</v>
      </c>
      <c r="H557" s="10" t="s">
        <v>95</v>
      </c>
      <c r="I557" s="10" t="s">
        <v>11</v>
      </c>
      <c r="J557" s="26">
        <v>178.19236000000001</v>
      </c>
      <c r="K557" s="21"/>
    </row>
    <row r="558" spans="1:11" ht="31">
      <c r="A558" s="10">
        <v>7892</v>
      </c>
      <c r="B558" s="11" t="s">
        <v>1169</v>
      </c>
      <c r="C558" s="10" t="s">
        <v>10</v>
      </c>
      <c r="D558" s="10" t="s">
        <v>988</v>
      </c>
      <c r="E558" s="10">
        <v>750</v>
      </c>
      <c r="F558" s="10" t="s">
        <v>1417</v>
      </c>
      <c r="G558" s="10" t="s">
        <v>95</v>
      </c>
      <c r="H558" s="10" t="s">
        <v>95</v>
      </c>
      <c r="I558" s="10" t="s">
        <v>11</v>
      </c>
      <c r="J558" s="26">
        <v>178.19236000000001</v>
      </c>
      <c r="K558" s="21"/>
    </row>
    <row r="559" spans="1:11" ht="31">
      <c r="A559" s="10">
        <v>7893</v>
      </c>
      <c r="B559" s="11" t="s">
        <v>1170</v>
      </c>
      <c r="C559" s="10" t="s">
        <v>10</v>
      </c>
      <c r="D559" s="10" t="s">
        <v>988</v>
      </c>
      <c r="E559" s="10">
        <v>750</v>
      </c>
      <c r="F559" s="10" t="s">
        <v>1417</v>
      </c>
      <c r="G559" s="10" t="s">
        <v>95</v>
      </c>
      <c r="H559" s="10" t="s">
        <v>95</v>
      </c>
      <c r="I559" s="10" t="s">
        <v>11</v>
      </c>
      <c r="J559" s="26">
        <v>213.83062000000001</v>
      </c>
      <c r="K559" s="21"/>
    </row>
    <row r="560" spans="1:11" ht="96">
      <c r="A560" s="10">
        <v>7894</v>
      </c>
      <c r="B560" s="11" t="s">
        <v>1577</v>
      </c>
      <c r="C560" s="10" t="s">
        <v>11</v>
      </c>
      <c r="D560" s="12" t="s">
        <v>11</v>
      </c>
      <c r="E560" s="10" t="s">
        <v>11</v>
      </c>
      <c r="F560" s="10" t="s">
        <v>1046</v>
      </c>
      <c r="G560" s="10" t="s">
        <v>1047</v>
      </c>
      <c r="H560" s="10" t="s">
        <v>91</v>
      </c>
      <c r="I560" s="10" t="s">
        <v>11</v>
      </c>
      <c r="J560" s="13">
        <v>51.993000000000002</v>
      </c>
      <c r="K560" s="21" t="s">
        <v>1020</v>
      </c>
    </row>
    <row r="561" spans="1:11" ht="96">
      <c r="A561" s="10">
        <v>7895</v>
      </c>
      <c r="B561" s="11" t="s">
        <v>1578</v>
      </c>
      <c r="C561" s="10" t="s">
        <v>11</v>
      </c>
      <c r="D561" s="12" t="s">
        <v>11</v>
      </c>
      <c r="E561" s="10" t="s">
        <v>11</v>
      </c>
      <c r="F561" s="10" t="s">
        <v>1046</v>
      </c>
      <c r="G561" s="10" t="s">
        <v>1047</v>
      </c>
      <c r="H561" s="10" t="s">
        <v>1045</v>
      </c>
      <c r="I561" s="10" t="s">
        <v>11</v>
      </c>
      <c r="J561" s="13">
        <v>75.535600000000002</v>
      </c>
      <c r="K561" s="21" t="s">
        <v>1020</v>
      </c>
    </row>
    <row r="562" spans="1:11" ht="96">
      <c r="A562" s="10">
        <v>7896</v>
      </c>
      <c r="B562" s="11" t="s">
        <v>1579</v>
      </c>
      <c r="C562" s="10" t="s">
        <v>11</v>
      </c>
      <c r="D562" s="12" t="s">
        <v>11</v>
      </c>
      <c r="E562" s="10" t="s">
        <v>11</v>
      </c>
      <c r="F562" s="10" t="s">
        <v>1046</v>
      </c>
      <c r="G562" s="10" t="s">
        <v>1047</v>
      </c>
      <c r="H562" s="10" t="s">
        <v>91</v>
      </c>
      <c r="I562" s="10" t="s">
        <v>11</v>
      </c>
      <c r="J562" s="13">
        <v>80.56</v>
      </c>
      <c r="K562" s="21" t="s">
        <v>1020</v>
      </c>
    </row>
    <row r="563" spans="1:11" ht="96">
      <c r="A563" s="10">
        <v>7897</v>
      </c>
      <c r="B563" s="11" t="s">
        <v>1580</v>
      </c>
      <c r="C563" s="10" t="s">
        <v>11</v>
      </c>
      <c r="D563" s="12" t="s">
        <v>11</v>
      </c>
      <c r="E563" s="10" t="s">
        <v>11</v>
      </c>
      <c r="F563" s="10" t="s">
        <v>1046</v>
      </c>
      <c r="G563" s="10" t="s">
        <v>1047</v>
      </c>
      <c r="H563" s="10" t="s">
        <v>1045</v>
      </c>
      <c r="I563" s="10" t="s">
        <v>11</v>
      </c>
      <c r="J563" s="13">
        <v>118.74120000000001</v>
      </c>
      <c r="K563" s="21" t="s">
        <v>1020</v>
      </c>
    </row>
    <row r="564" spans="1:11" ht="96">
      <c r="A564" s="10">
        <v>7902</v>
      </c>
      <c r="B564" s="11" t="s">
        <v>1581</v>
      </c>
      <c r="C564" s="10" t="s">
        <v>10</v>
      </c>
      <c r="D564" s="12" t="s">
        <v>780</v>
      </c>
      <c r="E564" s="10">
        <v>140</v>
      </c>
      <c r="F564" s="10" t="s">
        <v>1490</v>
      </c>
      <c r="G564" s="10" t="s">
        <v>1491</v>
      </c>
      <c r="H564" s="10" t="s">
        <v>1491</v>
      </c>
      <c r="I564" s="10" t="s">
        <v>11</v>
      </c>
      <c r="J564" s="13">
        <v>94.34</v>
      </c>
      <c r="K564" s="21" t="s">
        <v>1020</v>
      </c>
    </row>
    <row r="565" spans="1:11" ht="31">
      <c r="A565" s="10">
        <v>7903</v>
      </c>
      <c r="B565" s="11" t="s">
        <v>1563</v>
      </c>
      <c r="C565" s="10" t="s">
        <v>10</v>
      </c>
      <c r="D565" s="12" t="s">
        <v>780</v>
      </c>
      <c r="E565" s="10">
        <v>150</v>
      </c>
      <c r="F565" s="10" t="s">
        <v>13</v>
      </c>
      <c r="G565" s="10" t="s">
        <v>226</v>
      </c>
      <c r="H565" s="10" t="s">
        <v>226</v>
      </c>
      <c r="I565" s="10" t="s">
        <v>91</v>
      </c>
      <c r="J565" s="13">
        <v>118.18364000000001</v>
      </c>
      <c r="K565" s="21"/>
    </row>
    <row r="566" spans="1:11" ht="31">
      <c r="A566" s="10">
        <v>7904</v>
      </c>
      <c r="B566" s="11" t="s">
        <v>1221</v>
      </c>
      <c r="C566" s="10" t="s">
        <v>10</v>
      </c>
      <c r="D566" s="12" t="s">
        <v>768</v>
      </c>
      <c r="E566" s="10">
        <v>375</v>
      </c>
      <c r="F566" s="10" t="s">
        <v>1441</v>
      </c>
      <c r="G566" s="10" t="s">
        <v>1442</v>
      </c>
      <c r="H566" s="10" t="s">
        <v>1442</v>
      </c>
      <c r="I566" s="10" t="s">
        <v>11</v>
      </c>
      <c r="J566" s="26">
        <v>230.47580000000002</v>
      </c>
      <c r="K566" s="21"/>
    </row>
    <row r="567" spans="1:11" ht="31">
      <c r="A567" s="10">
        <v>7905</v>
      </c>
      <c r="B567" s="11" t="s">
        <v>1222</v>
      </c>
      <c r="C567" s="10" t="s">
        <v>10</v>
      </c>
      <c r="D567" s="12" t="s">
        <v>768</v>
      </c>
      <c r="E567" s="10">
        <v>375</v>
      </c>
      <c r="F567" s="10" t="s">
        <v>1441</v>
      </c>
      <c r="G567" s="10" t="s">
        <v>1442</v>
      </c>
      <c r="H567" s="10" t="s">
        <v>1442</v>
      </c>
      <c r="I567" s="10" t="s">
        <v>11</v>
      </c>
      <c r="J567" s="26">
        <v>230.48004</v>
      </c>
      <c r="K567" s="21"/>
    </row>
    <row r="568" spans="1:11" ht="31">
      <c r="A568" s="10">
        <v>7906</v>
      </c>
      <c r="B568" s="11" t="s">
        <v>1223</v>
      </c>
      <c r="C568" s="10" t="s">
        <v>10</v>
      </c>
      <c r="D568" s="12" t="s">
        <v>768</v>
      </c>
      <c r="E568" s="10">
        <v>375</v>
      </c>
      <c r="F568" s="10" t="s">
        <v>1441</v>
      </c>
      <c r="G568" s="10" t="s">
        <v>1442</v>
      </c>
      <c r="H568" s="10" t="s">
        <v>1442</v>
      </c>
      <c r="I568" s="10" t="s">
        <v>11</v>
      </c>
      <c r="J568" s="26">
        <v>230.48004</v>
      </c>
      <c r="K568" s="21"/>
    </row>
    <row r="569" spans="1:11" ht="31">
      <c r="A569" s="10">
        <v>7927</v>
      </c>
      <c r="B569" s="11" t="s">
        <v>1224</v>
      </c>
      <c r="C569" s="10" t="s">
        <v>10</v>
      </c>
      <c r="D569" s="12" t="s">
        <v>768</v>
      </c>
      <c r="E569" s="10">
        <v>375</v>
      </c>
      <c r="F569" s="10" t="s">
        <v>1441</v>
      </c>
      <c r="G569" s="10" t="s">
        <v>1442</v>
      </c>
      <c r="H569" s="10" t="s">
        <v>1442</v>
      </c>
      <c r="I569" s="10" t="s">
        <v>11</v>
      </c>
      <c r="J569" s="26">
        <v>276.57604800000001</v>
      </c>
      <c r="K569" s="21"/>
    </row>
    <row r="570" spans="1:11" ht="31">
      <c r="A570" s="10">
        <v>7928</v>
      </c>
      <c r="B570" s="11" t="s">
        <v>1225</v>
      </c>
      <c r="C570" s="10" t="s">
        <v>10</v>
      </c>
      <c r="D570" s="12" t="s">
        <v>768</v>
      </c>
      <c r="E570" s="10">
        <v>375</v>
      </c>
      <c r="F570" s="10" t="s">
        <v>1441</v>
      </c>
      <c r="G570" s="10" t="s">
        <v>1442</v>
      </c>
      <c r="H570" s="10" t="s">
        <v>1442</v>
      </c>
      <c r="I570" s="10" t="s">
        <v>11</v>
      </c>
      <c r="J570" s="26">
        <v>230.48004</v>
      </c>
      <c r="K570" s="21"/>
    </row>
    <row r="571" spans="1:11" ht="31">
      <c r="A571" s="10">
        <v>7929</v>
      </c>
      <c r="B571" s="11" t="s">
        <v>1226</v>
      </c>
      <c r="C571" s="10" t="s">
        <v>10</v>
      </c>
      <c r="D571" s="12" t="s">
        <v>768</v>
      </c>
      <c r="E571" s="10">
        <v>375</v>
      </c>
      <c r="F571" s="10" t="s">
        <v>1441</v>
      </c>
      <c r="G571" s="10" t="s">
        <v>1442</v>
      </c>
      <c r="H571" s="10" t="s">
        <v>1442</v>
      </c>
      <c r="I571" s="10" t="s">
        <v>11</v>
      </c>
      <c r="J571" s="26">
        <v>230.48004</v>
      </c>
      <c r="K571" s="21"/>
    </row>
    <row r="572" spans="1:11" ht="31">
      <c r="A572" s="10">
        <v>7930</v>
      </c>
      <c r="B572" s="11" t="s">
        <v>1227</v>
      </c>
      <c r="C572" s="10" t="s">
        <v>10</v>
      </c>
      <c r="D572" s="12" t="s">
        <v>768</v>
      </c>
      <c r="E572" s="10">
        <v>375</v>
      </c>
      <c r="F572" s="10" t="s">
        <v>1441</v>
      </c>
      <c r="G572" s="10" t="s">
        <v>1442</v>
      </c>
      <c r="H572" s="10" t="s">
        <v>1442</v>
      </c>
      <c r="I572" s="10" t="s">
        <v>11</v>
      </c>
      <c r="J572" s="26">
        <v>230.48004</v>
      </c>
      <c r="K572" s="21"/>
    </row>
    <row r="573" spans="1:11" ht="31">
      <c r="A573" s="10">
        <v>7931</v>
      </c>
      <c r="B573" s="11" t="s">
        <v>1228</v>
      </c>
      <c r="C573" s="10" t="s">
        <v>10</v>
      </c>
      <c r="D573" s="12" t="s">
        <v>768</v>
      </c>
      <c r="E573" s="10">
        <v>375</v>
      </c>
      <c r="F573" s="10" t="s">
        <v>1441</v>
      </c>
      <c r="G573" s="10" t="s">
        <v>1442</v>
      </c>
      <c r="H573" s="10" t="s">
        <v>1442</v>
      </c>
      <c r="I573" s="10" t="s">
        <v>11</v>
      </c>
      <c r="J573" s="26">
        <v>276.57604800000001</v>
      </c>
      <c r="K573" s="21"/>
    </row>
    <row r="574" spans="1:11" ht="31">
      <c r="A574" s="10">
        <v>7933</v>
      </c>
      <c r="B574" s="11" t="s">
        <v>1230</v>
      </c>
      <c r="C574" s="10" t="s">
        <v>10</v>
      </c>
      <c r="D574" s="12" t="s">
        <v>768</v>
      </c>
      <c r="E574" s="10">
        <v>375</v>
      </c>
      <c r="F574" s="10" t="s">
        <v>1443</v>
      </c>
      <c r="G574" s="10" t="s">
        <v>1442</v>
      </c>
      <c r="H574" s="10" t="s">
        <v>1442</v>
      </c>
      <c r="I574" s="10" t="s">
        <v>91</v>
      </c>
      <c r="J574" s="26">
        <v>211.19651999999999</v>
      </c>
      <c r="K574" s="21"/>
    </row>
    <row r="575" spans="1:11" ht="31">
      <c r="A575" s="10">
        <v>7934</v>
      </c>
      <c r="B575" s="11" t="s">
        <v>1231</v>
      </c>
      <c r="C575" s="10" t="s">
        <v>10</v>
      </c>
      <c r="D575" s="12" t="s">
        <v>768</v>
      </c>
      <c r="E575" s="10">
        <v>375</v>
      </c>
      <c r="F575" s="10" t="s">
        <v>1443</v>
      </c>
      <c r="G575" s="10" t="s">
        <v>1442</v>
      </c>
      <c r="H575" s="10" t="s">
        <v>1442</v>
      </c>
      <c r="I575" s="10" t="s">
        <v>91</v>
      </c>
      <c r="J575" s="26">
        <v>253.435824</v>
      </c>
      <c r="K575" s="21"/>
    </row>
    <row r="576" spans="1:11" ht="31">
      <c r="A576" s="10">
        <v>7935</v>
      </c>
      <c r="B576" s="11" t="s">
        <v>1232</v>
      </c>
      <c r="C576" s="10" t="s">
        <v>10</v>
      </c>
      <c r="D576" s="12" t="s">
        <v>768</v>
      </c>
      <c r="E576" s="10">
        <v>375</v>
      </c>
      <c r="F576" s="10" t="s">
        <v>1443</v>
      </c>
      <c r="G576" s="10" t="s">
        <v>1442</v>
      </c>
      <c r="H576" s="10" t="s">
        <v>1442</v>
      </c>
      <c r="I576" s="10" t="s">
        <v>91</v>
      </c>
      <c r="J576" s="26">
        <v>211.19651999999999</v>
      </c>
      <c r="K576" s="21"/>
    </row>
    <row r="577" spans="1:11" ht="31">
      <c r="A577" s="10">
        <v>7936</v>
      </c>
      <c r="B577" s="11" t="s">
        <v>1233</v>
      </c>
      <c r="C577" s="10" t="s">
        <v>10</v>
      </c>
      <c r="D577" s="12" t="s">
        <v>768</v>
      </c>
      <c r="E577" s="10">
        <v>375</v>
      </c>
      <c r="F577" s="10" t="s">
        <v>1443</v>
      </c>
      <c r="G577" s="10" t="s">
        <v>1442</v>
      </c>
      <c r="H577" s="10" t="s">
        <v>1442</v>
      </c>
      <c r="I577" s="10" t="s">
        <v>91</v>
      </c>
      <c r="J577" s="26">
        <v>211.19651999999999</v>
      </c>
      <c r="K577" s="21"/>
    </row>
    <row r="578" spans="1:11" ht="31">
      <c r="A578" s="10">
        <v>7937</v>
      </c>
      <c r="B578" s="11" t="s">
        <v>1234</v>
      </c>
      <c r="C578" s="10" t="s">
        <v>10</v>
      </c>
      <c r="D578" s="12" t="s">
        <v>768</v>
      </c>
      <c r="E578" s="10">
        <v>375</v>
      </c>
      <c r="F578" s="10" t="s">
        <v>1443</v>
      </c>
      <c r="G578" s="10" t="s">
        <v>1442</v>
      </c>
      <c r="H578" s="10" t="s">
        <v>1442</v>
      </c>
      <c r="I578" s="10" t="s">
        <v>91</v>
      </c>
      <c r="J578" s="26">
        <v>253.435824</v>
      </c>
      <c r="K578" s="21"/>
    </row>
    <row r="579" spans="1:11" ht="31">
      <c r="A579" s="10">
        <v>7938</v>
      </c>
      <c r="B579" s="11" t="s">
        <v>1235</v>
      </c>
      <c r="C579" s="10" t="s">
        <v>10</v>
      </c>
      <c r="D579" s="12" t="s">
        <v>768</v>
      </c>
      <c r="E579" s="10">
        <v>375</v>
      </c>
      <c r="F579" s="10" t="s">
        <v>1444</v>
      </c>
      <c r="G579" s="10" t="s">
        <v>1442</v>
      </c>
      <c r="H579" s="10" t="s">
        <v>1442</v>
      </c>
      <c r="I579" s="10" t="s">
        <v>11</v>
      </c>
      <c r="J579" s="26">
        <v>159.77910000000003</v>
      </c>
      <c r="K579" s="21"/>
    </row>
    <row r="580" spans="1:11" ht="31">
      <c r="A580" s="10">
        <v>7939</v>
      </c>
      <c r="B580" s="11" t="s">
        <v>1236</v>
      </c>
      <c r="C580" s="10" t="s">
        <v>10</v>
      </c>
      <c r="D580" s="12" t="s">
        <v>768</v>
      </c>
      <c r="E580" s="10">
        <v>375</v>
      </c>
      <c r="F580" s="10" t="s">
        <v>1444</v>
      </c>
      <c r="G580" s="10" t="s">
        <v>1442</v>
      </c>
      <c r="H580" s="10" t="s">
        <v>1442</v>
      </c>
      <c r="I580" s="10" t="s">
        <v>11</v>
      </c>
      <c r="J580" s="26">
        <v>159.77910000000003</v>
      </c>
      <c r="K580" s="21"/>
    </row>
    <row r="581" spans="1:11" ht="31">
      <c r="A581" s="10">
        <v>7940</v>
      </c>
      <c r="B581" s="11" t="s">
        <v>1237</v>
      </c>
      <c r="C581" s="10" t="s">
        <v>10</v>
      </c>
      <c r="D581" s="12" t="s">
        <v>768</v>
      </c>
      <c r="E581" s="10">
        <v>375</v>
      </c>
      <c r="F581" s="10" t="s">
        <v>1444</v>
      </c>
      <c r="G581" s="10" t="s">
        <v>1442</v>
      </c>
      <c r="H581" s="10" t="s">
        <v>1442</v>
      </c>
      <c r="I581" s="10" t="s">
        <v>11</v>
      </c>
      <c r="J581" s="26">
        <v>191.73492000000002</v>
      </c>
      <c r="K581" s="21"/>
    </row>
    <row r="582" spans="1:11" ht="31">
      <c r="A582" s="10">
        <v>7941</v>
      </c>
      <c r="B582" s="11" t="s">
        <v>1238</v>
      </c>
      <c r="C582" s="10" t="s">
        <v>10</v>
      </c>
      <c r="D582" s="12" t="s">
        <v>768</v>
      </c>
      <c r="E582" s="10">
        <v>375</v>
      </c>
      <c r="F582" s="10" t="s">
        <v>1444</v>
      </c>
      <c r="G582" s="10" t="s">
        <v>1442</v>
      </c>
      <c r="H582" s="10" t="s">
        <v>1442</v>
      </c>
      <c r="I582" s="10" t="s">
        <v>11</v>
      </c>
      <c r="J582" s="26">
        <v>159.77910000000003</v>
      </c>
      <c r="K582" s="21"/>
    </row>
    <row r="583" spans="1:11" ht="31">
      <c r="A583" s="10">
        <v>7942</v>
      </c>
      <c r="B583" s="11" t="s">
        <v>1239</v>
      </c>
      <c r="C583" s="10" t="s">
        <v>10</v>
      </c>
      <c r="D583" s="12" t="s">
        <v>768</v>
      </c>
      <c r="E583" s="10">
        <v>375</v>
      </c>
      <c r="F583" s="10" t="s">
        <v>1444</v>
      </c>
      <c r="G583" s="10" t="s">
        <v>1442</v>
      </c>
      <c r="H583" s="10" t="s">
        <v>1442</v>
      </c>
      <c r="I583" s="10" t="s">
        <v>11</v>
      </c>
      <c r="J583" s="26">
        <v>159.77910000000003</v>
      </c>
      <c r="K583" s="21"/>
    </row>
    <row r="584" spans="1:11" ht="31">
      <c r="A584" s="10">
        <v>7943</v>
      </c>
      <c r="B584" s="11" t="s">
        <v>1240</v>
      </c>
      <c r="C584" s="10" t="s">
        <v>10</v>
      </c>
      <c r="D584" s="12" t="s">
        <v>768</v>
      </c>
      <c r="E584" s="10">
        <v>375</v>
      </c>
      <c r="F584" s="10" t="s">
        <v>1444</v>
      </c>
      <c r="G584" s="10" t="s">
        <v>1442</v>
      </c>
      <c r="H584" s="10" t="s">
        <v>1442</v>
      </c>
      <c r="I584" s="10" t="s">
        <v>11</v>
      </c>
      <c r="J584" s="26">
        <v>191.73492000000002</v>
      </c>
      <c r="K584" s="21"/>
    </row>
    <row r="585" spans="1:11" ht="31">
      <c r="A585" s="10">
        <v>7944</v>
      </c>
      <c r="B585" s="11" t="s">
        <v>1241</v>
      </c>
      <c r="C585" s="10" t="s">
        <v>10</v>
      </c>
      <c r="D585" s="12" t="s">
        <v>768</v>
      </c>
      <c r="E585" s="10">
        <v>375</v>
      </c>
      <c r="F585" s="10" t="s">
        <v>1445</v>
      </c>
      <c r="G585" s="10" t="s">
        <v>1446</v>
      </c>
      <c r="H585" s="10" t="s">
        <v>1446</v>
      </c>
      <c r="I585" s="10" t="s">
        <v>91</v>
      </c>
      <c r="J585" s="26">
        <v>178.93860000000001</v>
      </c>
      <c r="K585" s="21"/>
    </row>
    <row r="586" spans="1:11" ht="31">
      <c r="A586" s="10">
        <v>7945</v>
      </c>
      <c r="B586" s="11" t="s">
        <v>1242</v>
      </c>
      <c r="C586" s="10" t="s">
        <v>10</v>
      </c>
      <c r="D586" s="12" t="s">
        <v>768</v>
      </c>
      <c r="E586" s="10">
        <v>375</v>
      </c>
      <c r="F586" s="10" t="s">
        <v>1445</v>
      </c>
      <c r="G586" s="10" t="s">
        <v>1446</v>
      </c>
      <c r="H586" s="10" t="s">
        <v>1446</v>
      </c>
      <c r="I586" s="10" t="s">
        <v>91</v>
      </c>
      <c r="J586" s="26">
        <v>214.72632000000002</v>
      </c>
      <c r="K586" s="21"/>
    </row>
    <row r="587" spans="1:11" ht="31">
      <c r="A587" s="10">
        <v>7947</v>
      </c>
      <c r="B587" s="11" t="s">
        <v>1244</v>
      </c>
      <c r="C587" s="10" t="s">
        <v>10</v>
      </c>
      <c r="D587" s="12" t="s">
        <v>768</v>
      </c>
      <c r="E587" s="10">
        <v>375</v>
      </c>
      <c r="F587" s="10" t="s">
        <v>1445</v>
      </c>
      <c r="G587" s="10" t="s">
        <v>1446</v>
      </c>
      <c r="H587" s="10" t="s">
        <v>1446</v>
      </c>
      <c r="I587" s="10" t="s">
        <v>91</v>
      </c>
      <c r="J587" s="26">
        <v>178.93860000000001</v>
      </c>
      <c r="K587" s="21"/>
    </row>
    <row r="588" spans="1:11" ht="31">
      <c r="A588" s="10">
        <v>7948</v>
      </c>
      <c r="B588" s="11" t="s">
        <v>1245</v>
      </c>
      <c r="C588" s="10" t="s">
        <v>10</v>
      </c>
      <c r="D588" s="12" t="s">
        <v>768</v>
      </c>
      <c r="E588" s="10">
        <v>375</v>
      </c>
      <c r="F588" s="10" t="s">
        <v>1445</v>
      </c>
      <c r="G588" s="10" t="s">
        <v>1446</v>
      </c>
      <c r="H588" s="10" t="s">
        <v>1446</v>
      </c>
      <c r="I588" s="10" t="s">
        <v>91</v>
      </c>
      <c r="J588" s="26">
        <v>214.72632000000002</v>
      </c>
      <c r="K588" s="21"/>
    </row>
    <row r="589" spans="1:11" ht="31">
      <c r="A589" s="10">
        <v>7949</v>
      </c>
      <c r="B589" s="11" t="s">
        <v>1246</v>
      </c>
      <c r="C589" s="10" t="s">
        <v>10</v>
      </c>
      <c r="D589" s="12" t="s">
        <v>768</v>
      </c>
      <c r="E589" s="10">
        <v>375</v>
      </c>
      <c r="F589" s="10" t="s">
        <v>1445</v>
      </c>
      <c r="G589" s="10" t="s">
        <v>1446</v>
      </c>
      <c r="H589" s="10" t="s">
        <v>1446</v>
      </c>
      <c r="I589" s="10" t="s">
        <v>91</v>
      </c>
      <c r="J589" s="26">
        <v>214.72632000000002</v>
      </c>
      <c r="K589" s="21"/>
    </row>
    <row r="590" spans="1:11" ht="44">
      <c r="A590" s="10">
        <v>7950</v>
      </c>
      <c r="B590" s="11" t="s">
        <v>1350</v>
      </c>
      <c r="C590" s="10" t="s">
        <v>10</v>
      </c>
      <c r="D590" s="12" t="s">
        <v>1472</v>
      </c>
      <c r="E590" s="10">
        <v>2175</v>
      </c>
      <c r="F590" s="10" t="s">
        <v>1469</v>
      </c>
      <c r="G590" s="10" t="s">
        <v>1470</v>
      </c>
      <c r="H590" s="10" t="s">
        <v>1470</v>
      </c>
      <c r="I590" s="10" t="s">
        <v>11</v>
      </c>
      <c r="J590" s="26">
        <v>273.21075999999999</v>
      </c>
      <c r="K590" s="21"/>
    </row>
    <row r="591" spans="1:11" ht="44">
      <c r="A591" s="10">
        <v>7951</v>
      </c>
      <c r="B591" s="11" t="s">
        <v>1351</v>
      </c>
      <c r="C591" s="10" t="s">
        <v>10</v>
      </c>
      <c r="D591" s="12" t="s">
        <v>1472</v>
      </c>
      <c r="E591" s="10">
        <v>2175</v>
      </c>
      <c r="F591" s="10" t="s">
        <v>1469</v>
      </c>
      <c r="G591" s="10" t="s">
        <v>1470</v>
      </c>
      <c r="H591" s="10" t="s">
        <v>1470</v>
      </c>
      <c r="I591" s="10" t="s">
        <v>11</v>
      </c>
      <c r="J591" s="26">
        <v>273.21075999999999</v>
      </c>
      <c r="K591" s="21"/>
    </row>
    <row r="592" spans="1:11" ht="44">
      <c r="A592" s="10">
        <v>7952</v>
      </c>
      <c r="B592" s="11" t="s">
        <v>1352</v>
      </c>
      <c r="C592" s="10" t="s">
        <v>10</v>
      </c>
      <c r="D592" s="12" t="s">
        <v>1472</v>
      </c>
      <c r="E592" s="10">
        <v>2175</v>
      </c>
      <c r="F592" s="10" t="s">
        <v>1469</v>
      </c>
      <c r="G592" s="10" t="s">
        <v>1470</v>
      </c>
      <c r="H592" s="10" t="s">
        <v>1470</v>
      </c>
      <c r="I592" s="10" t="s">
        <v>11</v>
      </c>
      <c r="J592" s="26">
        <v>327.85270000000003</v>
      </c>
      <c r="K592" s="21"/>
    </row>
    <row r="593" spans="1:11" ht="44">
      <c r="A593" s="10">
        <v>7953</v>
      </c>
      <c r="B593" s="11" t="s">
        <v>1353</v>
      </c>
      <c r="C593" s="10" t="s">
        <v>10</v>
      </c>
      <c r="D593" s="12" t="s">
        <v>1472</v>
      </c>
      <c r="E593" s="10">
        <v>2175</v>
      </c>
      <c r="F593" s="10" t="s">
        <v>1469</v>
      </c>
      <c r="G593" s="10" t="s">
        <v>1470</v>
      </c>
      <c r="H593" s="10" t="s">
        <v>1470</v>
      </c>
      <c r="I593" s="10" t="s">
        <v>11</v>
      </c>
      <c r="J593" s="26">
        <v>273.21075999999999</v>
      </c>
      <c r="K593" s="21"/>
    </row>
    <row r="594" spans="1:11" ht="96">
      <c r="A594" s="10">
        <v>7954</v>
      </c>
      <c r="B594" s="11" t="s">
        <v>1081</v>
      </c>
      <c r="C594" s="10" t="s">
        <v>511</v>
      </c>
      <c r="D594" s="12" t="s">
        <v>11</v>
      </c>
      <c r="E594" s="12" t="s">
        <v>11</v>
      </c>
      <c r="F594" s="10" t="s">
        <v>226</v>
      </c>
      <c r="G594" s="10" t="s">
        <v>403</v>
      </c>
      <c r="H594" s="10" t="s">
        <v>403</v>
      </c>
      <c r="I594" s="10" t="s">
        <v>11</v>
      </c>
      <c r="J594" s="13">
        <v>37.1</v>
      </c>
      <c r="K594" s="21" t="s">
        <v>1020</v>
      </c>
    </row>
    <row r="595" spans="1:11" ht="96">
      <c r="A595" s="10">
        <v>7955</v>
      </c>
      <c r="B595" s="11" t="s">
        <v>1082</v>
      </c>
      <c r="C595" s="10" t="s">
        <v>1053</v>
      </c>
      <c r="D595" s="12" t="s">
        <v>11</v>
      </c>
      <c r="E595" s="12" t="s">
        <v>11</v>
      </c>
      <c r="F595" s="10" t="s">
        <v>226</v>
      </c>
      <c r="G595" s="10" t="s">
        <v>403</v>
      </c>
      <c r="H595" s="10" t="s">
        <v>403</v>
      </c>
      <c r="I595" s="10" t="s">
        <v>11</v>
      </c>
      <c r="J595" s="13">
        <v>32.86</v>
      </c>
      <c r="K595" s="21" t="s">
        <v>1020</v>
      </c>
    </row>
    <row r="596" spans="1:11" ht="96">
      <c r="A596" s="10">
        <v>7956</v>
      </c>
      <c r="B596" s="11" t="s">
        <v>1083</v>
      </c>
      <c r="C596" s="10" t="s">
        <v>1054</v>
      </c>
      <c r="D596" s="12" t="s">
        <v>11</v>
      </c>
      <c r="E596" s="12" t="s">
        <v>11</v>
      </c>
      <c r="F596" s="10" t="s">
        <v>226</v>
      </c>
      <c r="G596" s="10" t="s">
        <v>403</v>
      </c>
      <c r="H596" s="10" t="s">
        <v>403</v>
      </c>
      <c r="I596" s="10" t="s">
        <v>11</v>
      </c>
      <c r="J596" s="13">
        <v>33.92</v>
      </c>
      <c r="K596" s="21" t="s">
        <v>1020</v>
      </c>
    </row>
    <row r="597" spans="1:11" ht="96">
      <c r="A597" s="10">
        <v>7957</v>
      </c>
      <c r="B597" s="11" t="s">
        <v>1067</v>
      </c>
      <c r="C597" s="10" t="s">
        <v>102</v>
      </c>
      <c r="D597" s="12" t="s">
        <v>11</v>
      </c>
      <c r="E597" s="12" t="s">
        <v>11</v>
      </c>
      <c r="F597" s="10" t="s">
        <v>1492</v>
      </c>
      <c r="G597" s="10" t="s">
        <v>226</v>
      </c>
      <c r="H597" s="10" t="s">
        <v>226</v>
      </c>
      <c r="I597" s="10" t="s">
        <v>11</v>
      </c>
      <c r="J597" s="13">
        <v>66.037999999999997</v>
      </c>
      <c r="K597" s="21" t="s">
        <v>1020</v>
      </c>
    </row>
    <row r="598" spans="1:11" ht="96">
      <c r="A598" s="10">
        <v>7958</v>
      </c>
      <c r="B598" s="11" t="s">
        <v>1068</v>
      </c>
      <c r="C598" s="10" t="s">
        <v>102</v>
      </c>
      <c r="D598" s="12" t="s">
        <v>11</v>
      </c>
      <c r="E598" s="10" t="s">
        <v>11</v>
      </c>
      <c r="F598" s="10" t="s">
        <v>1492</v>
      </c>
      <c r="G598" s="10" t="s">
        <v>226</v>
      </c>
      <c r="H598" s="10" t="s">
        <v>226</v>
      </c>
      <c r="I598" s="10" t="s">
        <v>11</v>
      </c>
      <c r="J598" s="13">
        <v>66.037999999999997</v>
      </c>
      <c r="K598" s="21" t="s">
        <v>1020</v>
      </c>
    </row>
    <row r="599" spans="1:11" ht="96">
      <c r="A599" s="10">
        <v>7959</v>
      </c>
      <c r="B599" s="11" t="s">
        <v>1069</v>
      </c>
      <c r="C599" s="10" t="s">
        <v>102</v>
      </c>
      <c r="D599" s="12" t="s">
        <v>11</v>
      </c>
      <c r="E599" s="12" t="s">
        <v>11</v>
      </c>
      <c r="F599" s="10" t="s">
        <v>1492</v>
      </c>
      <c r="G599" s="10" t="s">
        <v>226</v>
      </c>
      <c r="H599" s="10" t="s">
        <v>226</v>
      </c>
      <c r="I599" s="10" t="s">
        <v>11</v>
      </c>
      <c r="J599" s="13">
        <v>66.037999999999997</v>
      </c>
      <c r="K599" s="21" t="s">
        <v>1020</v>
      </c>
    </row>
    <row r="600" spans="1:11" ht="96">
      <c r="A600" s="10">
        <v>7960</v>
      </c>
      <c r="B600" s="11" t="s">
        <v>1070</v>
      </c>
      <c r="C600" s="10" t="s">
        <v>511</v>
      </c>
      <c r="D600" s="12" t="s">
        <v>11</v>
      </c>
      <c r="E600" s="10" t="s">
        <v>11</v>
      </c>
      <c r="F600" s="10" t="s">
        <v>1493</v>
      </c>
      <c r="G600" s="10" t="s">
        <v>226</v>
      </c>
      <c r="H600" s="10" t="s">
        <v>226</v>
      </c>
      <c r="I600" s="10" t="s">
        <v>11</v>
      </c>
      <c r="J600" s="13">
        <v>72.35560000000001</v>
      </c>
      <c r="K600" s="21" t="s">
        <v>1020</v>
      </c>
    </row>
    <row r="601" spans="1:11" ht="96">
      <c r="A601" s="10">
        <v>7961</v>
      </c>
      <c r="B601" s="11" t="s">
        <v>1071</v>
      </c>
      <c r="C601" s="10" t="s">
        <v>511</v>
      </c>
      <c r="D601" s="12" t="s">
        <v>11</v>
      </c>
      <c r="E601" s="12" t="s">
        <v>11</v>
      </c>
      <c r="F601" s="10" t="s">
        <v>1493</v>
      </c>
      <c r="G601" s="10" t="s">
        <v>226</v>
      </c>
      <c r="H601" s="10" t="s">
        <v>226</v>
      </c>
      <c r="I601" s="10" t="s">
        <v>11</v>
      </c>
      <c r="J601" s="13">
        <v>72.35560000000001</v>
      </c>
      <c r="K601" s="21" t="s">
        <v>1020</v>
      </c>
    </row>
    <row r="602" spans="1:11" ht="96">
      <c r="A602" s="10">
        <v>7962</v>
      </c>
      <c r="B602" s="11" t="s">
        <v>1072</v>
      </c>
      <c r="C602" s="10" t="s">
        <v>511</v>
      </c>
      <c r="D602" s="12" t="s">
        <v>11</v>
      </c>
      <c r="E602" s="10" t="s">
        <v>11</v>
      </c>
      <c r="F602" s="10" t="s">
        <v>1493</v>
      </c>
      <c r="G602" s="10" t="s">
        <v>226</v>
      </c>
      <c r="H602" s="10" t="s">
        <v>226</v>
      </c>
      <c r="I602" s="10" t="s">
        <v>11</v>
      </c>
      <c r="J602" s="13">
        <v>72.35560000000001</v>
      </c>
      <c r="K602" s="21" t="s">
        <v>1020</v>
      </c>
    </row>
    <row r="603" spans="1:11" ht="96">
      <c r="A603" s="10">
        <v>7963</v>
      </c>
      <c r="B603" s="11" t="s">
        <v>1073</v>
      </c>
      <c r="C603" s="10" t="s">
        <v>102</v>
      </c>
      <c r="D603" s="12" t="s">
        <v>11</v>
      </c>
      <c r="E603" s="12" t="s">
        <v>11</v>
      </c>
      <c r="F603" s="10" t="s">
        <v>1494</v>
      </c>
      <c r="G603" s="10" t="s">
        <v>415</v>
      </c>
      <c r="H603" s="10" t="s">
        <v>415</v>
      </c>
      <c r="I603" s="10" t="s">
        <v>11</v>
      </c>
      <c r="J603" s="13">
        <v>62.762600000000006</v>
      </c>
      <c r="K603" s="21" t="s">
        <v>1020</v>
      </c>
    </row>
    <row r="604" spans="1:11" ht="96">
      <c r="A604" s="10">
        <v>7964</v>
      </c>
      <c r="B604" s="11" t="s">
        <v>1074</v>
      </c>
      <c r="C604" s="10" t="s">
        <v>102</v>
      </c>
      <c r="D604" s="12" t="s">
        <v>11</v>
      </c>
      <c r="E604" s="10" t="s">
        <v>11</v>
      </c>
      <c r="F604" s="10" t="s">
        <v>1494</v>
      </c>
      <c r="G604" s="10" t="s">
        <v>415</v>
      </c>
      <c r="H604" s="10" t="s">
        <v>415</v>
      </c>
      <c r="I604" s="10" t="s">
        <v>11</v>
      </c>
      <c r="J604" s="13">
        <v>62.762600000000006</v>
      </c>
      <c r="K604" s="21" t="s">
        <v>1020</v>
      </c>
    </row>
    <row r="605" spans="1:11" ht="96">
      <c r="A605" s="10">
        <v>7965</v>
      </c>
      <c r="B605" s="11" t="s">
        <v>1075</v>
      </c>
      <c r="C605" s="10" t="s">
        <v>102</v>
      </c>
      <c r="D605" s="12" t="s">
        <v>11</v>
      </c>
      <c r="E605" s="12" t="s">
        <v>11</v>
      </c>
      <c r="F605" s="10" t="s">
        <v>1494</v>
      </c>
      <c r="G605" s="10" t="s">
        <v>415</v>
      </c>
      <c r="H605" s="10" t="s">
        <v>415</v>
      </c>
      <c r="I605" s="10" t="s">
        <v>11</v>
      </c>
      <c r="J605" s="13">
        <v>62.762600000000006</v>
      </c>
      <c r="K605" s="21" t="s">
        <v>1020</v>
      </c>
    </row>
    <row r="606" spans="1:11" ht="96">
      <c r="A606" s="10">
        <v>7966</v>
      </c>
      <c r="B606" s="11" t="s">
        <v>1076</v>
      </c>
      <c r="C606" s="10" t="s">
        <v>511</v>
      </c>
      <c r="D606" s="12" t="s">
        <v>11</v>
      </c>
      <c r="E606" s="10" t="s">
        <v>11</v>
      </c>
      <c r="F606" s="10" t="s">
        <v>1495</v>
      </c>
      <c r="G606" s="10" t="s">
        <v>415</v>
      </c>
      <c r="H606" s="10" t="s">
        <v>415</v>
      </c>
      <c r="I606" s="10" t="s">
        <v>11</v>
      </c>
      <c r="J606" s="13">
        <v>60.95</v>
      </c>
      <c r="K606" s="21" t="s">
        <v>1020</v>
      </c>
    </row>
    <row r="607" spans="1:11" ht="96">
      <c r="A607" s="10">
        <v>7967</v>
      </c>
      <c r="B607" s="11" t="s">
        <v>1077</v>
      </c>
      <c r="C607" s="10" t="s">
        <v>511</v>
      </c>
      <c r="D607" s="12" t="s">
        <v>11</v>
      </c>
      <c r="E607" s="12" t="s">
        <v>11</v>
      </c>
      <c r="F607" s="10" t="s">
        <v>1495</v>
      </c>
      <c r="G607" s="10" t="s">
        <v>415</v>
      </c>
      <c r="H607" s="10" t="s">
        <v>415</v>
      </c>
      <c r="I607" s="10" t="s">
        <v>11</v>
      </c>
      <c r="J607" s="13">
        <v>60.95</v>
      </c>
      <c r="K607" s="21" t="s">
        <v>1020</v>
      </c>
    </row>
    <row r="608" spans="1:11" ht="96">
      <c r="A608" s="10">
        <v>7968</v>
      </c>
      <c r="B608" s="11" t="s">
        <v>1078</v>
      </c>
      <c r="C608" s="10" t="s">
        <v>511</v>
      </c>
      <c r="D608" s="12" t="s">
        <v>11</v>
      </c>
      <c r="E608" s="10" t="s">
        <v>11</v>
      </c>
      <c r="F608" s="10" t="s">
        <v>1495</v>
      </c>
      <c r="G608" s="10" t="s">
        <v>415</v>
      </c>
      <c r="H608" s="10" t="s">
        <v>415</v>
      </c>
      <c r="I608" s="10" t="s">
        <v>11</v>
      </c>
      <c r="J608" s="13">
        <v>60.95</v>
      </c>
      <c r="K608" s="21" t="s">
        <v>1020</v>
      </c>
    </row>
    <row r="609" spans="1:11" ht="31">
      <c r="A609" s="10">
        <v>7969</v>
      </c>
      <c r="B609" s="11" t="s">
        <v>1207</v>
      </c>
      <c r="C609" s="10" t="s">
        <v>10</v>
      </c>
      <c r="D609" s="10" t="s">
        <v>770</v>
      </c>
      <c r="E609" s="10">
        <v>900</v>
      </c>
      <c r="F609" s="10" t="s">
        <v>1432</v>
      </c>
      <c r="G609" s="10" t="s">
        <v>288</v>
      </c>
      <c r="H609" s="10" t="s">
        <v>288</v>
      </c>
      <c r="I609" s="10" t="s">
        <v>91</v>
      </c>
      <c r="J609" s="26">
        <v>183.85805999999999</v>
      </c>
      <c r="K609" s="21"/>
    </row>
    <row r="610" spans="1:11" ht="31">
      <c r="A610" s="10">
        <v>7970</v>
      </c>
      <c r="B610" s="11" t="s">
        <v>1208</v>
      </c>
      <c r="C610" s="10" t="s">
        <v>10</v>
      </c>
      <c r="D610" s="10" t="s">
        <v>770</v>
      </c>
      <c r="E610" s="10">
        <v>900</v>
      </c>
      <c r="F610" s="10" t="s">
        <v>1432</v>
      </c>
      <c r="G610" s="10" t="s">
        <v>288</v>
      </c>
      <c r="H610" s="10" t="s">
        <v>288</v>
      </c>
      <c r="I610" s="10" t="s">
        <v>91</v>
      </c>
      <c r="J610" s="26">
        <v>220.62945999999999</v>
      </c>
      <c r="K610" s="21"/>
    </row>
    <row r="611" spans="1:11" ht="31">
      <c r="A611" s="10">
        <v>7971</v>
      </c>
      <c r="B611" s="11" t="s">
        <v>1209</v>
      </c>
      <c r="C611" s="10" t="s">
        <v>10</v>
      </c>
      <c r="D611" s="10" t="s">
        <v>770</v>
      </c>
      <c r="E611" s="10">
        <v>900</v>
      </c>
      <c r="F611" s="10" t="s">
        <v>1432</v>
      </c>
      <c r="G611" s="10" t="s">
        <v>288</v>
      </c>
      <c r="H611" s="10" t="s">
        <v>288</v>
      </c>
      <c r="I611" s="10" t="s">
        <v>91</v>
      </c>
      <c r="J611" s="26">
        <v>183.85805999999999</v>
      </c>
      <c r="K611" s="21"/>
    </row>
    <row r="612" spans="1:11" ht="31">
      <c r="A612" s="10">
        <v>7972</v>
      </c>
      <c r="B612" s="11" t="s">
        <v>1210</v>
      </c>
      <c r="C612" s="10" t="s">
        <v>10</v>
      </c>
      <c r="D612" s="10" t="s">
        <v>770</v>
      </c>
      <c r="E612" s="10">
        <v>900</v>
      </c>
      <c r="F612" s="10" t="s">
        <v>1432</v>
      </c>
      <c r="G612" s="10" t="s">
        <v>288</v>
      </c>
      <c r="H612" s="10" t="s">
        <v>288</v>
      </c>
      <c r="I612" s="10" t="s">
        <v>91</v>
      </c>
      <c r="J612" s="26">
        <v>183.85805999999999</v>
      </c>
      <c r="K612" s="21"/>
    </row>
    <row r="613" spans="1:11" ht="31">
      <c r="A613" s="10">
        <v>7973</v>
      </c>
      <c r="B613" s="11" t="s">
        <v>1247</v>
      </c>
      <c r="C613" s="10" t="s">
        <v>10</v>
      </c>
      <c r="D613" s="10" t="s">
        <v>134</v>
      </c>
      <c r="E613" s="10">
        <v>225</v>
      </c>
      <c r="F613" s="10" t="s">
        <v>1449</v>
      </c>
      <c r="G613" s="10" t="s">
        <v>1448</v>
      </c>
      <c r="H613" s="10" t="s">
        <v>1447</v>
      </c>
      <c r="I613" s="10" t="s">
        <v>11</v>
      </c>
      <c r="J613" s="26">
        <v>173.45203999999998</v>
      </c>
      <c r="K613" s="21"/>
    </row>
    <row r="614" spans="1:11" ht="31">
      <c r="A614" s="10">
        <v>7974</v>
      </c>
      <c r="B614" s="11" t="s">
        <v>1248</v>
      </c>
      <c r="C614" s="10" t="s">
        <v>10</v>
      </c>
      <c r="D614" s="10" t="s">
        <v>134</v>
      </c>
      <c r="E614" s="10">
        <v>225</v>
      </c>
      <c r="F614" s="10" t="s">
        <v>1449</v>
      </c>
      <c r="G614" s="10" t="s">
        <v>1448</v>
      </c>
      <c r="H614" s="10" t="s">
        <v>1447</v>
      </c>
      <c r="I614" s="10" t="s">
        <v>11</v>
      </c>
      <c r="J614" s="26">
        <v>173.45203999999998</v>
      </c>
      <c r="K614" s="21"/>
    </row>
    <row r="615" spans="1:11" ht="31">
      <c r="A615" s="10">
        <v>7975</v>
      </c>
      <c r="B615" s="11" t="s">
        <v>1249</v>
      </c>
      <c r="C615" s="10" t="s">
        <v>10</v>
      </c>
      <c r="D615" s="10" t="s">
        <v>134</v>
      </c>
      <c r="E615" s="10">
        <v>225</v>
      </c>
      <c r="F615" s="10" t="s">
        <v>1449</v>
      </c>
      <c r="G615" s="10" t="s">
        <v>1448</v>
      </c>
      <c r="H615" s="10" t="s">
        <v>1447</v>
      </c>
      <c r="I615" s="10" t="s">
        <v>11</v>
      </c>
      <c r="J615" s="26">
        <v>208.14160000000001</v>
      </c>
      <c r="K615" s="21"/>
    </row>
    <row r="616" spans="1:11" ht="31">
      <c r="A616" s="10">
        <v>7977</v>
      </c>
      <c r="B616" s="11" t="s">
        <v>1251</v>
      </c>
      <c r="C616" s="10" t="s">
        <v>10</v>
      </c>
      <c r="D616" s="10" t="s">
        <v>784</v>
      </c>
      <c r="E616" s="10">
        <v>300</v>
      </c>
      <c r="F616" s="10" t="s">
        <v>1449</v>
      </c>
      <c r="G616" s="10" t="s">
        <v>1450</v>
      </c>
      <c r="H616" s="10" t="s">
        <v>1447</v>
      </c>
      <c r="I616" s="10" t="s">
        <v>11</v>
      </c>
      <c r="J616" s="26">
        <v>193.81040000000002</v>
      </c>
      <c r="K616" s="21"/>
    </row>
    <row r="617" spans="1:11" ht="31">
      <c r="A617" s="10">
        <v>7978</v>
      </c>
      <c r="B617" s="11" t="s">
        <v>1252</v>
      </c>
      <c r="C617" s="10" t="s">
        <v>10</v>
      </c>
      <c r="D617" s="10" t="s">
        <v>784</v>
      </c>
      <c r="E617" s="10">
        <v>300</v>
      </c>
      <c r="F617" s="10" t="s">
        <v>1449</v>
      </c>
      <c r="G617" s="10" t="s">
        <v>1450</v>
      </c>
      <c r="H617" s="10" t="s">
        <v>1447</v>
      </c>
      <c r="I617" s="10" t="s">
        <v>11</v>
      </c>
      <c r="J617" s="26">
        <v>232.57247999999998</v>
      </c>
      <c r="K617" s="21"/>
    </row>
    <row r="618" spans="1:11" ht="31">
      <c r="A618" s="10">
        <v>7979</v>
      </c>
      <c r="B618" s="11" t="s">
        <v>1259</v>
      </c>
      <c r="C618" s="10" t="s">
        <v>10</v>
      </c>
      <c r="D618" s="12" t="s">
        <v>768</v>
      </c>
      <c r="E618" s="10">
        <v>375</v>
      </c>
      <c r="F618" s="10" t="s">
        <v>1455</v>
      </c>
      <c r="G618" s="10" t="s">
        <v>270</v>
      </c>
      <c r="H618" s="10" t="s">
        <v>270</v>
      </c>
      <c r="I618" s="10" t="s">
        <v>91</v>
      </c>
      <c r="J618" s="13">
        <v>177.15780000000001</v>
      </c>
      <c r="K618" s="21"/>
    </row>
    <row r="619" spans="1:11" ht="31">
      <c r="A619" s="10">
        <v>7980</v>
      </c>
      <c r="B619" s="11" t="s">
        <v>1260</v>
      </c>
      <c r="C619" s="10" t="s">
        <v>10</v>
      </c>
      <c r="D619" s="12" t="s">
        <v>768</v>
      </c>
      <c r="E619" s="10">
        <v>375</v>
      </c>
      <c r="F619" s="10" t="s">
        <v>1455</v>
      </c>
      <c r="G619" s="10" t="s">
        <v>270</v>
      </c>
      <c r="H619" s="10" t="s">
        <v>270</v>
      </c>
      <c r="I619" s="10" t="s">
        <v>91</v>
      </c>
      <c r="J619" s="13">
        <v>177.15780000000001</v>
      </c>
      <c r="K619" s="21"/>
    </row>
    <row r="620" spans="1:11" ht="31">
      <c r="A620" s="10">
        <v>7982</v>
      </c>
      <c r="B620" s="11" t="s">
        <v>1262</v>
      </c>
      <c r="C620" s="10" t="s">
        <v>10</v>
      </c>
      <c r="D620" s="10" t="s">
        <v>770</v>
      </c>
      <c r="E620" s="10">
        <v>900</v>
      </c>
      <c r="F620" s="10" t="s">
        <v>1455</v>
      </c>
      <c r="G620" s="10" t="s">
        <v>95</v>
      </c>
      <c r="H620" s="10" t="s">
        <v>95</v>
      </c>
      <c r="I620" s="10" t="s">
        <v>91</v>
      </c>
      <c r="J620" s="26">
        <v>210.08034000000001</v>
      </c>
      <c r="K620" s="21"/>
    </row>
    <row r="621" spans="1:11" ht="31">
      <c r="A621" s="10">
        <v>7983</v>
      </c>
      <c r="B621" s="11" t="s">
        <v>1263</v>
      </c>
      <c r="C621" s="10" t="s">
        <v>10</v>
      </c>
      <c r="D621" s="10" t="s">
        <v>770</v>
      </c>
      <c r="E621" s="10">
        <v>900</v>
      </c>
      <c r="F621" s="10" t="s">
        <v>1455</v>
      </c>
      <c r="G621" s="10" t="s">
        <v>95</v>
      </c>
      <c r="H621" s="10" t="s">
        <v>95</v>
      </c>
      <c r="I621" s="10" t="s">
        <v>91</v>
      </c>
      <c r="J621" s="26">
        <v>252.09556000000001</v>
      </c>
      <c r="K621" s="21"/>
    </row>
    <row r="622" spans="1:11" ht="31">
      <c r="A622" s="10">
        <v>7984</v>
      </c>
      <c r="B622" s="11" t="s">
        <v>1264</v>
      </c>
      <c r="C622" s="10" t="s">
        <v>10</v>
      </c>
      <c r="D622" s="10" t="s">
        <v>770</v>
      </c>
      <c r="E622" s="10">
        <v>900</v>
      </c>
      <c r="F622" s="10" t="s">
        <v>1455</v>
      </c>
      <c r="G622" s="10" t="s">
        <v>95</v>
      </c>
      <c r="H622" s="10" t="s">
        <v>95</v>
      </c>
      <c r="I622" s="10" t="s">
        <v>91</v>
      </c>
      <c r="J622" s="26">
        <v>210.08034000000001</v>
      </c>
      <c r="K622" s="21"/>
    </row>
    <row r="623" spans="1:11" ht="31">
      <c r="A623" s="10">
        <v>7985</v>
      </c>
      <c r="B623" s="11" t="s">
        <v>1265</v>
      </c>
      <c r="C623" s="10" t="s">
        <v>10</v>
      </c>
      <c r="D623" s="10" t="s">
        <v>770</v>
      </c>
      <c r="E623" s="10">
        <v>900</v>
      </c>
      <c r="F623" s="10" t="s">
        <v>1455</v>
      </c>
      <c r="G623" s="10" t="s">
        <v>95</v>
      </c>
      <c r="H623" s="10" t="s">
        <v>95</v>
      </c>
      <c r="I623" s="10" t="s">
        <v>91</v>
      </c>
      <c r="J623" s="26">
        <v>210.08034000000001</v>
      </c>
      <c r="K623" s="21"/>
    </row>
    <row r="624" spans="1:11" ht="31">
      <c r="A624" s="10">
        <v>7986</v>
      </c>
      <c r="B624" s="11" t="s">
        <v>1171</v>
      </c>
      <c r="C624" s="10" t="s">
        <v>10</v>
      </c>
      <c r="D624" s="12" t="s">
        <v>784</v>
      </c>
      <c r="E624" s="10">
        <v>300</v>
      </c>
      <c r="F624" s="10" t="s">
        <v>1418</v>
      </c>
      <c r="G624" s="10" t="s">
        <v>280</v>
      </c>
      <c r="H624" s="10" t="s">
        <v>280</v>
      </c>
      <c r="I624" s="10" t="s">
        <v>91</v>
      </c>
      <c r="J624" s="26">
        <v>132.82436000000001</v>
      </c>
      <c r="K624" s="21"/>
    </row>
    <row r="625" spans="1:11" ht="31">
      <c r="A625" s="10">
        <v>7988</v>
      </c>
      <c r="B625" s="11" t="s">
        <v>1173</v>
      </c>
      <c r="C625" s="10" t="s">
        <v>10</v>
      </c>
      <c r="D625" s="12" t="s">
        <v>784</v>
      </c>
      <c r="E625" s="10">
        <v>300</v>
      </c>
      <c r="F625" s="10" t="s">
        <v>1418</v>
      </c>
      <c r="G625" s="10" t="s">
        <v>280</v>
      </c>
      <c r="H625" s="10" t="s">
        <v>280</v>
      </c>
      <c r="I625" s="10" t="s">
        <v>91</v>
      </c>
      <c r="J625" s="26">
        <v>159.38923199999999</v>
      </c>
      <c r="K625" s="21"/>
    </row>
    <row r="626" spans="1:11" ht="31">
      <c r="A626" s="10">
        <v>7989</v>
      </c>
      <c r="B626" s="11" t="s">
        <v>1338</v>
      </c>
      <c r="C626" s="10" t="s">
        <v>182</v>
      </c>
      <c r="D626" s="12" t="s">
        <v>11</v>
      </c>
      <c r="E626" s="12" t="s">
        <v>11</v>
      </c>
      <c r="F626" s="10" t="s">
        <v>1486</v>
      </c>
      <c r="G626" s="10" t="s">
        <v>94</v>
      </c>
      <c r="H626" s="10" t="s">
        <v>94</v>
      </c>
      <c r="I626" s="10" t="s">
        <v>91</v>
      </c>
      <c r="J626" s="26">
        <v>211.28344000000001</v>
      </c>
      <c r="K626" s="21"/>
    </row>
    <row r="627" spans="1:11" ht="31">
      <c r="A627" s="10">
        <v>7990</v>
      </c>
      <c r="B627" s="11" t="s">
        <v>1339</v>
      </c>
      <c r="C627" s="10" t="s">
        <v>182</v>
      </c>
      <c r="D627" s="12" t="s">
        <v>11</v>
      </c>
      <c r="E627" s="12" t="s">
        <v>11</v>
      </c>
      <c r="F627" s="10" t="s">
        <v>1486</v>
      </c>
      <c r="G627" s="10" t="s">
        <v>94</v>
      </c>
      <c r="H627" s="10" t="s">
        <v>94</v>
      </c>
      <c r="I627" s="10" t="s">
        <v>91</v>
      </c>
      <c r="J627" s="26">
        <v>211.28344000000001</v>
      </c>
      <c r="K627" s="21"/>
    </row>
    <row r="628" spans="1:11" ht="31">
      <c r="A628" s="10">
        <v>7991</v>
      </c>
      <c r="B628" s="11" t="s">
        <v>1340</v>
      </c>
      <c r="C628" s="10" t="s">
        <v>182</v>
      </c>
      <c r="D628" s="12" t="s">
        <v>11</v>
      </c>
      <c r="E628" s="12" t="s">
        <v>11</v>
      </c>
      <c r="F628" s="10" t="s">
        <v>1486</v>
      </c>
      <c r="G628" s="10" t="s">
        <v>94</v>
      </c>
      <c r="H628" s="10" t="s">
        <v>94</v>
      </c>
      <c r="I628" s="10" t="s">
        <v>91</v>
      </c>
      <c r="J628" s="26">
        <v>211.28344000000001</v>
      </c>
      <c r="K628" s="21"/>
    </row>
    <row r="629" spans="1:11" ht="31">
      <c r="A629" s="10">
        <v>7992</v>
      </c>
      <c r="B629" s="11" t="s">
        <v>1341</v>
      </c>
      <c r="C629" s="10" t="s">
        <v>182</v>
      </c>
      <c r="D629" s="12" t="s">
        <v>11</v>
      </c>
      <c r="E629" s="12" t="s">
        <v>11</v>
      </c>
      <c r="F629" s="10" t="s">
        <v>1486</v>
      </c>
      <c r="G629" s="10" t="s">
        <v>94</v>
      </c>
      <c r="H629" s="10" t="s">
        <v>94</v>
      </c>
      <c r="I629" s="10" t="s">
        <v>91</v>
      </c>
      <c r="J629" s="26">
        <v>211.28344000000001</v>
      </c>
      <c r="K629" s="21"/>
    </row>
    <row r="630" spans="1:11" ht="31">
      <c r="A630" s="10">
        <v>7993</v>
      </c>
      <c r="B630" s="11" t="s">
        <v>1342</v>
      </c>
      <c r="C630" s="10" t="s">
        <v>182</v>
      </c>
      <c r="D630" s="12" t="s">
        <v>11</v>
      </c>
      <c r="E630" s="12" t="s">
        <v>11</v>
      </c>
      <c r="F630" s="10" t="s">
        <v>1486</v>
      </c>
      <c r="G630" s="10" t="s">
        <v>94</v>
      </c>
      <c r="H630" s="10" t="s">
        <v>94</v>
      </c>
      <c r="I630" s="10" t="s">
        <v>91</v>
      </c>
      <c r="J630" s="26">
        <v>253.54012800000004</v>
      </c>
      <c r="K630" s="21"/>
    </row>
    <row r="631" spans="1:11" ht="31">
      <c r="A631" s="10">
        <v>7994</v>
      </c>
      <c r="B631" s="11" t="s">
        <v>1343</v>
      </c>
      <c r="C631" s="10" t="s">
        <v>10</v>
      </c>
      <c r="D631" s="10" t="s">
        <v>1489</v>
      </c>
      <c r="E631" s="10">
        <v>1875</v>
      </c>
      <c r="F631" s="10" t="s">
        <v>1487</v>
      </c>
      <c r="G631" s="10" t="s">
        <v>1488</v>
      </c>
      <c r="H631" s="10" t="s">
        <v>1488</v>
      </c>
      <c r="I631" s="10" t="s">
        <v>11</v>
      </c>
      <c r="J631" s="26">
        <v>167.58600000000001</v>
      </c>
      <c r="K631" s="21"/>
    </row>
    <row r="632" spans="1:11" ht="31">
      <c r="A632" s="10">
        <v>7995</v>
      </c>
      <c r="B632" s="11" t="s">
        <v>1344</v>
      </c>
      <c r="C632" s="10" t="s">
        <v>10</v>
      </c>
      <c r="D632" s="10" t="s">
        <v>1489</v>
      </c>
      <c r="E632" s="10">
        <v>1875</v>
      </c>
      <c r="F632" s="10" t="s">
        <v>1487</v>
      </c>
      <c r="G632" s="10" t="s">
        <v>1488</v>
      </c>
      <c r="H632" s="10" t="s">
        <v>1488</v>
      </c>
      <c r="I632" s="10" t="s">
        <v>11</v>
      </c>
      <c r="J632" s="26">
        <v>167.58600000000001</v>
      </c>
      <c r="K632" s="21"/>
    </row>
    <row r="633" spans="1:11" ht="31">
      <c r="A633" s="10">
        <v>7996</v>
      </c>
      <c r="B633" s="11" t="s">
        <v>1345</v>
      </c>
      <c r="C633" s="10" t="s">
        <v>10</v>
      </c>
      <c r="D633" s="10" t="s">
        <v>1489</v>
      </c>
      <c r="E633" s="10">
        <v>1875</v>
      </c>
      <c r="F633" s="10" t="s">
        <v>1487</v>
      </c>
      <c r="G633" s="10" t="s">
        <v>1488</v>
      </c>
      <c r="H633" s="10" t="s">
        <v>1488</v>
      </c>
      <c r="I633" s="10" t="s">
        <v>11</v>
      </c>
      <c r="J633" s="26">
        <v>201.10320000000002</v>
      </c>
      <c r="K633" s="21"/>
    </row>
    <row r="634" spans="1:11" ht="31">
      <c r="A634" s="10">
        <v>7998</v>
      </c>
      <c r="B634" s="11" t="s">
        <v>1267</v>
      </c>
      <c r="C634" s="10" t="s">
        <v>10</v>
      </c>
      <c r="D634" s="10" t="s">
        <v>768</v>
      </c>
      <c r="E634" s="10">
        <v>375</v>
      </c>
      <c r="F634" s="10" t="s">
        <v>1456</v>
      </c>
      <c r="G634" s="10" t="s">
        <v>1548</v>
      </c>
      <c r="H634" s="10" t="s">
        <v>1457</v>
      </c>
      <c r="I634" s="10" t="s">
        <v>11</v>
      </c>
      <c r="J634" s="26">
        <v>230.48004</v>
      </c>
      <c r="K634" s="21"/>
    </row>
    <row r="635" spans="1:11" ht="31">
      <c r="A635" s="10">
        <v>7999</v>
      </c>
      <c r="B635" s="11" t="s">
        <v>1268</v>
      </c>
      <c r="C635" s="10" t="s">
        <v>10</v>
      </c>
      <c r="D635" s="10" t="s">
        <v>768</v>
      </c>
      <c r="E635" s="10">
        <v>375</v>
      </c>
      <c r="F635" s="10" t="s">
        <v>1456</v>
      </c>
      <c r="G635" s="10" t="s">
        <v>1548</v>
      </c>
      <c r="H635" s="10" t="s">
        <v>1457</v>
      </c>
      <c r="I635" s="10" t="s">
        <v>11</v>
      </c>
      <c r="J635" s="26">
        <v>276.57604800000001</v>
      </c>
      <c r="K635" s="21"/>
    </row>
    <row r="636" spans="1:11" ht="31">
      <c r="A636" s="10">
        <v>8000</v>
      </c>
      <c r="B636" s="11" t="s">
        <v>1269</v>
      </c>
      <c r="C636" s="10" t="s">
        <v>10</v>
      </c>
      <c r="D636" s="10" t="s">
        <v>768</v>
      </c>
      <c r="E636" s="10">
        <v>375</v>
      </c>
      <c r="F636" s="10" t="s">
        <v>1456</v>
      </c>
      <c r="G636" s="10" t="s">
        <v>1548</v>
      </c>
      <c r="H636" s="10" t="s">
        <v>1457</v>
      </c>
      <c r="I636" s="10" t="s">
        <v>11</v>
      </c>
      <c r="J636" s="26">
        <v>230.48004</v>
      </c>
      <c r="K636" s="21"/>
    </row>
    <row r="637" spans="1:11" ht="31">
      <c r="A637" s="10">
        <v>8001</v>
      </c>
      <c r="B637" s="11" t="s">
        <v>1270</v>
      </c>
      <c r="C637" s="10" t="s">
        <v>10</v>
      </c>
      <c r="D637" s="10" t="s">
        <v>768</v>
      </c>
      <c r="E637" s="10">
        <v>375</v>
      </c>
      <c r="F637" s="10" t="s">
        <v>1456</v>
      </c>
      <c r="G637" s="10" t="s">
        <v>1548</v>
      </c>
      <c r="H637" s="10" t="s">
        <v>1457</v>
      </c>
      <c r="I637" s="10" t="s">
        <v>11</v>
      </c>
      <c r="J637" s="26">
        <v>230.48004</v>
      </c>
      <c r="K637" s="21"/>
    </row>
    <row r="638" spans="1:11" ht="44">
      <c r="A638" s="10">
        <v>8002</v>
      </c>
      <c r="B638" s="11" t="s">
        <v>1381</v>
      </c>
      <c r="C638" s="10" t="s">
        <v>10</v>
      </c>
      <c r="D638" s="12" t="s">
        <v>770</v>
      </c>
      <c r="E638" s="10">
        <v>1350</v>
      </c>
      <c r="F638" s="10" t="s">
        <v>1497</v>
      </c>
      <c r="G638" s="10" t="s">
        <v>1497</v>
      </c>
      <c r="H638" s="10" t="s">
        <v>1496</v>
      </c>
      <c r="I638" s="10" t="s">
        <v>91</v>
      </c>
      <c r="J638" s="13">
        <v>126.14</v>
      </c>
      <c r="K638" s="21"/>
    </row>
    <row r="639" spans="1:11" ht="44">
      <c r="A639" s="10">
        <v>8003</v>
      </c>
      <c r="B639" s="11" t="s">
        <v>1382</v>
      </c>
      <c r="C639" s="10" t="s">
        <v>10</v>
      </c>
      <c r="D639" s="12" t="s">
        <v>770</v>
      </c>
      <c r="E639" s="10">
        <v>1350</v>
      </c>
      <c r="F639" s="10" t="s">
        <v>1497</v>
      </c>
      <c r="G639" s="10" t="s">
        <v>1497</v>
      </c>
      <c r="H639" s="10" t="s">
        <v>1496</v>
      </c>
      <c r="I639" s="10" t="s">
        <v>91</v>
      </c>
      <c r="J639" s="13">
        <v>126.14</v>
      </c>
      <c r="K639" s="21"/>
    </row>
    <row r="640" spans="1:11" ht="31">
      <c r="A640" s="10">
        <v>8004</v>
      </c>
      <c r="B640" s="11" t="s">
        <v>1290</v>
      </c>
      <c r="C640" s="10" t="s">
        <v>511</v>
      </c>
      <c r="D640" s="12" t="s">
        <v>11</v>
      </c>
      <c r="E640" s="12" t="s">
        <v>11</v>
      </c>
      <c r="F640" s="10" t="s">
        <v>1461</v>
      </c>
      <c r="G640" s="10" t="s">
        <v>1462</v>
      </c>
      <c r="H640" s="10" t="s">
        <v>1463</v>
      </c>
      <c r="I640" s="10" t="s">
        <v>11</v>
      </c>
      <c r="J640" s="26">
        <v>218.22750000000002</v>
      </c>
      <c r="K640" s="21"/>
    </row>
    <row r="641" spans="1:11" ht="31">
      <c r="A641" s="10">
        <v>8005</v>
      </c>
      <c r="B641" s="11" t="s">
        <v>1291</v>
      </c>
      <c r="C641" s="10" t="s">
        <v>511</v>
      </c>
      <c r="D641" s="12" t="s">
        <v>11</v>
      </c>
      <c r="E641" s="12" t="s">
        <v>11</v>
      </c>
      <c r="F641" s="10" t="s">
        <v>1461</v>
      </c>
      <c r="G641" s="10" t="s">
        <v>1462</v>
      </c>
      <c r="H641" s="10" t="s">
        <v>1463</v>
      </c>
      <c r="I641" s="10" t="s">
        <v>11</v>
      </c>
      <c r="J641" s="26">
        <v>218.22750000000002</v>
      </c>
      <c r="K641" s="21"/>
    </row>
    <row r="642" spans="1:11" ht="31">
      <c r="A642" s="10">
        <v>8006</v>
      </c>
      <c r="B642" s="11" t="s">
        <v>1292</v>
      </c>
      <c r="C642" s="10" t="s">
        <v>511</v>
      </c>
      <c r="D642" s="12" t="s">
        <v>11</v>
      </c>
      <c r="E642" s="12" t="s">
        <v>11</v>
      </c>
      <c r="F642" s="10" t="s">
        <v>1461</v>
      </c>
      <c r="G642" s="10" t="s">
        <v>1462</v>
      </c>
      <c r="H642" s="10" t="s">
        <v>1463</v>
      </c>
      <c r="I642" s="10" t="s">
        <v>11</v>
      </c>
      <c r="J642" s="26">
        <v>261.87300000000005</v>
      </c>
      <c r="K642" s="21"/>
    </row>
    <row r="643" spans="1:11" ht="31">
      <c r="A643" s="10">
        <v>8007</v>
      </c>
      <c r="B643" s="11" t="s">
        <v>1293</v>
      </c>
      <c r="C643" s="10" t="s">
        <v>511</v>
      </c>
      <c r="D643" s="12" t="s">
        <v>11</v>
      </c>
      <c r="E643" s="12" t="s">
        <v>11</v>
      </c>
      <c r="F643" s="10" t="s">
        <v>1461</v>
      </c>
      <c r="G643" s="10" t="s">
        <v>1462</v>
      </c>
      <c r="H643" s="10" t="s">
        <v>1463</v>
      </c>
      <c r="I643" s="10" t="s">
        <v>11</v>
      </c>
      <c r="J643" s="26">
        <v>210.36336</v>
      </c>
      <c r="K643" s="21"/>
    </row>
    <row r="644" spans="1:11" ht="31">
      <c r="A644" s="10">
        <v>8008</v>
      </c>
      <c r="B644" s="11" t="s">
        <v>1294</v>
      </c>
      <c r="C644" s="10" t="s">
        <v>511</v>
      </c>
      <c r="D644" s="12" t="s">
        <v>11</v>
      </c>
      <c r="E644" s="12" t="s">
        <v>11</v>
      </c>
      <c r="F644" s="10" t="s">
        <v>1461</v>
      </c>
      <c r="G644" s="10" t="s">
        <v>1462</v>
      </c>
      <c r="H644" s="10" t="s">
        <v>1463</v>
      </c>
      <c r="I644" s="10" t="s">
        <v>11</v>
      </c>
      <c r="J644" s="26">
        <v>210.36336</v>
      </c>
      <c r="K644" s="21"/>
    </row>
    <row r="645" spans="1:11" ht="31">
      <c r="A645" s="10">
        <v>8009</v>
      </c>
      <c r="B645" s="11" t="s">
        <v>1295</v>
      </c>
      <c r="C645" s="10" t="s">
        <v>511</v>
      </c>
      <c r="D645" s="12" t="s">
        <v>11</v>
      </c>
      <c r="E645" s="12" t="s">
        <v>11</v>
      </c>
      <c r="F645" s="10" t="s">
        <v>1461</v>
      </c>
      <c r="G645" s="10" t="s">
        <v>1462</v>
      </c>
      <c r="H645" s="10" t="s">
        <v>1463</v>
      </c>
      <c r="I645" s="10" t="s">
        <v>11</v>
      </c>
      <c r="J645" s="26">
        <v>252.43582000000001</v>
      </c>
      <c r="K645" s="21"/>
    </row>
    <row r="646" spans="1:11" ht="44">
      <c r="A646" s="10">
        <v>8156</v>
      </c>
      <c r="B646" s="11" t="s">
        <v>1564</v>
      </c>
      <c r="C646" s="10" t="s">
        <v>10</v>
      </c>
      <c r="D646" s="12" t="s">
        <v>770</v>
      </c>
      <c r="E646" s="10">
        <v>1350</v>
      </c>
      <c r="F646" s="10" t="s">
        <v>1497</v>
      </c>
      <c r="G646" s="10" t="s">
        <v>1497</v>
      </c>
      <c r="H646" s="10" t="s">
        <v>1496</v>
      </c>
      <c r="I646" s="10" t="s">
        <v>91</v>
      </c>
      <c r="J646" s="13">
        <v>126.14</v>
      </c>
      <c r="K646" s="21"/>
    </row>
    <row r="647" spans="1:11" ht="31">
      <c r="A647" s="10">
        <v>8157</v>
      </c>
      <c r="B647" s="11" t="s">
        <v>1203</v>
      </c>
      <c r="C647" s="10" t="s">
        <v>1377</v>
      </c>
      <c r="D647" s="10" t="s">
        <v>11</v>
      </c>
      <c r="E647" s="10" t="s">
        <v>11</v>
      </c>
      <c r="F647" s="10" t="s">
        <v>1429</v>
      </c>
      <c r="G647" s="10" t="s">
        <v>1428</v>
      </c>
      <c r="H647" s="10" t="s">
        <v>1428</v>
      </c>
      <c r="I647" s="10" t="s">
        <v>91</v>
      </c>
      <c r="J647" s="26">
        <v>932.08450000000005</v>
      </c>
      <c r="K647" s="21"/>
    </row>
    <row r="648" spans="1:11" ht="31">
      <c r="A648" s="10">
        <v>8158</v>
      </c>
      <c r="B648" s="11" t="s">
        <v>1204</v>
      </c>
      <c r="C648" s="10" t="s">
        <v>1377</v>
      </c>
      <c r="D648" s="10" t="s">
        <v>11</v>
      </c>
      <c r="E648" s="10" t="s">
        <v>11</v>
      </c>
      <c r="F648" s="10" t="s">
        <v>1429</v>
      </c>
      <c r="G648" s="10" t="s">
        <v>1428</v>
      </c>
      <c r="H648" s="10" t="s">
        <v>1428</v>
      </c>
      <c r="I648" s="10" t="s">
        <v>91</v>
      </c>
      <c r="J648" s="26">
        <v>1118.5014000000001</v>
      </c>
      <c r="K648" s="21"/>
    </row>
    <row r="649" spans="1:11" ht="31">
      <c r="A649" s="10">
        <v>8159</v>
      </c>
      <c r="B649" s="11" t="s">
        <v>1205</v>
      </c>
      <c r="C649" s="10" t="s">
        <v>1378</v>
      </c>
      <c r="D649" s="10" t="s">
        <v>11</v>
      </c>
      <c r="E649" s="10" t="s">
        <v>11</v>
      </c>
      <c r="F649" s="10" t="s">
        <v>1430</v>
      </c>
      <c r="G649" s="10" t="s">
        <v>1431</v>
      </c>
      <c r="H649" s="10" t="s">
        <v>1431</v>
      </c>
      <c r="I649" s="10" t="s">
        <v>91</v>
      </c>
      <c r="J649" s="26">
        <v>1406.461</v>
      </c>
      <c r="K649" s="21"/>
    </row>
    <row r="650" spans="1:11" ht="31">
      <c r="A650" s="10">
        <v>8160</v>
      </c>
      <c r="B650" s="11" t="s">
        <v>1206</v>
      </c>
      <c r="C650" s="10" t="s">
        <v>1378</v>
      </c>
      <c r="D650" s="10" t="s">
        <v>11</v>
      </c>
      <c r="E650" s="10" t="s">
        <v>11</v>
      </c>
      <c r="F650" s="10" t="s">
        <v>1430</v>
      </c>
      <c r="G650" s="10" t="s">
        <v>1431</v>
      </c>
      <c r="H650" s="10" t="s">
        <v>1431</v>
      </c>
      <c r="I650" s="10" t="s">
        <v>91</v>
      </c>
      <c r="J650" s="26">
        <v>1687.7531999999999</v>
      </c>
      <c r="K650" s="21"/>
    </row>
    <row r="651" spans="1:11" ht="31">
      <c r="A651" s="27">
        <v>8161</v>
      </c>
      <c r="B651" s="28" t="s">
        <v>1354</v>
      </c>
      <c r="C651" s="27" t="s">
        <v>10</v>
      </c>
      <c r="D651" s="27" t="s">
        <v>107</v>
      </c>
      <c r="E651" s="27">
        <v>1350</v>
      </c>
      <c r="F651" s="27" t="s">
        <v>1528</v>
      </c>
      <c r="G651" s="27" t="s">
        <v>1529</v>
      </c>
      <c r="H651" s="27" t="s">
        <v>1529</v>
      </c>
      <c r="I651" s="27" t="s">
        <v>91</v>
      </c>
      <c r="J651" s="29">
        <v>380.62904000000003</v>
      </c>
      <c r="K651" s="30"/>
    </row>
    <row r="652" spans="1:11" ht="31">
      <c r="A652" s="27">
        <v>8162</v>
      </c>
      <c r="B652" s="28" t="s">
        <v>1355</v>
      </c>
      <c r="C652" s="27" t="s">
        <v>10</v>
      </c>
      <c r="D652" s="27" t="s">
        <v>107</v>
      </c>
      <c r="E652" s="27">
        <v>1350</v>
      </c>
      <c r="F652" s="27" t="s">
        <v>1528</v>
      </c>
      <c r="G652" s="27" t="s">
        <v>1529</v>
      </c>
      <c r="H652" s="27" t="s">
        <v>1529</v>
      </c>
      <c r="I652" s="27" t="s">
        <v>91</v>
      </c>
      <c r="J652" s="29">
        <v>317.19122000000004</v>
      </c>
      <c r="K652" s="30"/>
    </row>
    <row r="653" spans="1:11" ht="31">
      <c r="A653" s="27">
        <v>8163</v>
      </c>
      <c r="B653" s="28" t="s">
        <v>1356</v>
      </c>
      <c r="C653" s="27" t="s">
        <v>10</v>
      </c>
      <c r="D653" s="27" t="s">
        <v>107</v>
      </c>
      <c r="E653" s="27">
        <v>1350</v>
      </c>
      <c r="F653" s="27" t="s">
        <v>1528</v>
      </c>
      <c r="G653" s="27" t="s">
        <v>1529</v>
      </c>
      <c r="H653" s="27" t="s">
        <v>1529</v>
      </c>
      <c r="I653" s="27" t="s">
        <v>91</v>
      </c>
      <c r="J653" s="29">
        <v>317.19122000000004</v>
      </c>
      <c r="K653" s="30"/>
    </row>
    <row r="654" spans="1:11" ht="31">
      <c r="A654" s="27">
        <v>8164</v>
      </c>
      <c r="B654" s="28" t="s">
        <v>1357</v>
      </c>
      <c r="C654" s="27" t="s">
        <v>10</v>
      </c>
      <c r="D654" s="27" t="s">
        <v>770</v>
      </c>
      <c r="E654" s="31">
        <v>900</v>
      </c>
      <c r="F654" s="27" t="s">
        <v>1530</v>
      </c>
      <c r="G654" s="27" t="s">
        <v>1531</v>
      </c>
      <c r="H654" s="27" t="s">
        <v>1531</v>
      </c>
      <c r="I654" s="27" t="s">
        <v>91</v>
      </c>
      <c r="J654" s="29">
        <v>361.40806000000003</v>
      </c>
      <c r="K654" s="30"/>
    </row>
    <row r="655" spans="1:11" ht="31">
      <c r="A655" s="27">
        <v>8165</v>
      </c>
      <c r="B655" s="28" t="s">
        <v>1358</v>
      </c>
      <c r="C655" s="27" t="s">
        <v>10</v>
      </c>
      <c r="D655" s="27" t="s">
        <v>770</v>
      </c>
      <c r="E655" s="31">
        <v>900</v>
      </c>
      <c r="F655" s="27" t="s">
        <v>1530</v>
      </c>
      <c r="G655" s="27" t="s">
        <v>1531</v>
      </c>
      <c r="H655" s="27" t="s">
        <v>1531</v>
      </c>
      <c r="I655" s="27" t="s">
        <v>91</v>
      </c>
      <c r="J655" s="29">
        <v>301.17356000000001</v>
      </c>
      <c r="K655" s="30"/>
    </row>
    <row r="656" spans="1:11" ht="31">
      <c r="A656" s="27">
        <v>8166</v>
      </c>
      <c r="B656" s="28" t="s">
        <v>1359</v>
      </c>
      <c r="C656" s="27" t="s">
        <v>10</v>
      </c>
      <c r="D656" s="27" t="s">
        <v>770</v>
      </c>
      <c r="E656" s="31">
        <v>900</v>
      </c>
      <c r="F656" s="27" t="s">
        <v>1530</v>
      </c>
      <c r="G656" s="27" t="s">
        <v>1531</v>
      </c>
      <c r="H656" s="27" t="s">
        <v>1531</v>
      </c>
      <c r="I656" s="27" t="s">
        <v>91</v>
      </c>
      <c r="J656" s="29">
        <v>301.17356000000001</v>
      </c>
      <c r="K656" s="30"/>
    </row>
    <row r="657" spans="1:11" ht="31">
      <c r="A657" s="27">
        <v>8167</v>
      </c>
      <c r="B657" s="28" t="s">
        <v>1360</v>
      </c>
      <c r="C657" s="27" t="s">
        <v>10</v>
      </c>
      <c r="D657" s="27" t="s">
        <v>770</v>
      </c>
      <c r="E657" s="27">
        <v>900</v>
      </c>
      <c r="F657" s="27" t="s">
        <v>1434</v>
      </c>
      <c r="G657" s="27" t="s">
        <v>1435</v>
      </c>
      <c r="H657" s="27" t="s">
        <v>1435</v>
      </c>
      <c r="I657" s="27" t="s">
        <v>11</v>
      </c>
      <c r="J657" s="29">
        <v>405.10020000000003</v>
      </c>
      <c r="K657" s="30"/>
    </row>
    <row r="658" spans="1:11" ht="31">
      <c r="A658" s="27">
        <v>8168</v>
      </c>
      <c r="B658" s="28" t="s">
        <v>1361</v>
      </c>
      <c r="C658" s="27" t="s">
        <v>10</v>
      </c>
      <c r="D658" s="27" t="s">
        <v>770</v>
      </c>
      <c r="E658" s="27">
        <v>900</v>
      </c>
      <c r="F658" s="27" t="s">
        <v>1434</v>
      </c>
      <c r="G658" s="27" t="s">
        <v>1435</v>
      </c>
      <c r="H658" s="27" t="s">
        <v>1435</v>
      </c>
      <c r="I658" s="27" t="s">
        <v>11</v>
      </c>
      <c r="J658" s="29">
        <v>486.12024000000002</v>
      </c>
      <c r="K658" s="30"/>
    </row>
    <row r="659" spans="1:11" ht="31">
      <c r="A659" s="27">
        <v>8169</v>
      </c>
      <c r="B659" s="28" t="s">
        <v>1362</v>
      </c>
      <c r="C659" s="27" t="s">
        <v>10</v>
      </c>
      <c r="D659" s="27" t="s">
        <v>770</v>
      </c>
      <c r="E659" s="27">
        <v>900</v>
      </c>
      <c r="F659" s="27" t="s">
        <v>1434</v>
      </c>
      <c r="G659" s="27" t="s">
        <v>1435</v>
      </c>
      <c r="H659" s="27" t="s">
        <v>1435</v>
      </c>
      <c r="I659" s="27" t="s">
        <v>11</v>
      </c>
      <c r="J659" s="29">
        <v>405.10020000000003</v>
      </c>
      <c r="K659" s="30"/>
    </row>
    <row r="660" spans="1:11" ht="31">
      <c r="A660" s="27">
        <v>8170</v>
      </c>
      <c r="B660" s="28" t="s">
        <v>1363</v>
      </c>
      <c r="C660" s="27" t="s">
        <v>10</v>
      </c>
      <c r="D660" s="27" t="s">
        <v>768</v>
      </c>
      <c r="E660" s="31">
        <v>375</v>
      </c>
      <c r="F660" s="27" t="s">
        <v>1436</v>
      </c>
      <c r="G660" s="27" t="s">
        <v>1437</v>
      </c>
      <c r="H660" s="27" t="s">
        <v>1437</v>
      </c>
      <c r="I660" s="27" t="s">
        <v>11</v>
      </c>
      <c r="J660" s="29">
        <v>215.29978</v>
      </c>
      <c r="K660" s="30"/>
    </row>
    <row r="661" spans="1:11" ht="31">
      <c r="A661" s="27">
        <v>8171</v>
      </c>
      <c r="B661" s="28" t="s">
        <v>1364</v>
      </c>
      <c r="C661" s="27" t="s">
        <v>10</v>
      </c>
      <c r="D661" s="27" t="s">
        <v>768</v>
      </c>
      <c r="E661" s="31">
        <v>375</v>
      </c>
      <c r="F661" s="27" t="s">
        <v>1436</v>
      </c>
      <c r="G661" s="27" t="s">
        <v>1437</v>
      </c>
      <c r="H661" s="27" t="s">
        <v>1437</v>
      </c>
      <c r="I661" s="27" t="s">
        <v>11</v>
      </c>
      <c r="J661" s="29">
        <v>258.38454000000002</v>
      </c>
      <c r="K661" s="30"/>
    </row>
    <row r="662" spans="1:11" ht="31">
      <c r="A662" s="27">
        <v>8172</v>
      </c>
      <c r="B662" s="28" t="s">
        <v>1365</v>
      </c>
      <c r="C662" s="27" t="s">
        <v>10</v>
      </c>
      <c r="D662" s="27" t="s">
        <v>768</v>
      </c>
      <c r="E662" s="31">
        <v>375</v>
      </c>
      <c r="F662" s="27" t="s">
        <v>1436</v>
      </c>
      <c r="G662" s="27" t="s">
        <v>1437</v>
      </c>
      <c r="H662" s="27" t="s">
        <v>1437</v>
      </c>
      <c r="I662" s="27" t="s">
        <v>11</v>
      </c>
      <c r="J662" s="29">
        <v>215.29978</v>
      </c>
      <c r="K662" s="30"/>
    </row>
    <row r="663" spans="1:11" ht="31">
      <c r="A663" s="10">
        <v>8173</v>
      </c>
      <c r="B663" s="11" t="s">
        <v>1211</v>
      </c>
      <c r="C663" s="10" t="s">
        <v>10</v>
      </c>
      <c r="D663" s="10" t="s">
        <v>765</v>
      </c>
      <c r="E663" s="10">
        <v>2400</v>
      </c>
      <c r="F663" s="10" t="s">
        <v>1433</v>
      </c>
      <c r="G663" s="10" t="s">
        <v>94</v>
      </c>
      <c r="H663" s="10" t="s">
        <v>94</v>
      </c>
      <c r="I663" s="10" t="s">
        <v>91</v>
      </c>
      <c r="J663" s="26">
        <v>349.6728</v>
      </c>
      <c r="K663" s="21"/>
    </row>
    <row r="664" spans="1:11" ht="31">
      <c r="A664" s="10">
        <v>8174</v>
      </c>
      <c r="B664" s="11" t="s">
        <v>1212</v>
      </c>
      <c r="C664" s="10" t="s">
        <v>10</v>
      </c>
      <c r="D664" s="10" t="s">
        <v>765</v>
      </c>
      <c r="E664" s="10">
        <v>2400</v>
      </c>
      <c r="F664" s="10" t="s">
        <v>1433</v>
      </c>
      <c r="G664" s="10" t="s">
        <v>94</v>
      </c>
      <c r="H664" s="10" t="s">
        <v>94</v>
      </c>
      <c r="I664" s="10" t="s">
        <v>91</v>
      </c>
      <c r="J664" s="26">
        <v>419.60736000000003</v>
      </c>
      <c r="K664" s="21"/>
    </row>
    <row r="665" spans="1:11" ht="31">
      <c r="A665" s="10">
        <v>8175</v>
      </c>
      <c r="B665" s="11" t="s">
        <v>1213</v>
      </c>
      <c r="C665" s="10" t="s">
        <v>10</v>
      </c>
      <c r="D665" s="10" t="s">
        <v>765</v>
      </c>
      <c r="E665" s="10">
        <v>2400</v>
      </c>
      <c r="F665" s="10" t="s">
        <v>1433</v>
      </c>
      <c r="G665" s="10" t="s">
        <v>94</v>
      </c>
      <c r="H665" s="10" t="s">
        <v>94</v>
      </c>
      <c r="I665" s="10" t="s">
        <v>91</v>
      </c>
      <c r="J665" s="26">
        <v>349.6728</v>
      </c>
      <c r="K665" s="21"/>
    </row>
    <row r="666" spans="1:11" ht="31">
      <c r="A666" s="10">
        <v>8176</v>
      </c>
      <c r="B666" s="11" t="s">
        <v>1214</v>
      </c>
      <c r="C666" s="10" t="s">
        <v>10</v>
      </c>
      <c r="D666" s="10" t="s">
        <v>765</v>
      </c>
      <c r="E666" s="10">
        <v>2400</v>
      </c>
      <c r="F666" s="10" t="s">
        <v>1433</v>
      </c>
      <c r="G666" s="10" t="s">
        <v>94</v>
      </c>
      <c r="H666" s="10" t="s">
        <v>94</v>
      </c>
      <c r="I666" s="10" t="s">
        <v>91</v>
      </c>
      <c r="J666" s="26">
        <v>349.6728</v>
      </c>
      <c r="K666" s="21"/>
    </row>
    <row r="667" spans="1:11" ht="31">
      <c r="A667" s="10">
        <v>8177</v>
      </c>
      <c r="B667" s="11" t="s">
        <v>1333</v>
      </c>
      <c r="C667" s="10" t="s">
        <v>1498</v>
      </c>
      <c r="D667" s="12" t="s">
        <v>11</v>
      </c>
      <c r="E667" s="12" t="s">
        <v>11</v>
      </c>
      <c r="F667" s="10" t="s">
        <v>1485</v>
      </c>
      <c r="G667" s="10" t="s">
        <v>1400</v>
      </c>
      <c r="H667" s="10" t="s">
        <v>1400</v>
      </c>
      <c r="I667" s="10" t="s">
        <v>11</v>
      </c>
      <c r="J667" s="26">
        <v>180.95260000000002</v>
      </c>
      <c r="K667" s="21"/>
    </row>
    <row r="668" spans="1:11" ht="31">
      <c r="A668" s="10">
        <v>8178</v>
      </c>
      <c r="B668" s="11" t="s">
        <v>1334</v>
      </c>
      <c r="C668" s="10" t="s">
        <v>1498</v>
      </c>
      <c r="D668" s="12" t="s">
        <v>11</v>
      </c>
      <c r="E668" s="12" t="s">
        <v>11</v>
      </c>
      <c r="F668" s="10" t="s">
        <v>1485</v>
      </c>
      <c r="G668" s="10" t="s">
        <v>1400</v>
      </c>
      <c r="H668" s="10" t="s">
        <v>1400</v>
      </c>
      <c r="I668" s="10" t="s">
        <v>11</v>
      </c>
      <c r="J668" s="26">
        <v>180.95260000000002</v>
      </c>
      <c r="K668" s="21"/>
    </row>
    <row r="669" spans="1:11" ht="31">
      <c r="A669" s="10">
        <v>8179</v>
      </c>
      <c r="B669" s="11" t="s">
        <v>1335</v>
      </c>
      <c r="C669" s="10" t="s">
        <v>1498</v>
      </c>
      <c r="D669" s="12" t="s">
        <v>11</v>
      </c>
      <c r="E669" s="12" t="s">
        <v>11</v>
      </c>
      <c r="F669" s="10" t="s">
        <v>1485</v>
      </c>
      <c r="G669" s="10" t="s">
        <v>1400</v>
      </c>
      <c r="H669" s="10" t="s">
        <v>1400</v>
      </c>
      <c r="I669" s="10" t="s">
        <v>11</v>
      </c>
      <c r="J669" s="26">
        <v>217.14099999999999</v>
      </c>
      <c r="K669" s="21"/>
    </row>
    <row r="670" spans="1:11" ht="31">
      <c r="A670" s="10">
        <v>8180</v>
      </c>
      <c r="B670" s="11" t="s">
        <v>1336</v>
      </c>
      <c r="C670" s="10" t="s">
        <v>1498</v>
      </c>
      <c r="D670" s="12" t="s">
        <v>11</v>
      </c>
      <c r="E670" s="12" t="s">
        <v>11</v>
      </c>
      <c r="F670" s="10" t="s">
        <v>1485</v>
      </c>
      <c r="G670" s="10" t="s">
        <v>1400</v>
      </c>
      <c r="H670" s="10" t="s">
        <v>1400</v>
      </c>
      <c r="I670" s="10" t="s">
        <v>11</v>
      </c>
      <c r="J670" s="26">
        <v>180.95260000000002</v>
      </c>
      <c r="K670" s="21"/>
    </row>
    <row r="671" spans="1:11" ht="31">
      <c r="A671" s="10">
        <v>8181</v>
      </c>
      <c r="B671" s="11" t="s">
        <v>1337</v>
      </c>
      <c r="C671" s="10" t="s">
        <v>1498</v>
      </c>
      <c r="D671" s="12" t="s">
        <v>11</v>
      </c>
      <c r="E671" s="12" t="s">
        <v>11</v>
      </c>
      <c r="F671" s="10" t="s">
        <v>1485</v>
      </c>
      <c r="G671" s="10" t="s">
        <v>1400</v>
      </c>
      <c r="H671" s="10" t="s">
        <v>1400</v>
      </c>
      <c r="I671" s="10" t="s">
        <v>11</v>
      </c>
      <c r="J671" s="26">
        <v>180.95260000000002</v>
      </c>
      <c r="K671" s="21"/>
    </row>
    <row r="672" spans="1:11" ht="31">
      <c r="A672" s="10">
        <v>8182</v>
      </c>
      <c r="B672" s="11" t="s">
        <v>1271</v>
      </c>
      <c r="C672" s="10" t="s">
        <v>10</v>
      </c>
      <c r="D672" s="12" t="s">
        <v>768</v>
      </c>
      <c r="E672" s="10">
        <v>375</v>
      </c>
      <c r="F672" s="10" t="s">
        <v>1455</v>
      </c>
      <c r="G672" s="10" t="s">
        <v>270</v>
      </c>
      <c r="H672" s="10" t="s">
        <v>270</v>
      </c>
      <c r="I672" s="10" t="s">
        <v>91</v>
      </c>
      <c r="J672" s="13">
        <v>177.15780000000001</v>
      </c>
      <c r="K672" s="21"/>
    </row>
    <row r="673" spans="1:11" ht="96">
      <c r="A673" s="10">
        <v>8245</v>
      </c>
      <c r="B673" s="11" t="s">
        <v>1383</v>
      </c>
      <c r="C673" s="10" t="s">
        <v>102</v>
      </c>
      <c r="D673" s="12" t="s">
        <v>11</v>
      </c>
      <c r="E673" s="12" t="s">
        <v>11</v>
      </c>
      <c r="F673" s="12" t="s">
        <v>11</v>
      </c>
      <c r="G673" s="12" t="s">
        <v>11</v>
      </c>
      <c r="H673" s="12" t="s">
        <v>11</v>
      </c>
      <c r="I673" s="10" t="s">
        <v>11</v>
      </c>
      <c r="J673" s="13">
        <v>62.762600000000006</v>
      </c>
      <c r="K673" s="21" t="s">
        <v>1020</v>
      </c>
    </row>
    <row r="674" spans="1:11" ht="96">
      <c r="A674" s="10">
        <v>8247</v>
      </c>
      <c r="B674" s="11" t="s">
        <v>1384</v>
      </c>
      <c r="C674" s="10" t="s">
        <v>102</v>
      </c>
      <c r="D674" s="12" t="s">
        <v>11</v>
      </c>
      <c r="E674" s="10" t="s">
        <v>11</v>
      </c>
      <c r="F674" s="10" t="s">
        <v>11</v>
      </c>
      <c r="G674" s="10" t="s">
        <v>11</v>
      </c>
      <c r="H674" s="10" t="s">
        <v>11</v>
      </c>
      <c r="I674" s="10" t="s">
        <v>11</v>
      </c>
      <c r="J674" s="13">
        <v>62.762600000000006</v>
      </c>
      <c r="K674" s="21" t="s">
        <v>1020</v>
      </c>
    </row>
    <row r="675" spans="1:11" ht="96">
      <c r="A675" s="10">
        <v>8248</v>
      </c>
      <c r="B675" s="11" t="s">
        <v>1385</v>
      </c>
      <c r="C675" s="10" t="s">
        <v>102</v>
      </c>
      <c r="D675" s="12" t="s">
        <v>11</v>
      </c>
      <c r="E675" s="12" t="s">
        <v>11</v>
      </c>
      <c r="F675" s="12" t="s">
        <v>11</v>
      </c>
      <c r="G675" s="12" t="s">
        <v>11</v>
      </c>
      <c r="H675" s="12" t="s">
        <v>11</v>
      </c>
      <c r="I675" s="10" t="s">
        <v>11</v>
      </c>
      <c r="J675" s="13">
        <v>62.762600000000006</v>
      </c>
      <c r="K675" s="21" t="s">
        <v>1020</v>
      </c>
    </row>
    <row r="676" spans="1:11" ht="96">
      <c r="A676" s="10">
        <v>8249</v>
      </c>
      <c r="B676" s="11" t="s">
        <v>1386</v>
      </c>
      <c r="C676" s="10" t="s">
        <v>511</v>
      </c>
      <c r="D676" s="12" t="s">
        <v>11</v>
      </c>
      <c r="E676" s="10" t="s">
        <v>11</v>
      </c>
      <c r="F676" s="10" t="s">
        <v>11</v>
      </c>
      <c r="G676" s="10" t="s">
        <v>11</v>
      </c>
      <c r="H676" s="10" t="s">
        <v>11</v>
      </c>
      <c r="I676" s="10" t="s">
        <v>11</v>
      </c>
      <c r="J676" s="13">
        <v>60.95</v>
      </c>
      <c r="K676" s="21" t="s">
        <v>1020</v>
      </c>
    </row>
    <row r="677" spans="1:11" ht="96">
      <c r="A677" s="10">
        <v>8250</v>
      </c>
      <c r="B677" s="11" t="s">
        <v>1387</v>
      </c>
      <c r="C677" s="10" t="s">
        <v>511</v>
      </c>
      <c r="D677" s="12" t="s">
        <v>11</v>
      </c>
      <c r="E677" s="12" t="s">
        <v>11</v>
      </c>
      <c r="F677" s="12" t="s">
        <v>11</v>
      </c>
      <c r="G677" s="12" t="s">
        <v>11</v>
      </c>
      <c r="H677" s="12" t="s">
        <v>11</v>
      </c>
      <c r="I677" s="10" t="s">
        <v>11</v>
      </c>
      <c r="J677" s="13">
        <v>60.95</v>
      </c>
      <c r="K677" s="21" t="s">
        <v>1020</v>
      </c>
    </row>
    <row r="678" spans="1:11" ht="96">
      <c r="A678" s="10">
        <v>8251</v>
      </c>
      <c r="B678" s="11" t="s">
        <v>1388</v>
      </c>
      <c r="C678" s="10" t="s">
        <v>511</v>
      </c>
      <c r="D678" s="12" t="s">
        <v>11</v>
      </c>
      <c r="E678" s="10" t="s">
        <v>11</v>
      </c>
      <c r="F678" s="10" t="s">
        <v>11</v>
      </c>
      <c r="G678" s="10" t="s">
        <v>11</v>
      </c>
      <c r="H678" s="10" t="s">
        <v>11</v>
      </c>
      <c r="I678" s="10" t="s">
        <v>11</v>
      </c>
      <c r="J678" s="13">
        <v>60.95</v>
      </c>
      <c r="K678" s="21" t="s">
        <v>1020</v>
      </c>
    </row>
    <row r="679" spans="1:11" ht="31">
      <c r="A679" s="27">
        <v>8269</v>
      </c>
      <c r="B679" s="28" t="s">
        <v>1366</v>
      </c>
      <c r="C679" s="27" t="s">
        <v>10</v>
      </c>
      <c r="D679" s="27" t="s">
        <v>770</v>
      </c>
      <c r="E679" s="31">
        <v>900</v>
      </c>
      <c r="F679" s="27" t="s">
        <v>1530</v>
      </c>
      <c r="G679" s="27" t="s">
        <v>1531</v>
      </c>
      <c r="H679" s="27" t="s">
        <v>1531</v>
      </c>
      <c r="I679" s="27" t="s">
        <v>91</v>
      </c>
      <c r="J679" s="29">
        <v>361.40806000000003</v>
      </c>
      <c r="K679" s="30"/>
    </row>
    <row r="680" spans="1:11" ht="31">
      <c r="A680" s="27">
        <v>8270</v>
      </c>
      <c r="B680" s="28" t="s">
        <v>1367</v>
      </c>
      <c r="C680" s="27" t="s">
        <v>10</v>
      </c>
      <c r="D680" s="27" t="s">
        <v>770</v>
      </c>
      <c r="E680" s="31">
        <v>900</v>
      </c>
      <c r="F680" s="27" t="s">
        <v>1530</v>
      </c>
      <c r="G680" s="27" t="s">
        <v>1531</v>
      </c>
      <c r="H680" s="27" t="s">
        <v>1531</v>
      </c>
      <c r="I680" s="27" t="s">
        <v>91</v>
      </c>
      <c r="J680" s="29">
        <v>361.40806000000003</v>
      </c>
      <c r="K680" s="30"/>
    </row>
    <row r="681" spans="1:11" ht="31">
      <c r="A681" s="27">
        <v>8271</v>
      </c>
      <c r="B681" s="28" t="s">
        <v>1368</v>
      </c>
      <c r="C681" s="27" t="s">
        <v>10</v>
      </c>
      <c r="D681" s="27" t="s">
        <v>770</v>
      </c>
      <c r="E681" s="31">
        <v>900</v>
      </c>
      <c r="F681" s="27" t="s">
        <v>1530</v>
      </c>
      <c r="G681" s="27" t="s">
        <v>1531</v>
      </c>
      <c r="H681" s="27" t="s">
        <v>1531</v>
      </c>
      <c r="I681" s="27" t="s">
        <v>91</v>
      </c>
      <c r="J681" s="29">
        <v>361.40806000000003</v>
      </c>
      <c r="K681" s="30"/>
    </row>
    <row r="682" spans="1:11" ht="31">
      <c r="A682" s="27">
        <v>8272</v>
      </c>
      <c r="B682" s="28" t="s">
        <v>1369</v>
      </c>
      <c r="C682" s="27" t="s">
        <v>10</v>
      </c>
      <c r="D682" s="27" t="s">
        <v>107</v>
      </c>
      <c r="E682" s="27">
        <v>1350</v>
      </c>
      <c r="F682" s="27" t="s">
        <v>1528</v>
      </c>
      <c r="G682" s="27" t="s">
        <v>1529</v>
      </c>
      <c r="H682" s="27" t="s">
        <v>1529</v>
      </c>
      <c r="I682" s="27" t="s">
        <v>91</v>
      </c>
      <c r="J682" s="29">
        <v>380.62904000000003</v>
      </c>
      <c r="K682" s="30"/>
    </row>
    <row r="683" spans="1:11" ht="31">
      <c r="A683" s="27">
        <v>8273</v>
      </c>
      <c r="B683" s="28" t="s">
        <v>1370</v>
      </c>
      <c r="C683" s="27" t="s">
        <v>10</v>
      </c>
      <c r="D683" s="27" t="s">
        <v>107</v>
      </c>
      <c r="E683" s="27">
        <v>1350</v>
      </c>
      <c r="F683" s="27" t="s">
        <v>1528</v>
      </c>
      <c r="G683" s="27" t="s">
        <v>1529</v>
      </c>
      <c r="H683" s="27" t="s">
        <v>1529</v>
      </c>
      <c r="I683" s="27" t="s">
        <v>91</v>
      </c>
      <c r="J683" s="29">
        <v>380.62904000000003</v>
      </c>
      <c r="K683" s="30"/>
    </row>
    <row r="684" spans="1:11" ht="31">
      <c r="A684" s="27">
        <v>8274</v>
      </c>
      <c r="B684" s="28" t="s">
        <v>1371</v>
      </c>
      <c r="C684" s="27" t="s">
        <v>10</v>
      </c>
      <c r="D684" s="27" t="s">
        <v>107</v>
      </c>
      <c r="E684" s="27">
        <v>1350</v>
      </c>
      <c r="F684" s="27" t="s">
        <v>1528</v>
      </c>
      <c r="G684" s="27" t="s">
        <v>1529</v>
      </c>
      <c r="H684" s="27" t="s">
        <v>1529</v>
      </c>
      <c r="I684" s="27" t="s">
        <v>91</v>
      </c>
      <c r="J684" s="29">
        <v>380.62904000000003</v>
      </c>
      <c r="K684" s="30"/>
    </row>
    <row r="685" spans="1:11" ht="31">
      <c r="A685" s="27">
        <v>8275</v>
      </c>
      <c r="B685" s="28" t="s">
        <v>1372</v>
      </c>
      <c r="C685" s="27" t="s">
        <v>10</v>
      </c>
      <c r="D685" s="27" t="s">
        <v>770</v>
      </c>
      <c r="E685" s="27">
        <v>900</v>
      </c>
      <c r="F685" s="27" t="s">
        <v>1434</v>
      </c>
      <c r="G685" s="27" t="s">
        <v>1435</v>
      </c>
      <c r="H685" s="27" t="s">
        <v>1435</v>
      </c>
      <c r="I685" s="27" t="s">
        <v>11</v>
      </c>
      <c r="J685" s="29">
        <v>486.12024000000002</v>
      </c>
      <c r="K685" s="30"/>
    </row>
    <row r="686" spans="1:11" ht="31">
      <c r="A686" s="27">
        <v>8276</v>
      </c>
      <c r="B686" s="28" t="s">
        <v>1373</v>
      </c>
      <c r="C686" s="27" t="s">
        <v>10</v>
      </c>
      <c r="D686" s="27" t="s">
        <v>770</v>
      </c>
      <c r="E686" s="27">
        <v>900</v>
      </c>
      <c r="F686" s="27" t="s">
        <v>1434</v>
      </c>
      <c r="G686" s="27" t="s">
        <v>1435</v>
      </c>
      <c r="H686" s="27" t="s">
        <v>1435</v>
      </c>
      <c r="I686" s="27" t="s">
        <v>11</v>
      </c>
      <c r="J686" s="29">
        <v>486.12024000000002</v>
      </c>
      <c r="K686" s="30"/>
    </row>
    <row r="687" spans="1:11" ht="31">
      <c r="A687" s="27">
        <v>8277</v>
      </c>
      <c r="B687" s="28" t="s">
        <v>1374</v>
      </c>
      <c r="C687" s="27" t="s">
        <v>10</v>
      </c>
      <c r="D687" s="27" t="s">
        <v>768</v>
      </c>
      <c r="E687" s="31">
        <v>375</v>
      </c>
      <c r="F687" s="27" t="s">
        <v>1436</v>
      </c>
      <c r="G687" s="27" t="s">
        <v>1437</v>
      </c>
      <c r="H687" s="27" t="s">
        <v>1437</v>
      </c>
      <c r="I687" s="27" t="s">
        <v>11</v>
      </c>
      <c r="J687" s="29">
        <v>258.38454000000002</v>
      </c>
      <c r="K687" s="30"/>
    </row>
    <row r="688" spans="1:11" ht="31">
      <c r="A688" s="27">
        <v>8278</v>
      </c>
      <c r="B688" s="28" t="s">
        <v>1375</v>
      </c>
      <c r="C688" s="27" t="s">
        <v>10</v>
      </c>
      <c r="D688" s="27" t="s">
        <v>768</v>
      </c>
      <c r="E688" s="31">
        <v>375</v>
      </c>
      <c r="F688" s="27" t="s">
        <v>1436</v>
      </c>
      <c r="G688" s="27" t="s">
        <v>1437</v>
      </c>
      <c r="H688" s="27" t="s">
        <v>1437</v>
      </c>
      <c r="I688" s="27" t="s">
        <v>11</v>
      </c>
      <c r="J688" s="29">
        <v>258.38454000000002</v>
      </c>
      <c r="K688" s="30"/>
    </row>
    <row r="689" spans="1:11" ht="96">
      <c r="A689" s="10">
        <v>8287</v>
      </c>
      <c r="B689" s="11" t="s">
        <v>1389</v>
      </c>
      <c r="C689" s="10" t="s">
        <v>10</v>
      </c>
      <c r="D689" s="10" t="s">
        <v>844</v>
      </c>
      <c r="E689" s="10">
        <v>1725</v>
      </c>
      <c r="F689" s="10" t="s">
        <v>1497</v>
      </c>
      <c r="G689" s="10" t="s">
        <v>1497</v>
      </c>
      <c r="H689" s="10" t="s">
        <v>318</v>
      </c>
      <c r="I689" s="10" t="s">
        <v>91</v>
      </c>
      <c r="J689" s="13">
        <v>136.74</v>
      </c>
      <c r="K689" s="21" t="s">
        <v>1020</v>
      </c>
    </row>
    <row r="690" spans="1:11" ht="96">
      <c r="A690" s="10">
        <v>8288</v>
      </c>
      <c r="B690" s="11" t="s">
        <v>1390</v>
      </c>
      <c r="C690" s="10" t="s">
        <v>10</v>
      </c>
      <c r="D690" s="10" t="s">
        <v>844</v>
      </c>
      <c r="E690" s="10">
        <v>1725</v>
      </c>
      <c r="F690" s="10" t="s">
        <v>1497</v>
      </c>
      <c r="G690" s="10" t="s">
        <v>1497</v>
      </c>
      <c r="H690" s="10" t="s">
        <v>318</v>
      </c>
      <c r="I690" s="10" t="s">
        <v>91</v>
      </c>
      <c r="J690" s="13">
        <v>136.74</v>
      </c>
      <c r="K690" s="21" t="s">
        <v>1020</v>
      </c>
    </row>
    <row r="691" spans="1:11" ht="96">
      <c r="A691" s="10">
        <v>8289</v>
      </c>
      <c r="B691" s="11" t="s">
        <v>1391</v>
      </c>
      <c r="C691" s="10" t="s">
        <v>10</v>
      </c>
      <c r="D691" s="10" t="s">
        <v>844</v>
      </c>
      <c r="E691" s="10">
        <v>1725</v>
      </c>
      <c r="F691" s="10" t="s">
        <v>1497</v>
      </c>
      <c r="G691" s="10" t="s">
        <v>1497</v>
      </c>
      <c r="H691" s="10" t="s">
        <v>318</v>
      </c>
      <c r="I691" s="10" t="s">
        <v>91</v>
      </c>
      <c r="J691" s="13">
        <v>136.74</v>
      </c>
      <c r="K691" s="21" t="s">
        <v>1020</v>
      </c>
    </row>
    <row r="692" spans="1:11" ht="44">
      <c r="A692" s="10">
        <v>8332</v>
      </c>
      <c r="B692" s="11" t="s">
        <v>1501</v>
      </c>
      <c r="C692" s="10" t="s">
        <v>10</v>
      </c>
      <c r="D692" s="12" t="s">
        <v>772</v>
      </c>
      <c r="E692" s="12">
        <v>900</v>
      </c>
      <c r="F692" s="10" t="s">
        <v>850</v>
      </c>
      <c r="G692" s="10" t="s">
        <v>289</v>
      </c>
      <c r="H692" s="10" t="s">
        <v>289</v>
      </c>
      <c r="I692" s="10" t="s">
        <v>11</v>
      </c>
      <c r="J692" s="13">
        <v>163.1764</v>
      </c>
      <c r="K692" s="14"/>
    </row>
    <row r="693" spans="1:11" ht="44">
      <c r="A693" s="10">
        <v>8333</v>
      </c>
      <c r="B693" s="11" t="s">
        <v>1510</v>
      </c>
      <c r="C693" s="10" t="s">
        <v>10</v>
      </c>
      <c r="D693" s="12" t="s">
        <v>772</v>
      </c>
      <c r="E693" s="10">
        <v>900</v>
      </c>
      <c r="F693" s="10" t="s">
        <v>850</v>
      </c>
      <c r="G693" s="10" t="s">
        <v>289</v>
      </c>
      <c r="H693" s="10" t="s">
        <v>289</v>
      </c>
      <c r="I693" s="10" t="s">
        <v>11</v>
      </c>
      <c r="J693" s="13">
        <v>163.1764</v>
      </c>
      <c r="K693" s="14"/>
    </row>
    <row r="694" spans="1:11" ht="44">
      <c r="A694" s="10">
        <v>8334</v>
      </c>
      <c r="B694" s="11" t="s">
        <v>1511</v>
      </c>
      <c r="C694" s="10" t="s">
        <v>10</v>
      </c>
      <c r="D694" s="12" t="s">
        <v>772</v>
      </c>
      <c r="E694" s="12">
        <v>900</v>
      </c>
      <c r="F694" s="10" t="s">
        <v>850</v>
      </c>
      <c r="G694" s="10" t="s">
        <v>289</v>
      </c>
      <c r="H694" s="10" t="s">
        <v>289</v>
      </c>
      <c r="I694" s="10" t="s">
        <v>11</v>
      </c>
      <c r="J694" s="13">
        <v>163.1764</v>
      </c>
      <c r="K694" s="14"/>
    </row>
    <row r="695" spans="1:11" ht="44">
      <c r="A695" s="10">
        <v>8335</v>
      </c>
      <c r="B695" s="11" t="s">
        <v>1512</v>
      </c>
      <c r="C695" s="10" t="s">
        <v>10</v>
      </c>
      <c r="D695" s="12" t="s">
        <v>772</v>
      </c>
      <c r="E695" s="12">
        <v>900</v>
      </c>
      <c r="F695" s="10" t="s">
        <v>850</v>
      </c>
      <c r="G695" s="10" t="s">
        <v>289</v>
      </c>
      <c r="H695" s="10" t="s">
        <v>289</v>
      </c>
      <c r="I695" s="10" t="s">
        <v>11</v>
      </c>
      <c r="J695" s="13">
        <v>163.1764</v>
      </c>
      <c r="K695" s="14"/>
    </row>
    <row r="696" spans="1:11" ht="44">
      <c r="A696" s="10">
        <v>8336</v>
      </c>
      <c r="B696" s="11" t="s">
        <v>1513</v>
      </c>
      <c r="C696" s="10" t="s">
        <v>10</v>
      </c>
      <c r="D696" s="12" t="s">
        <v>772</v>
      </c>
      <c r="E696" s="10">
        <v>900</v>
      </c>
      <c r="F696" s="10" t="s">
        <v>850</v>
      </c>
      <c r="G696" s="10" t="s">
        <v>289</v>
      </c>
      <c r="H696" s="10" t="s">
        <v>289</v>
      </c>
      <c r="I696" s="10" t="s">
        <v>11</v>
      </c>
      <c r="J696" s="13">
        <v>163.1764</v>
      </c>
      <c r="K696" s="14"/>
    </row>
    <row r="697" spans="1:11" ht="44">
      <c r="A697" s="10">
        <v>8337</v>
      </c>
      <c r="B697" s="11" t="s">
        <v>1514</v>
      </c>
      <c r="C697" s="10" t="s">
        <v>10</v>
      </c>
      <c r="D697" s="12" t="s">
        <v>772</v>
      </c>
      <c r="E697" s="12">
        <v>900</v>
      </c>
      <c r="F697" s="10" t="s">
        <v>850</v>
      </c>
      <c r="G697" s="10" t="s">
        <v>289</v>
      </c>
      <c r="H697" s="10" t="s">
        <v>289</v>
      </c>
      <c r="I697" s="10" t="s">
        <v>11</v>
      </c>
      <c r="J697" s="13">
        <v>163.1764</v>
      </c>
      <c r="K697" s="14"/>
    </row>
    <row r="698" spans="1:11" ht="44">
      <c r="A698" s="10">
        <v>8338</v>
      </c>
      <c r="B698" s="11" t="s">
        <v>1515</v>
      </c>
      <c r="C698" s="10" t="s">
        <v>10</v>
      </c>
      <c r="D698" s="12" t="s">
        <v>772</v>
      </c>
      <c r="E698" s="10">
        <v>900</v>
      </c>
      <c r="F698" s="10" t="s">
        <v>850</v>
      </c>
      <c r="G698" s="10" t="s">
        <v>289</v>
      </c>
      <c r="H698" s="10" t="s">
        <v>289</v>
      </c>
      <c r="I698" s="10" t="s">
        <v>11</v>
      </c>
      <c r="J698" s="13">
        <v>163.1764</v>
      </c>
      <c r="K698" s="14"/>
    </row>
    <row r="699" spans="1:11" ht="44">
      <c r="A699" s="10">
        <v>8339</v>
      </c>
      <c r="B699" s="11" t="s">
        <v>1503</v>
      </c>
      <c r="C699" s="10" t="s">
        <v>10</v>
      </c>
      <c r="D699" s="12" t="s">
        <v>772</v>
      </c>
      <c r="E699" s="12">
        <v>900</v>
      </c>
      <c r="F699" s="10" t="s">
        <v>850</v>
      </c>
      <c r="G699" s="10" t="s">
        <v>289</v>
      </c>
      <c r="H699" s="10" t="s">
        <v>289</v>
      </c>
      <c r="I699" s="10" t="s">
        <v>11</v>
      </c>
      <c r="J699" s="13">
        <v>154.70699999999999</v>
      </c>
      <c r="K699" s="14"/>
    </row>
    <row r="700" spans="1:11" ht="44">
      <c r="A700" s="10">
        <v>8340</v>
      </c>
      <c r="B700" s="11" t="s">
        <v>1522</v>
      </c>
      <c r="C700" s="10" t="s">
        <v>10</v>
      </c>
      <c r="D700" s="12" t="s">
        <v>772</v>
      </c>
      <c r="E700" s="10">
        <v>900</v>
      </c>
      <c r="F700" s="10" t="s">
        <v>850</v>
      </c>
      <c r="G700" s="10" t="s">
        <v>289</v>
      </c>
      <c r="H700" s="10" t="s">
        <v>289</v>
      </c>
      <c r="I700" s="10" t="s">
        <v>11</v>
      </c>
      <c r="J700" s="13">
        <v>154.70699999999999</v>
      </c>
      <c r="K700" s="14"/>
    </row>
    <row r="701" spans="1:11" ht="44">
      <c r="A701" s="10">
        <v>8341</v>
      </c>
      <c r="B701" s="11" t="s">
        <v>1523</v>
      </c>
      <c r="C701" s="10" t="s">
        <v>10</v>
      </c>
      <c r="D701" s="12" t="s">
        <v>772</v>
      </c>
      <c r="E701" s="12">
        <v>900</v>
      </c>
      <c r="F701" s="10" t="s">
        <v>850</v>
      </c>
      <c r="G701" s="10" t="s">
        <v>289</v>
      </c>
      <c r="H701" s="10" t="s">
        <v>289</v>
      </c>
      <c r="I701" s="10" t="s">
        <v>11</v>
      </c>
      <c r="J701" s="13">
        <v>154.70699999999999</v>
      </c>
      <c r="K701" s="14"/>
    </row>
    <row r="702" spans="1:11" ht="44">
      <c r="A702" s="10">
        <v>8342</v>
      </c>
      <c r="B702" s="11" t="s">
        <v>1524</v>
      </c>
      <c r="C702" s="10" t="s">
        <v>10</v>
      </c>
      <c r="D702" s="12" t="s">
        <v>772</v>
      </c>
      <c r="E702" s="12">
        <v>900</v>
      </c>
      <c r="F702" s="10" t="s">
        <v>850</v>
      </c>
      <c r="G702" s="10" t="s">
        <v>289</v>
      </c>
      <c r="H702" s="10" t="s">
        <v>289</v>
      </c>
      <c r="I702" s="10" t="s">
        <v>11</v>
      </c>
      <c r="J702" s="13">
        <v>154.70699999999999</v>
      </c>
      <c r="K702" s="14"/>
    </row>
    <row r="703" spans="1:11" ht="44">
      <c r="A703" s="10">
        <v>8343</v>
      </c>
      <c r="B703" s="11" t="s">
        <v>1525</v>
      </c>
      <c r="C703" s="10" t="s">
        <v>10</v>
      </c>
      <c r="D703" s="12" t="s">
        <v>772</v>
      </c>
      <c r="E703" s="10">
        <v>900</v>
      </c>
      <c r="F703" s="10" t="s">
        <v>850</v>
      </c>
      <c r="G703" s="10" t="s">
        <v>289</v>
      </c>
      <c r="H703" s="10" t="s">
        <v>289</v>
      </c>
      <c r="I703" s="10" t="s">
        <v>11</v>
      </c>
      <c r="J703" s="13">
        <v>154.70699999999999</v>
      </c>
      <c r="K703" s="14"/>
    </row>
    <row r="704" spans="1:11" ht="44">
      <c r="A704" s="10">
        <v>8344</v>
      </c>
      <c r="B704" s="11" t="s">
        <v>1526</v>
      </c>
      <c r="C704" s="10" t="s">
        <v>10</v>
      </c>
      <c r="D704" s="12" t="s">
        <v>772</v>
      </c>
      <c r="E704" s="12">
        <v>900</v>
      </c>
      <c r="F704" s="10" t="s">
        <v>850</v>
      </c>
      <c r="G704" s="10" t="s">
        <v>289</v>
      </c>
      <c r="H704" s="10" t="s">
        <v>289</v>
      </c>
      <c r="I704" s="10" t="s">
        <v>11</v>
      </c>
      <c r="J704" s="13">
        <v>154.70699999999999</v>
      </c>
      <c r="K704" s="14"/>
    </row>
    <row r="705" spans="1:11" ht="44">
      <c r="A705" s="10">
        <v>8345</v>
      </c>
      <c r="B705" s="11" t="s">
        <v>1527</v>
      </c>
      <c r="C705" s="10" t="s">
        <v>10</v>
      </c>
      <c r="D705" s="12" t="s">
        <v>772</v>
      </c>
      <c r="E705" s="10">
        <v>900</v>
      </c>
      <c r="F705" s="10" t="s">
        <v>850</v>
      </c>
      <c r="G705" s="10" t="s">
        <v>289</v>
      </c>
      <c r="H705" s="10" t="s">
        <v>289</v>
      </c>
      <c r="I705" s="10" t="s">
        <v>11</v>
      </c>
      <c r="J705" s="13">
        <v>154.70699999999999</v>
      </c>
      <c r="K705" s="14"/>
    </row>
    <row r="706" spans="1:11" ht="22">
      <c r="A706" s="10">
        <v>8485</v>
      </c>
      <c r="B706" s="11" t="s">
        <v>1574</v>
      </c>
      <c r="C706" s="10" t="s">
        <v>102</v>
      </c>
      <c r="D706" s="12" t="s">
        <v>11</v>
      </c>
      <c r="E706" s="10" t="s">
        <v>11</v>
      </c>
      <c r="F706" s="10" t="s">
        <v>12</v>
      </c>
      <c r="G706" s="10" t="s">
        <v>270</v>
      </c>
      <c r="H706" s="10" t="s">
        <v>270</v>
      </c>
      <c r="I706" s="10" t="s">
        <v>11</v>
      </c>
      <c r="J706" s="13">
        <v>161.38500000000002</v>
      </c>
      <c r="K706" s="14"/>
    </row>
    <row r="707" spans="1:11" ht="22">
      <c r="A707" s="10">
        <v>8486</v>
      </c>
      <c r="B707" s="11" t="s">
        <v>1573</v>
      </c>
      <c r="C707" s="10" t="s">
        <v>102</v>
      </c>
      <c r="D707" s="12" t="s">
        <v>11</v>
      </c>
      <c r="E707" s="10" t="s">
        <v>11</v>
      </c>
      <c r="F707" s="10" t="s">
        <v>388</v>
      </c>
      <c r="G707" s="10" t="s">
        <v>270</v>
      </c>
      <c r="H707" s="10" t="s">
        <v>270</v>
      </c>
      <c r="I707" s="10" t="s">
        <v>11</v>
      </c>
      <c r="J707" s="13">
        <v>299.39699999999999</v>
      </c>
      <c r="K707" s="14"/>
    </row>
    <row r="708" spans="1:11" ht="22">
      <c r="A708" s="10">
        <v>8487</v>
      </c>
      <c r="B708" s="11" t="s">
        <v>1575</v>
      </c>
      <c r="C708" s="10" t="s">
        <v>102</v>
      </c>
      <c r="D708" s="12" t="s">
        <v>11</v>
      </c>
      <c r="E708" s="10" t="s">
        <v>11</v>
      </c>
      <c r="F708" s="10" t="s">
        <v>350</v>
      </c>
      <c r="G708" s="10" t="s">
        <v>222</v>
      </c>
      <c r="H708" s="10" t="s">
        <v>351</v>
      </c>
      <c r="I708" s="10" t="s">
        <v>11</v>
      </c>
      <c r="J708" s="13">
        <v>233.73000000000002</v>
      </c>
      <c r="K708" s="14"/>
    </row>
    <row r="709" spans="1:11" ht="96">
      <c r="A709" s="10">
        <v>8502</v>
      </c>
      <c r="B709" s="11" t="s">
        <v>1582</v>
      </c>
      <c r="C709" s="10" t="s">
        <v>11</v>
      </c>
      <c r="D709" s="12" t="s">
        <v>11</v>
      </c>
      <c r="E709" s="10" t="s">
        <v>11</v>
      </c>
      <c r="F709" s="10" t="s">
        <v>1050</v>
      </c>
      <c r="G709" s="10" t="s">
        <v>1048</v>
      </c>
      <c r="H709" s="10" t="s">
        <v>91</v>
      </c>
      <c r="I709" s="10" t="s">
        <v>11</v>
      </c>
      <c r="J709" s="13">
        <v>30.740000000000002</v>
      </c>
      <c r="K709" s="21" t="s">
        <v>1020</v>
      </c>
    </row>
    <row r="710" spans="1:11" ht="96">
      <c r="A710" s="10">
        <v>8503</v>
      </c>
      <c r="B710" s="11" t="s">
        <v>1583</v>
      </c>
      <c r="C710" s="10" t="s">
        <v>11</v>
      </c>
      <c r="D710" s="12" t="s">
        <v>11</v>
      </c>
      <c r="E710" s="10" t="s">
        <v>11</v>
      </c>
      <c r="F710" s="10" t="s">
        <v>1050</v>
      </c>
      <c r="G710" s="10" t="s">
        <v>1048</v>
      </c>
      <c r="H710" s="10" t="s">
        <v>1045</v>
      </c>
      <c r="I710" s="10" t="s">
        <v>11</v>
      </c>
      <c r="J710" s="13">
        <v>41.34</v>
      </c>
      <c r="K710" s="21" t="s">
        <v>1020</v>
      </c>
    </row>
    <row r="711" spans="1:11" ht="44">
      <c r="A711" s="10">
        <v>8538</v>
      </c>
      <c r="B711" s="11" t="s">
        <v>1589</v>
      </c>
      <c r="C711" s="10" t="s">
        <v>10</v>
      </c>
      <c r="D711" s="12" t="s">
        <v>107</v>
      </c>
      <c r="E711" s="12">
        <v>1260</v>
      </c>
      <c r="F711" s="10" t="s">
        <v>415</v>
      </c>
      <c r="G711" s="10" t="s">
        <v>93</v>
      </c>
      <c r="H711" s="10" t="s">
        <v>93</v>
      </c>
      <c r="I711" s="10" t="s">
        <v>11</v>
      </c>
      <c r="J711" s="13">
        <v>290.44</v>
      </c>
      <c r="K711" s="14"/>
    </row>
    <row r="712" spans="1:11" ht="44">
      <c r="A712" s="10">
        <v>8539</v>
      </c>
      <c r="B712" s="11" t="s">
        <v>1590</v>
      </c>
      <c r="C712" s="10" t="s">
        <v>10</v>
      </c>
      <c r="D712" s="12" t="s">
        <v>1566</v>
      </c>
      <c r="E712" s="12">
        <v>2520</v>
      </c>
      <c r="F712" s="10" t="s">
        <v>415</v>
      </c>
      <c r="G712" s="10" t="s">
        <v>94</v>
      </c>
      <c r="H712" s="10" t="s">
        <v>94</v>
      </c>
      <c r="I712" s="10" t="s">
        <v>11</v>
      </c>
      <c r="J712" s="13">
        <v>385.84000000000003</v>
      </c>
      <c r="K712" s="14"/>
    </row>
    <row r="713" spans="1:11" ht="44">
      <c r="A713" s="10">
        <v>8540</v>
      </c>
      <c r="B713" s="11" t="s">
        <v>1594</v>
      </c>
      <c r="C713" s="10" t="s">
        <v>10</v>
      </c>
      <c r="D713" s="12" t="s">
        <v>107</v>
      </c>
      <c r="E713" s="12">
        <v>1260</v>
      </c>
      <c r="F713" s="10" t="s">
        <v>415</v>
      </c>
      <c r="G713" s="10" t="s">
        <v>95</v>
      </c>
      <c r="H713" s="10" t="s">
        <v>95</v>
      </c>
      <c r="I713" s="10" t="s">
        <v>11</v>
      </c>
      <c r="J713" s="13">
        <v>300.49940000000004</v>
      </c>
      <c r="K713" s="14"/>
    </row>
    <row r="714" spans="1:11" ht="44">
      <c r="A714" s="15">
        <v>8541</v>
      </c>
      <c r="B714" s="16" t="s">
        <v>1598</v>
      </c>
      <c r="C714" s="15" t="s">
        <v>10</v>
      </c>
      <c r="D714" s="17" t="s">
        <v>1566</v>
      </c>
      <c r="E714" s="17">
        <v>2520</v>
      </c>
      <c r="F714" s="15" t="s">
        <v>415</v>
      </c>
      <c r="G714" s="15" t="s">
        <v>96</v>
      </c>
      <c r="H714" s="15" t="s">
        <v>96</v>
      </c>
      <c r="I714" s="15" t="s">
        <v>11</v>
      </c>
      <c r="J714" s="18">
        <v>401.74</v>
      </c>
      <c r="K714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TABELA SPOLINE</vt:lpstr>
      <vt:lpstr>Formulas</vt:lpstr>
      <vt:lpstr>Atualizados (551)</vt:lpstr>
      <vt:lpstr>Não foram atualizados (729)</vt:lpstr>
      <vt:lpstr>Precisam ser criados (714)</vt:lpstr>
      <vt:lpstr>'TABELA SPOLINE'!Area_de_impressao</vt:lpstr>
      <vt:lpstr>'TABELA SPOLINE'!Titulos_de_impressao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Lima</dc:creator>
  <cp:lastModifiedBy>Isabela Soares</cp:lastModifiedBy>
  <cp:lastPrinted>2024-11-27T17:47:30Z</cp:lastPrinted>
  <dcterms:created xsi:type="dcterms:W3CDTF">2022-04-19T10:25:01Z</dcterms:created>
  <dcterms:modified xsi:type="dcterms:W3CDTF">2026-05-12T05:14:26Z</dcterms:modified>
</cp:coreProperties>
</file>